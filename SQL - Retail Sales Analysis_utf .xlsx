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hidePivotFieldList="1" defaultThemeVersion="166925"/>
  <mc:AlternateContent xmlns:mc="http://schemas.openxmlformats.org/markup-compatibility/2006">
    <mc:Choice Requires="x15">
      <x15ac:absPath xmlns:x15ac="http://schemas.microsoft.com/office/spreadsheetml/2010/11/ac" url="D:\working\waccache\AM4PEPF000AF711\EXCELCNV\a4ab9308-b261-413b-aaae-89a9d748e02e\"/>
    </mc:Choice>
  </mc:AlternateContent>
  <xr:revisionPtr revIDLastSave="0" documentId="8_{3AAD13E6-DF9A-49CE-A426-60D55A981230}" xr6:coauthVersionLast="47" xr6:coauthVersionMax="47" xr10:uidLastSave="{00000000-0000-0000-0000-000000000000}"/>
  <bookViews>
    <workbookView xWindow="-60" yWindow="-60" windowWidth="15480" windowHeight="11640" firstSheet="2" activeTab="6" xr2:uid="{E27966AC-E81F-46DD-BD20-75650EC314A2}"/>
  </bookViews>
  <sheets>
    <sheet name="raw" sheetId="2" r:id="rId1"/>
    <sheet name="Cleaned Data" sheetId="3" r:id="rId2"/>
    <sheet name="Data Quality" sheetId="4" r:id="rId3"/>
    <sheet name="PivotTables" sheetId="5" r:id="rId4"/>
    <sheet name="Dashboard" sheetId="7" r:id="rId5"/>
    <sheet name="Lookup Tool" sheetId="9" r:id="rId6"/>
    <sheet name="Analysis SummaryRetail" sheetId="6" r:id="rId7"/>
    <sheet name="Monthly Analysis" sheetId="8" r:id="rId8"/>
  </sheets>
  <definedNames>
    <definedName name="Slicer_category">#N/A</definedName>
  </definedNames>
  <calcPr calcId="191028"/>
  <pivotCaches>
    <pivotCache cacheId="69"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9" l="1"/>
  <c r="B9" i="9"/>
  <c r="B8" i="9"/>
  <c r="B7" i="9"/>
  <c r="B5" i="9"/>
  <c r="B4" i="9"/>
  <c r="G4" i="7"/>
  <c r="E4" i="7"/>
  <c r="C4" i="7"/>
  <c r="A4" i="7"/>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2" i="4"/>
  <c r="B21" i="4"/>
  <c r="B19" i="4"/>
  <c r="B18" i="4"/>
  <c r="M1207" i="3"/>
  <c r="M1601" i="3"/>
  <c r="M1208" i="3"/>
  <c r="M1209" i="3"/>
  <c r="M1602" i="3"/>
  <c r="M1210" i="3"/>
  <c r="M785" i="3"/>
  <c r="M421" i="3"/>
  <c r="M1603" i="3"/>
  <c r="M2" i="3"/>
  <c r="M786" i="3"/>
  <c r="M422" i="3"/>
  <c r="M1604" i="3"/>
  <c r="M3" i="3"/>
  <c r="M1211" i="3"/>
  <c r="M1212" i="3"/>
  <c r="M423" i="3"/>
  <c r="M787" i="3"/>
  <c r="M1605" i="3"/>
  <c r="M424" i="3"/>
  <c r="M788" i="3"/>
  <c r="M1606" i="3"/>
  <c r="M789" i="3"/>
  <c r="M4" i="3"/>
  <c r="M1607" i="3"/>
  <c r="M790" i="3"/>
  <c r="M5" i="3"/>
  <c r="M1608" i="3"/>
  <c r="M425" i="3"/>
  <c r="M1609" i="3"/>
  <c r="M426" i="3"/>
  <c r="M1610" i="3"/>
  <c r="M6" i="3"/>
  <c r="M7" i="3"/>
  <c r="M8" i="3"/>
  <c r="M9" i="3"/>
  <c r="M1213" i="3"/>
  <c r="M10" i="3"/>
  <c r="M1214" i="3"/>
  <c r="M11" i="3"/>
  <c r="M791" i="3"/>
  <c r="M792" i="3"/>
  <c r="M793" i="3"/>
  <c r="M427" i="3"/>
  <c r="M794" i="3"/>
  <c r="M428" i="3"/>
  <c r="M12" i="3"/>
  <c r="M1999" i="3"/>
  <c r="M2000" i="3"/>
  <c r="M2001" i="3"/>
  <c r="M429" i="3"/>
  <c r="M430" i="3"/>
  <c r="M431" i="3"/>
  <c r="M1215" i="3"/>
  <c r="M1216" i="3"/>
  <c r="M13" i="3"/>
  <c r="M432" i="3"/>
  <c r="M1217" i="3"/>
  <c r="M1218" i="3"/>
  <c r="M14" i="3"/>
  <c r="M1611" i="3"/>
  <c r="M1219" i="3"/>
  <c r="M15" i="3"/>
  <c r="M16" i="3"/>
  <c r="M1612" i="3"/>
  <c r="M1220" i="3"/>
  <c r="M17" i="3"/>
  <c r="M18" i="3"/>
  <c r="M433" i="3"/>
  <c r="M1613" i="3"/>
  <c r="M19" i="3"/>
  <c r="M434" i="3"/>
  <c r="M1614" i="3"/>
  <c r="M20" i="3"/>
  <c r="M1615" i="3"/>
  <c r="M1616" i="3"/>
  <c r="M1617" i="3"/>
  <c r="M1618" i="3"/>
  <c r="M435" i="3"/>
  <c r="M21" i="3"/>
  <c r="M1619" i="3"/>
  <c r="M1620" i="3"/>
  <c r="M436" i="3"/>
  <c r="M22" i="3"/>
  <c r="M1621" i="3"/>
  <c r="M1622" i="3"/>
  <c r="M437" i="3"/>
  <c r="M438" i="3"/>
  <c r="M23" i="3"/>
  <c r="M795" i="3"/>
  <c r="M24" i="3"/>
  <c r="M796" i="3"/>
  <c r="M439" i="3"/>
  <c r="M440" i="3"/>
  <c r="M1623" i="3"/>
  <c r="M441" i="3"/>
  <c r="M442" i="3"/>
  <c r="M1624" i="3"/>
  <c r="M1221" i="3"/>
  <c r="M25" i="3"/>
  <c r="M1222" i="3"/>
  <c r="M26" i="3"/>
  <c r="M1625" i="3"/>
  <c r="M1626" i="3"/>
  <c r="M443" i="3"/>
  <c r="M1627" i="3"/>
  <c r="M1628" i="3"/>
  <c r="M444" i="3"/>
  <c r="M27" i="3"/>
  <c r="M1629" i="3"/>
  <c r="M797" i="3"/>
  <c r="M28" i="3"/>
  <c r="M1630" i="3"/>
  <c r="M798" i="3"/>
  <c r="M799" i="3"/>
  <c r="M800" i="3"/>
  <c r="M445" i="3"/>
  <c r="M1223" i="3"/>
  <c r="M801" i="3"/>
  <c r="M1631" i="3"/>
  <c r="M446" i="3"/>
  <c r="M1224" i="3"/>
  <c r="M802" i="3"/>
  <c r="M1632" i="3"/>
  <c r="M447" i="3"/>
  <c r="M29" i="3"/>
  <c r="M30" i="3"/>
  <c r="M448" i="3"/>
  <c r="M31" i="3"/>
  <c r="M32" i="3"/>
  <c r="M1225" i="3"/>
  <c r="M449" i="3"/>
  <c r="M450" i="3"/>
  <c r="M1226" i="3"/>
  <c r="M451" i="3"/>
  <c r="M452" i="3"/>
  <c r="M1227" i="3"/>
  <c r="M1228" i="3"/>
  <c r="M803" i="3"/>
  <c r="M453" i="3"/>
  <c r="M1633" i="3"/>
  <c r="M33" i="3"/>
  <c r="M804" i="3"/>
  <c r="M454" i="3"/>
  <c r="M1634" i="3"/>
  <c r="M34" i="3"/>
  <c r="M1635" i="3"/>
  <c r="M805" i="3"/>
  <c r="M1229" i="3"/>
  <c r="M1636" i="3"/>
  <c r="M806" i="3"/>
  <c r="M1230" i="3"/>
  <c r="M1637" i="3"/>
  <c r="M1231" i="3"/>
  <c r="M1638" i="3"/>
  <c r="M1639" i="3"/>
  <c r="M1232" i="3"/>
  <c r="M1640" i="3"/>
  <c r="M1233" i="3"/>
  <c r="M35" i="3"/>
  <c r="M807" i="3"/>
  <c r="M1234" i="3"/>
  <c r="M36" i="3"/>
  <c r="M808" i="3"/>
  <c r="M1235" i="3"/>
  <c r="M455" i="3"/>
  <c r="M1236" i="3"/>
  <c r="M456" i="3"/>
  <c r="M1641" i="3"/>
  <c r="M457" i="3"/>
  <c r="M1642" i="3"/>
  <c r="M458" i="3"/>
  <c r="M37" i="3"/>
  <c r="M459" i="3"/>
  <c r="M1237" i="3"/>
  <c r="M38" i="3"/>
  <c r="M809" i="3"/>
  <c r="M460" i="3"/>
  <c r="M810" i="3"/>
  <c r="M461" i="3"/>
  <c r="M39" i="3"/>
  <c r="M462" i="3"/>
  <c r="M1238" i="3"/>
  <c r="M40" i="3"/>
  <c r="M811" i="3"/>
  <c r="M463" i="3"/>
  <c r="M812" i="3"/>
  <c r="M464" i="3"/>
  <c r="M813" i="3"/>
  <c r="M41" i="3"/>
  <c r="M1239" i="3"/>
  <c r="M814" i="3"/>
  <c r="M815" i="3"/>
  <c r="M42" i="3"/>
  <c r="M1240" i="3"/>
  <c r="M816" i="3"/>
  <c r="M817" i="3"/>
  <c r="M1643" i="3"/>
  <c r="M1241" i="3"/>
  <c r="M818" i="3"/>
  <c r="M819" i="3"/>
  <c r="M1644" i="3"/>
  <c r="M1242" i="3"/>
  <c r="M820" i="3"/>
  <c r="M821" i="3"/>
  <c r="M43" i="3"/>
  <c r="M44" i="3"/>
  <c r="M45" i="3"/>
  <c r="M822" i="3"/>
  <c r="M46" i="3"/>
  <c r="M47" i="3"/>
  <c r="M48" i="3"/>
  <c r="M1243" i="3"/>
  <c r="M1244" i="3"/>
  <c r="M1645" i="3"/>
  <c r="M1245" i="3"/>
  <c r="M823" i="3"/>
  <c r="M1646" i="3"/>
  <c r="M1246" i="3"/>
  <c r="M824" i="3"/>
  <c r="M465" i="3"/>
  <c r="M1647" i="3"/>
  <c r="M49" i="3"/>
  <c r="M1648" i="3"/>
  <c r="M50" i="3"/>
  <c r="M466" i="3"/>
  <c r="M1649" i="3"/>
  <c r="M51" i="3"/>
  <c r="M1650" i="3"/>
  <c r="M52" i="3"/>
  <c r="M1651" i="3"/>
  <c r="M1652" i="3"/>
  <c r="M1653" i="3"/>
  <c r="M1654" i="3"/>
  <c r="M53" i="3"/>
  <c r="M54" i="3"/>
  <c r="M1655" i="3"/>
  <c r="M1656" i="3"/>
  <c r="M55" i="3"/>
  <c r="M56" i="3"/>
  <c r="M825" i="3"/>
  <c r="M1247" i="3"/>
  <c r="M826" i="3"/>
  <c r="M1248" i="3"/>
  <c r="M1249" i="3"/>
  <c r="M1250" i="3"/>
  <c r="M1657" i="3"/>
  <c r="M1251" i="3"/>
  <c r="M1252" i="3"/>
  <c r="M1658" i="3"/>
  <c r="M827" i="3"/>
  <c r="M467" i="3"/>
  <c r="M1659" i="3"/>
  <c r="M1253" i="3"/>
  <c r="M1254" i="3"/>
  <c r="M1660" i="3"/>
  <c r="M828" i="3"/>
  <c r="M468" i="3"/>
  <c r="M1661" i="3"/>
  <c r="M1662" i="3"/>
  <c r="M57" i="3"/>
  <c r="M1663" i="3"/>
  <c r="M58" i="3"/>
  <c r="M1664" i="3"/>
  <c r="M469" i="3"/>
  <c r="M59" i="3"/>
  <c r="M1665" i="3"/>
  <c r="M470" i="3"/>
  <c r="M60" i="3"/>
  <c r="M1666" i="3"/>
  <c r="M1255" i="3"/>
  <c r="M61" i="3"/>
  <c r="M471" i="3"/>
  <c r="M1256" i="3"/>
  <c r="M62" i="3"/>
  <c r="M472" i="3"/>
  <c r="M63" i="3"/>
  <c r="M64" i="3"/>
  <c r="M65" i="3"/>
  <c r="M66" i="3"/>
  <c r="M67" i="3"/>
  <c r="M68" i="3"/>
  <c r="M69" i="3"/>
  <c r="M70" i="3"/>
  <c r="M71" i="3"/>
  <c r="M72" i="3"/>
  <c r="M473" i="3"/>
  <c r="M474" i="3"/>
  <c r="M1257" i="3"/>
  <c r="M829" i="3"/>
  <c r="M1667" i="3"/>
  <c r="M1258" i="3"/>
  <c r="M1259" i="3"/>
  <c r="M830" i="3"/>
  <c r="M1668" i="3"/>
  <c r="M1260" i="3"/>
  <c r="M831" i="3"/>
  <c r="M832" i="3"/>
  <c r="M1669" i="3"/>
  <c r="M1261" i="3"/>
  <c r="M833" i="3"/>
  <c r="M834" i="3"/>
  <c r="M1670" i="3"/>
  <c r="M1262" i="3"/>
  <c r="M73" i="3"/>
  <c r="M74" i="3"/>
  <c r="M1671" i="3"/>
  <c r="M1263" i="3"/>
  <c r="M75" i="3"/>
  <c r="M835" i="3"/>
  <c r="M1672" i="3"/>
  <c r="M1264" i="3"/>
  <c r="M76" i="3"/>
  <c r="M836" i="3"/>
  <c r="M1673" i="3"/>
  <c r="M475" i="3"/>
  <c r="M77" i="3"/>
  <c r="M78" i="3"/>
  <c r="M1674" i="3"/>
  <c r="M476" i="3"/>
  <c r="M79" i="3"/>
  <c r="M80" i="3"/>
  <c r="M477" i="3"/>
  <c r="M81" i="3"/>
  <c r="M1265" i="3"/>
  <c r="M478" i="3"/>
  <c r="M82" i="3"/>
  <c r="M1266" i="3"/>
  <c r="M1267" i="3"/>
  <c r="M1268" i="3"/>
  <c r="M1675" i="3"/>
  <c r="M83" i="3"/>
  <c r="M837" i="3"/>
  <c r="M479" i="3"/>
  <c r="M84" i="3"/>
  <c r="M1676" i="3"/>
  <c r="M85" i="3"/>
  <c r="M838" i="3"/>
  <c r="M480" i="3"/>
  <c r="M86" i="3"/>
  <c r="M1677" i="3"/>
  <c r="M1678" i="3"/>
  <c r="M1269" i="3"/>
  <c r="M481" i="3"/>
  <c r="M1270" i="3"/>
  <c r="M482" i="3"/>
  <c r="M839" i="3"/>
  <c r="M87" i="3"/>
  <c r="M840" i="3"/>
  <c r="M841" i="3"/>
  <c r="M842" i="3"/>
  <c r="M88" i="3"/>
  <c r="M843" i="3"/>
  <c r="M844" i="3"/>
  <c r="M1271" i="3"/>
  <c r="M483" i="3"/>
  <c r="M1679" i="3"/>
  <c r="M89" i="3"/>
  <c r="M1272" i="3"/>
  <c r="M484" i="3"/>
  <c r="M1680" i="3"/>
  <c r="M90" i="3"/>
  <c r="M91" i="3"/>
  <c r="M92" i="3"/>
  <c r="M1273" i="3"/>
  <c r="M93" i="3"/>
  <c r="M845" i="3"/>
  <c r="M1274" i="3"/>
  <c r="M94" i="3"/>
  <c r="M846" i="3"/>
  <c r="M95" i="3"/>
  <c r="M847" i="3"/>
  <c r="M96" i="3"/>
  <c r="M848" i="3"/>
  <c r="M1681" i="3"/>
  <c r="M1682" i="3"/>
  <c r="M1683" i="3"/>
  <c r="M97" i="3"/>
  <c r="M1684" i="3"/>
  <c r="M98" i="3"/>
  <c r="M99" i="3"/>
  <c r="M849" i="3"/>
  <c r="M100" i="3"/>
  <c r="M101" i="3"/>
  <c r="M850" i="3"/>
  <c r="M102" i="3"/>
  <c r="M1685" i="3"/>
  <c r="M1686" i="3"/>
  <c r="M103" i="3"/>
  <c r="M1275" i="3"/>
  <c r="M104" i="3"/>
  <c r="M105" i="3"/>
  <c r="M1276" i="3"/>
  <c r="M106" i="3"/>
  <c r="M485" i="3"/>
  <c r="M1687" i="3"/>
  <c r="M486" i="3"/>
  <c r="M1688" i="3"/>
  <c r="M487" i="3"/>
  <c r="M107" i="3"/>
  <c r="M488" i="3"/>
  <c r="M108" i="3"/>
  <c r="M1277" i="3"/>
  <c r="M109" i="3"/>
  <c r="M1278" i="3"/>
  <c r="M851" i="3"/>
  <c r="M1279" i="3"/>
  <c r="M1280" i="3"/>
  <c r="M110" i="3"/>
  <c r="M1281" i="3"/>
  <c r="M852" i="3"/>
  <c r="M1282" i="3"/>
  <c r="M853" i="3"/>
  <c r="M1689" i="3"/>
  <c r="M1283" i="3"/>
  <c r="M1284" i="3"/>
  <c r="M854" i="3"/>
  <c r="M1690" i="3"/>
  <c r="M1285" i="3"/>
  <c r="M1286" i="3"/>
  <c r="M1691" i="3"/>
  <c r="M855" i="3"/>
  <c r="M489" i="3"/>
  <c r="M856" i="3"/>
  <c r="M857" i="3"/>
  <c r="M1692" i="3"/>
  <c r="M858" i="3"/>
  <c r="M490" i="3"/>
  <c r="M859" i="3"/>
  <c r="M860" i="3"/>
  <c r="M861" i="3"/>
  <c r="M862" i="3"/>
  <c r="M863" i="3"/>
  <c r="M1693" i="3"/>
  <c r="M864" i="3"/>
  <c r="M865" i="3"/>
  <c r="M866" i="3"/>
  <c r="M1694" i="3"/>
  <c r="M867" i="3"/>
  <c r="M868" i="3"/>
  <c r="M869" i="3"/>
  <c r="M870" i="3"/>
  <c r="M871" i="3"/>
  <c r="M1695" i="3"/>
  <c r="M1696" i="3"/>
  <c r="M111" i="3"/>
  <c r="M872" i="3"/>
  <c r="M1697" i="3"/>
  <c r="M1698" i="3"/>
  <c r="M112" i="3"/>
  <c r="M1287" i="3"/>
  <c r="M491" i="3"/>
  <c r="M873" i="3"/>
  <c r="M1288" i="3"/>
  <c r="M492" i="3"/>
  <c r="M874" i="3"/>
  <c r="M493" i="3"/>
  <c r="M1699" i="3"/>
  <c r="M494" i="3"/>
  <c r="M1700" i="3"/>
  <c r="M875" i="3"/>
  <c r="M876" i="3"/>
  <c r="M1701" i="3"/>
  <c r="M1702" i="3"/>
  <c r="M877" i="3"/>
  <c r="M878" i="3"/>
  <c r="M1289" i="3"/>
  <c r="M1290" i="3"/>
  <c r="M1291" i="3"/>
  <c r="M1292" i="3"/>
  <c r="M1703" i="3"/>
  <c r="M1293" i="3"/>
  <c r="M1294" i="3"/>
  <c r="M1704" i="3"/>
  <c r="M1705" i="3"/>
  <c r="M879" i="3"/>
  <c r="M880" i="3"/>
  <c r="M1295" i="3"/>
  <c r="M1706" i="3"/>
  <c r="M881" i="3"/>
  <c r="M882" i="3"/>
  <c r="M1296" i="3"/>
  <c r="M1707" i="3"/>
  <c r="M495" i="3"/>
  <c r="M496" i="3"/>
  <c r="M1708" i="3"/>
  <c r="M497" i="3"/>
  <c r="M498" i="3"/>
  <c r="M1297" i="3"/>
  <c r="M1298" i="3"/>
  <c r="M1299" i="3"/>
  <c r="M1300" i="3"/>
  <c r="M1301" i="3"/>
  <c r="M1302" i="3"/>
  <c r="M499" i="3"/>
  <c r="M1709" i="3"/>
  <c r="M500" i="3"/>
  <c r="M113" i="3"/>
  <c r="M1303" i="3"/>
  <c r="M501" i="3"/>
  <c r="M1710" i="3"/>
  <c r="M502" i="3"/>
  <c r="M114" i="3"/>
  <c r="M1304" i="3"/>
  <c r="M883" i="3"/>
  <c r="M1711" i="3"/>
  <c r="M115" i="3"/>
  <c r="M503" i="3"/>
  <c r="M1305" i="3"/>
  <c r="M884" i="3"/>
  <c r="M885" i="3"/>
  <c r="M1712" i="3"/>
  <c r="M116" i="3"/>
  <c r="M504" i="3"/>
  <c r="M1306" i="3"/>
  <c r="M886" i="3"/>
  <c r="M505" i="3"/>
  <c r="M506" i="3"/>
  <c r="M507" i="3"/>
  <c r="M508" i="3"/>
  <c r="M117" i="3"/>
  <c r="M118" i="3"/>
  <c r="M509" i="3"/>
  <c r="M1307" i="3"/>
  <c r="M1713" i="3"/>
  <c r="M119" i="3"/>
  <c r="M510" i="3"/>
  <c r="M511" i="3"/>
  <c r="M1308" i="3"/>
  <c r="M1714" i="3"/>
  <c r="M120" i="3"/>
  <c r="M512" i="3"/>
  <c r="M887" i="3"/>
  <c r="M513" i="3"/>
  <c r="M888" i="3"/>
  <c r="M889" i="3"/>
  <c r="M514" i="3"/>
  <c r="M890" i="3"/>
  <c r="M891" i="3"/>
  <c r="M1715" i="3"/>
  <c r="M892" i="3"/>
  <c r="M1716" i="3"/>
  <c r="M1309" i="3"/>
  <c r="M1310" i="3"/>
  <c r="M121" i="3"/>
  <c r="M122" i="3"/>
  <c r="M1311" i="3"/>
  <c r="M123" i="3"/>
  <c r="M124" i="3"/>
  <c r="M125" i="3"/>
  <c r="M1312" i="3"/>
  <c r="M126" i="3"/>
  <c r="M127" i="3"/>
  <c r="M128" i="3"/>
  <c r="M129" i="3"/>
  <c r="M1717" i="3"/>
  <c r="M130" i="3"/>
  <c r="M893" i="3"/>
  <c r="M894" i="3"/>
  <c r="M1313" i="3"/>
  <c r="M131" i="3"/>
  <c r="M1718" i="3"/>
  <c r="M132" i="3"/>
  <c r="M895" i="3"/>
  <c r="M896" i="3"/>
  <c r="M1314" i="3"/>
  <c r="M133" i="3"/>
  <c r="M1315" i="3"/>
  <c r="M134" i="3"/>
  <c r="M1719" i="3"/>
  <c r="M897" i="3"/>
  <c r="M135" i="3"/>
  <c r="M1316" i="3"/>
  <c r="M136" i="3"/>
  <c r="M1720" i="3"/>
  <c r="M898" i="3"/>
  <c r="M515" i="3"/>
  <c r="M899" i="3"/>
  <c r="M516" i="3"/>
  <c r="M900" i="3"/>
  <c r="M137" i="3"/>
  <c r="M138" i="3"/>
  <c r="M139" i="3"/>
  <c r="M140" i="3"/>
  <c r="M141" i="3"/>
  <c r="M142" i="3"/>
  <c r="M1721" i="3"/>
  <c r="M901" i="3"/>
  <c r="M1317" i="3"/>
  <c r="M143" i="3"/>
  <c r="M517" i="3"/>
  <c r="M518" i="3"/>
  <c r="M1722" i="3"/>
  <c r="M1723" i="3"/>
  <c r="M902" i="3"/>
  <c r="M1318" i="3"/>
  <c r="M144" i="3"/>
  <c r="M519" i="3"/>
  <c r="M520" i="3"/>
  <c r="M1724" i="3"/>
  <c r="M521" i="3"/>
  <c r="M145" i="3"/>
  <c r="M522" i="3"/>
  <c r="M146" i="3"/>
  <c r="M523" i="3"/>
  <c r="M524" i="3"/>
  <c r="M903" i="3"/>
  <c r="M525" i="3"/>
  <c r="M526" i="3"/>
  <c r="M904" i="3"/>
  <c r="M527" i="3"/>
  <c r="M528" i="3"/>
  <c r="M529" i="3"/>
  <c r="M530" i="3"/>
  <c r="M531" i="3"/>
  <c r="M532" i="3"/>
  <c r="M533" i="3"/>
  <c r="M1319" i="3"/>
  <c r="M905" i="3"/>
  <c r="M534" i="3"/>
  <c r="M1320" i="3"/>
  <c r="M906" i="3"/>
  <c r="M147" i="3"/>
  <c r="M535" i="3"/>
  <c r="M148" i="3"/>
  <c r="M149" i="3"/>
  <c r="M536" i="3"/>
  <c r="M150" i="3"/>
  <c r="M1725" i="3"/>
  <c r="M537" i="3"/>
  <c r="M1321" i="3"/>
  <c r="M1726" i="3"/>
  <c r="M538" i="3"/>
  <c r="M1322" i="3"/>
  <c r="M151" i="3"/>
  <c r="M152" i="3"/>
  <c r="M539" i="3"/>
  <c r="M153" i="3"/>
  <c r="M154" i="3"/>
  <c r="M540" i="3"/>
  <c r="M1727" i="3"/>
  <c r="M155" i="3"/>
  <c r="M907" i="3"/>
  <c r="M1728" i="3"/>
  <c r="M156" i="3"/>
  <c r="M908" i="3"/>
  <c r="M157" i="3"/>
  <c r="M541" i="3"/>
  <c r="M909" i="3"/>
  <c r="M158" i="3"/>
  <c r="M542" i="3"/>
  <c r="M910" i="3"/>
  <c r="M159" i="3"/>
  <c r="M160" i="3"/>
  <c r="M543" i="3"/>
  <c r="M544" i="3"/>
  <c r="M545" i="3"/>
  <c r="M161" i="3"/>
  <c r="M162" i="3"/>
  <c r="M546" i="3"/>
  <c r="M547" i="3"/>
  <c r="M548" i="3"/>
  <c r="M549" i="3"/>
  <c r="M163" i="3"/>
  <c r="M1729" i="3"/>
  <c r="M550" i="3"/>
  <c r="M164" i="3"/>
  <c r="M1730" i="3"/>
  <c r="M1323" i="3"/>
  <c r="M911" i="3"/>
  <c r="M1731" i="3"/>
  <c r="M551" i="3"/>
  <c r="M912" i="3"/>
  <c r="M1324" i="3"/>
  <c r="M913" i="3"/>
  <c r="M1732" i="3"/>
  <c r="M552" i="3"/>
  <c r="M914" i="3"/>
  <c r="M915" i="3"/>
  <c r="M553" i="3"/>
  <c r="M1325" i="3"/>
  <c r="M554" i="3"/>
  <c r="M916" i="3"/>
  <c r="M917" i="3"/>
  <c r="M555" i="3"/>
  <c r="M1326" i="3"/>
  <c r="M556" i="3"/>
  <c r="M918" i="3"/>
  <c r="M919" i="3"/>
  <c r="M1327" i="3"/>
  <c r="M920" i="3"/>
  <c r="M557" i="3"/>
  <c r="M165" i="3"/>
  <c r="M921" i="3"/>
  <c r="M1328" i="3"/>
  <c r="M922" i="3"/>
  <c r="M558" i="3"/>
  <c r="M166" i="3"/>
  <c r="M923" i="3"/>
  <c r="M1733" i="3"/>
  <c r="M1734" i="3"/>
  <c r="M167" i="3"/>
  <c r="M168" i="3"/>
  <c r="M1735" i="3"/>
  <c r="M924" i="3"/>
  <c r="M1736" i="3"/>
  <c r="M1737" i="3"/>
  <c r="M169" i="3"/>
  <c r="M170" i="3"/>
  <c r="M1738" i="3"/>
  <c r="M559" i="3"/>
  <c r="M171" i="3"/>
  <c r="M1739" i="3"/>
  <c r="M560" i="3"/>
  <c r="M172" i="3"/>
  <c r="M1740" i="3"/>
  <c r="M1741" i="3"/>
  <c r="M925" i="3"/>
  <c r="M1742" i="3"/>
  <c r="M926" i="3"/>
  <c r="M561" i="3"/>
  <c r="M562" i="3"/>
  <c r="M173" i="3"/>
  <c r="M174" i="3"/>
  <c r="M927" i="3"/>
  <c r="M1329" i="3"/>
  <c r="M928" i="3"/>
  <c r="M1330" i="3"/>
  <c r="M1743" i="3"/>
  <c r="M563" i="3"/>
  <c r="M1744" i="3"/>
  <c r="M1745" i="3"/>
  <c r="M564" i="3"/>
  <c r="M1746" i="3"/>
  <c r="M565" i="3"/>
  <c r="M1747" i="3"/>
  <c r="M566" i="3"/>
  <c r="M567" i="3"/>
  <c r="M1748" i="3"/>
  <c r="M568" i="3"/>
  <c r="M1331" i="3"/>
  <c r="M1749" i="3"/>
  <c r="M1750" i="3"/>
  <c r="M569" i="3"/>
  <c r="M1332" i="3"/>
  <c r="M570" i="3"/>
  <c r="M1333" i="3"/>
  <c r="M929" i="3"/>
  <c r="M930" i="3"/>
  <c r="M1751" i="3"/>
  <c r="M931" i="3"/>
  <c r="M1334" i="3"/>
  <c r="M1752" i="3"/>
  <c r="M1753" i="3"/>
  <c r="M571" i="3"/>
  <c r="M1335" i="3"/>
  <c r="M572" i="3"/>
  <c r="M1336" i="3"/>
  <c r="M932" i="3"/>
  <c r="M933" i="3"/>
  <c r="M1754" i="3"/>
  <c r="M934" i="3"/>
  <c r="M935" i="3"/>
  <c r="M1755" i="3"/>
  <c r="M1756" i="3"/>
  <c r="M936" i="3"/>
  <c r="M1757" i="3"/>
  <c r="M1758" i="3"/>
  <c r="M937" i="3"/>
  <c r="M1759" i="3"/>
  <c r="M938" i="3"/>
  <c r="M1760" i="3"/>
  <c r="M1761" i="3"/>
  <c r="M175" i="3"/>
  <c r="M1337" i="3"/>
  <c r="M1762" i="3"/>
  <c r="M176" i="3"/>
  <c r="M1338" i="3"/>
  <c r="M1339" i="3"/>
  <c r="M177" i="3"/>
  <c r="M178" i="3"/>
  <c r="M1340" i="3"/>
  <c r="M179" i="3"/>
  <c r="M180" i="3"/>
  <c r="M1763" i="3"/>
  <c r="M1764" i="3"/>
  <c r="M1341" i="3"/>
  <c r="M1765" i="3"/>
  <c r="M1766" i="3"/>
  <c r="M1342" i="3"/>
  <c r="M573" i="3"/>
  <c r="M181" i="3"/>
  <c r="M1767" i="3"/>
  <c r="M574" i="3"/>
  <c r="M575" i="3"/>
  <c r="M182" i="3"/>
  <c r="M1768" i="3"/>
  <c r="M576" i="3"/>
  <c r="M1343" i="3"/>
  <c r="M183" i="3"/>
  <c r="M1769" i="3"/>
  <c r="M1344" i="3"/>
  <c r="M1770" i="3"/>
  <c r="M577" i="3"/>
  <c r="M1345" i="3"/>
  <c r="M1346" i="3"/>
  <c r="M939" i="3"/>
  <c r="M1347" i="3"/>
  <c r="M184" i="3"/>
  <c r="M1771" i="3"/>
  <c r="M1348" i="3"/>
  <c r="M1772" i="3"/>
  <c r="M578" i="3"/>
  <c r="M1349" i="3"/>
  <c r="M1350" i="3"/>
  <c r="M940" i="3"/>
  <c r="M185" i="3"/>
  <c r="M186" i="3"/>
  <c r="M1773" i="3"/>
  <c r="M1351" i="3"/>
  <c r="M1774" i="3"/>
  <c r="M1775" i="3"/>
  <c r="M1352" i="3"/>
  <c r="M1776" i="3"/>
  <c r="M1777" i="3"/>
  <c r="M579" i="3"/>
  <c r="M1353" i="3"/>
  <c r="M1778" i="3"/>
  <c r="M580" i="3"/>
  <c r="M1354" i="3"/>
  <c r="M187" i="3"/>
  <c r="M1779" i="3"/>
  <c r="M941" i="3"/>
  <c r="M188" i="3"/>
  <c r="M1780" i="3"/>
  <c r="M942" i="3"/>
  <c r="M189" i="3"/>
  <c r="M190" i="3"/>
  <c r="M1355" i="3"/>
  <c r="M1356" i="3"/>
  <c r="M581" i="3"/>
  <c r="M191" i="3"/>
  <c r="M582" i="3"/>
  <c r="M192" i="3"/>
  <c r="M1357" i="3"/>
  <c r="M943" i="3"/>
  <c r="M1358" i="3"/>
  <c r="M1359" i="3"/>
  <c r="M944" i="3"/>
  <c r="M1360" i="3"/>
  <c r="M583" i="3"/>
  <c r="M193" i="3"/>
  <c r="M945" i="3"/>
  <c r="M584" i="3"/>
  <c r="M194" i="3"/>
  <c r="M946" i="3"/>
  <c r="M195" i="3"/>
  <c r="M196" i="3"/>
  <c r="M197" i="3"/>
  <c r="M198" i="3"/>
  <c r="M199" i="3"/>
  <c r="M200" i="3"/>
  <c r="M201" i="3"/>
  <c r="M1781" i="3"/>
  <c r="M1782" i="3"/>
  <c r="M202" i="3"/>
  <c r="M1783" i="3"/>
  <c r="M1784" i="3"/>
  <c r="M585" i="3"/>
  <c r="M947" i="3"/>
  <c r="M1361" i="3"/>
  <c r="M948" i="3"/>
  <c r="M586" i="3"/>
  <c r="M949" i="3"/>
  <c r="M1362" i="3"/>
  <c r="M950" i="3"/>
  <c r="M951" i="3"/>
  <c r="M203" i="3"/>
  <c r="M952" i="3"/>
  <c r="M204" i="3"/>
  <c r="M1363" i="3"/>
  <c r="M1785" i="3"/>
  <c r="M205" i="3"/>
  <c r="M953" i="3"/>
  <c r="M1364" i="3"/>
  <c r="M1786" i="3"/>
  <c r="M206" i="3"/>
  <c r="M954" i="3"/>
  <c r="M955" i="3"/>
  <c r="M956" i="3"/>
  <c r="M957" i="3"/>
  <c r="M958" i="3"/>
  <c r="M1787" i="3"/>
  <c r="M1365" i="3"/>
  <c r="M1788" i="3"/>
  <c r="M1366" i="3"/>
  <c r="M1789" i="3"/>
  <c r="M959" i="3"/>
  <c r="M587" i="3"/>
  <c r="M1790" i="3"/>
  <c r="M960" i="3"/>
  <c r="M588" i="3"/>
  <c r="M207" i="3"/>
  <c r="M1791" i="3"/>
  <c r="M961" i="3"/>
  <c r="M1792" i="3"/>
  <c r="M208" i="3"/>
  <c r="M1793" i="3"/>
  <c r="M962" i="3"/>
  <c r="M1794" i="3"/>
  <c r="M1795" i="3"/>
  <c r="M1367" i="3"/>
  <c r="M1796" i="3"/>
  <c r="M1368" i="3"/>
  <c r="M209" i="3"/>
  <c r="M1797" i="3"/>
  <c r="M1369" i="3"/>
  <c r="M1798" i="3"/>
  <c r="M1370" i="3"/>
  <c r="M210" i="3"/>
  <c r="M211" i="3"/>
  <c r="M212" i="3"/>
  <c r="M1799" i="3"/>
  <c r="M1800" i="3"/>
  <c r="M1371" i="3"/>
  <c r="M1372" i="3"/>
  <c r="M589" i="3"/>
  <c r="M963" i="3"/>
  <c r="M590" i="3"/>
  <c r="M964" i="3"/>
  <c r="M591" i="3"/>
  <c r="M965" i="3"/>
  <c r="M592" i="3"/>
  <c r="M966" i="3"/>
  <c r="M967" i="3"/>
  <c r="M968" i="3"/>
  <c r="M1373" i="3"/>
  <c r="M969" i="3"/>
  <c r="M970" i="3"/>
  <c r="M1374" i="3"/>
  <c r="M1375" i="3"/>
  <c r="M1376" i="3"/>
  <c r="M1801" i="3"/>
  <c r="M213" i="3"/>
  <c r="M593" i="3"/>
  <c r="M1377" i="3"/>
  <c r="M214" i="3"/>
  <c r="M1802" i="3"/>
  <c r="M215" i="3"/>
  <c r="M594" i="3"/>
  <c r="M1378" i="3"/>
  <c r="M216" i="3"/>
  <c r="M595" i="3"/>
  <c r="M217" i="3"/>
  <c r="M596" i="3"/>
  <c r="M218" i="3"/>
  <c r="M219" i="3"/>
  <c r="M220" i="3"/>
  <c r="M221" i="3"/>
  <c r="M222" i="3"/>
  <c r="M971" i="3"/>
  <c r="M597" i="3"/>
  <c r="M1379" i="3"/>
  <c r="M972" i="3"/>
  <c r="M973" i="3"/>
  <c r="M598" i="3"/>
  <c r="M1380" i="3"/>
  <c r="M974" i="3"/>
  <c r="M975" i="3"/>
  <c r="M599" i="3"/>
  <c r="M976" i="3"/>
  <c r="M600" i="3"/>
  <c r="M1381" i="3"/>
  <c r="M1803" i="3"/>
  <c r="M601" i="3"/>
  <c r="M1382" i="3"/>
  <c r="M1804" i="3"/>
  <c r="M1383" i="3"/>
  <c r="M1805" i="3"/>
  <c r="M602" i="3"/>
  <c r="M1384" i="3"/>
  <c r="M1806" i="3"/>
  <c r="M1385" i="3"/>
  <c r="M1386" i="3"/>
  <c r="M1387" i="3"/>
  <c r="M1388" i="3"/>
  <c r="M603" i="3"/>
  <c r="M1389" i="3"/>
  <c r="M1390" i="3"/>
  <c r="M604" i="3"/>
  <c r="M1391" i="3"/>
  <c r="M1392" i="3"/>
  <c r="M1393" i="3"/>
  <c r="M1394" i="3"/>
  <c r="M1807" i="3"/>
  <c r="M223" i="3"/>
  <c r="M977" i="3"/>
  <c r="M1808" i="3"/>
  <c r="M224" i="3"/>
  <c r="M978" i="3"/>
  <c r="M1809" i="3"/>
  <c r="M605" i="3"/>
  <c r="M1810" i="3"/>
  <c r="M606" i="3"/>
  <c r="M1811" i="3"/>
  <c r="M607" i="3"/>
  <c r="M225" i="3"/>
  <c r="M608" i="3"/>
  <c r="M1812" i="3"/>
  <c r="M609" i="3"/>
  <c r="M226" i="3"/>
  <c r="M610" i="3"/>
  <c r="M611" i="3"/>
  <c r="M979" i="3"/>
  <c r="M612" i="3"/>
  <c r="M980" i="3"/>
  <c r="M1813" i="3"/>
  <c r="M1814" i="3"/>
  <c r="M981" i="3"/>
  <c r="M1815" i="3"/>
  <c r="M982" i="3"/>
  <c r="M613" i="3"/>
  <c r="M983" i="3"/>
  <c r="M1816" i="3"/>
  <c r="M984" i="3"/>
  <c r="M614" i="3"/>
  <c r="M985" i="3"/>
  <c r="M1817" i="3"/>
  <c r="M615" i="3"/>
  <c r="M986" i="3"/>
  <c r="M1818" i="3"/>
  <c r="M616" i="3"/>
  <c r="M987" i="3"/>
  <c r="M617" i="3"/>
  <c r="M988" i="3"/>
  <c r="M618" i="3"/>
  <c r="M989" i="3"/>
  <c r="M227" i="3"/>
  <c r="M228" i="3"/>
  <c r="M990" i="3"/>
  <c r="M991" i="3"/>
  <c r="M229" i="3"/>
  <c r="M230" i="3"/>
  <c r="M992" i="3"/>
  <c r="M993" i="3"/>
  <c r="M994" i="3"/>
  <c r="M995" i="3"/>
  <c r="M996" i="3"/>
  <c r="M619" i="3"/>
  <c r="M620" i="3"/>
  <c r="M997" i="3"/>
  <c r="M998" i="3"/>
  <c r="M1395" i="3"/>
  <c r="M231" i="3"/>
  <c r="M1819" i="3"/>
  <c r="M1396" i="3"/>
  <c r="M1397" i="3"/>
  <c r="M621" i="3"/>
  <c r="M1398" i="3"/>
  <c r="M999" i="3"/>
  <c r="M622" i="3"/>
  <c r="M232" i="3"/>
  <c r="M1399" i="3"/>
  <c r="M233" i="3"/>
  <c r="M1820" i="3"/>
  <c r="M1400" i="3"/>
  <c r="M1401" i="3"/>
  <c r="M623" i="3"/>
  <c r="M1402" i="3"/>
  <c r="M1000" i="3"/>
  <c r="M624" i="3"/>
  <c r="M234" i="3"/>
  <c r="M1821" i="3"/>
  <c r="M1822" i="3"/>
  <c r="M1823" i="3"/>
  <c r="M1824" i="3"/>
  <c r="M625" i="3"/>
  <c r="M235" i="3"/>
  <c r="M626" i="3"/>
  <c r="M236" i="3"/>
  <c r="M1001" i="3"/>
  <c r="M1403" i="3"/>
  <c r="M1002" i="3"/>
  <c r="M1404" i="3"/>
  <c r="M627" i="3"/>
  <c r="M1825" i="3"/>
  <c r="M1003" i="3"/>
  <c r="M1405" i="3"/>
  <c r="M628" i="3"/>
  <c r="M1826" i="3"/>
  <c r="M1004" i="3"/>
  <c r="M1406" i="3"/>
  <c r="M1827" i="3"/>
  <c r="M1828" i="3"/>
  <c r="M237" i="3"/>
  <c r="M1005" i="3"/>
  <c r="M238" i="3"/>
  <c r="M1006" i="3"/>
  <c r="M1829" i="3"/>
  <c r="M1830" i="3"/>
  <c r="M239" i="3"/>
  <c r="M1831" i="3"/>
  <c r="M1832" i="3"/>
  <c r="M629" i="3"/>
  <c r="M1833" i="3"/>
  <c r="M240" i="3"/>
  <c r="M1834" i="3"/>
  <c r="M1835" i="3"/>
  <c r="M630" i="3"/>
  <c r="M1836" i="3"/>
  <c r="M1837" i="3"/>
  <c r="M1838" i="3"/>
  <c r="M1839" i="3"/>
  <c r="M1840" i="3"/>
  <c r="M1841" i="3"/>
  <c r="M1842" i="3"/>
  <c r="M1407" i="3"/>
  <c r="M1007" i="3"/>
  <c r="M1408" i="3"/>
  <c r="M1409" i="3"/>
  <c r="M1008" i="3"/>
  <c r="M1410" i="3"/>
  <c r="M631" i="3"/>
  <c r="M1411" i="3"/>
  <c r="M1843" i="3"/>
  <c r="M632" i="3"/>
  <c r="M1412" i="3"/>
  <c r="M1844" i="3"/>
  <c r="M1845" i="3"/>
  <c r="M1413" i="3"/>
  <c r="M1414" i="3"/>
  <c r="M1009" i="3"/>
  <c r="M1846" i="3"/>
  <c r="M1847" i="3"/>
  <c r="M1415" i="3"/>
  <c r="M1416" i="3"/>
  <c r="M1010" i="3"/>
  <c r="M1848" i="3"/>
  <c r="M1849" i="3"/>
  <c r="M241" i="3"/>
  <c r="M1850" i="3"/>
  <c r="M242" i="3"/>
  <c r="M633" i="3"/>
  <c r="M1011" i="3"/>
  <c r="M634" i="3"/>
  <c r="M1012" i="3"/>
  <c r="M1851" i="3"/>
  <c r="M1852" i="3"/>
  <c r="M635" i="3"/>
  <c r="M1853" i="3"/>
  <c r="M1013" i="3"/>
  <c r="M636" i="3"/>
  <c r="M1854" i="3"/>
  <c r="M1014" i="3"/>
  <c r="M243" i="3"/>
  <c r="M244" i="3"/>
  <c r="M245" i="3"/>
  <c r="M246" i="3"/>
  <c r="M1417" i="3"/>
  <c r="M247" i="3"/>
  <c r="M248" i="3"/>
  <c r="M1418" i="3"/>
  <c r="M1015" i="3"/>
  <c r="M637" i="3"/>
  <c r="M249" i="3"/>
  <c r="M1016" i="3"/>
  <c r="M1017" i="3"/>
  <c r="M638" i="3"/>
  <c r="M250" i="3"/>
  <c r="M1018" i="3"/>
  <c r="M1855" i="3"/>
  <c r="M1419" i="3"/>
  <c r="M639" i="3"/>
  <c r="M251" i="3"/>
  <c r="M252" i="3"/>
  <c r="M1856" i="3"/>
  <c r="M1420" i="3"/>
  <c r="M1857" i="3"/>
  <c r="M1858" i="3"/>
  <c r="M1421" i="3"/>
  <c r="M640" i="3"/>
  <c r="M253" i="3"/>
  <c r="M254" i="3"/>
  <c r="M1859" i="3"/>
  <c r="M1422" i="3"/>
  <c r="M1860" i="3"/>
  <c r="M1861" i="3"/>
  <c r="M1862" i="3"/>
  <c r="M1863" i="3"/>
  <c r="M1864" i="3"/>
  <c r="M1423" i="3"/>
  <c r="M641" i="3"/>
  <c r="M1424" i="3"/>
  <c r="M642" i="3"/>
  <c r="M1019" i="3"/>
  <c r="M1425" i="3"/>
  <c r="M255" i="3"/>
  <c r="M643" i="3"/>
  <c r="M1020" i="3"/>
  <c r="M1426" i="3"/>
  <c r="M256" i="3"/>
  <c r="M644" i="3"/>
  <c r="M1021" i="3"/>
  <c r="M1427" i="3"/>
  <c r="M1022" i="3"/>
  <c r="M645" i="3"/>
  <c r="M1023" i="3"/>
  <c r="M1428" i="3"/>
  <c r="M1024" i="3"/>
  <c r="M646" i="3"/>
  <c r="M1025" i="3"/>
  <c r="M1026" i="3"/>
  <c r="M1027" i="3"/>
  <c r="M1429" i="3"/>
  <c r="M1028" i="3"/>
  <c r="M1029" i="3"/>
  <c r="M1430" i="3"/>
  <c r="M1030" i="3"/>
  <c r="M1031" i="3"/>
  <c r="M647" i="3"/>
  <c r="M1032" i="3"/>
  <c r="M1865" i="3"/>
  <c r="M1033" i="3"/>
  <c r="M648" i="3"/>
  <c r="M1034" i="3"/>
  <c r="M1866" i="3"/>
  <c r="M1035" i="3"/>
  <c r="M1867" i="3"/>
  <c r="M1036" i="3"/>
  <c r="M1868" i="3"/>
  <c r="M1431" i="3"/>
  <c r="M649" i="3"/>
  <c r="M1432" i="3"/>
  <c r="M650" i="3"/>
  <c r="M257" i="3"/>
  <c r="M258" i="3"/>
  <c r="M1037" i="3"/>
  <c r="M1869" i="3"/>
  <c r="M1038" i="3"/>
  <c r="M651" i="3"/>
  <c r="M259" i="3"/>
  <c r="M260" i="3"/>
  <c r="M1039" i="3"/>
  <c r="M1870" i="3"/>
  <c r="M1040" i="3"/>
  <c r="M652" i="3"/>
  <c r="M1433" i="3"/>
  <c r="M1434" i="3"/>
  <c r="M653" i="3"/>
  <c r="M261" i="3"/>
  <c r="M1871" i="3"/>
  <c r="M654" i="3"/>
  <c r="M262" i="3"/>
  <c r="M1872" i="3"/>
  <c r="M1873" i="3"/>
  <c r="M1041" i="3"/>
  <c r="M1874" i="3"/>
  <c r="M655" i="3"/>
  <c r="M1875" i="3"/>
  <c r="M1042" i="3"/>
  <c r="M1876" i="3"/>
  <c r="M656" i="3"/>
  <c r="M657" i="3"/>
  <c r="M658" i="3"/>
  <c r="M659" i="3"/>
  <c r="M660" i="3"/>
  <c r="M1043" i="3"/>
  <c r="M1435" i="3"/>
  <c r="M1877" i="3"/>
  <c r="M661" i="3"/>
  <c r="M662" i="3"/>
  <c r="M663" i="3"/>
  <c r="M1044" i="3"/>
  <c r="M1436" i="3"/>
  <c r="M1878" i="3"/>
  <c r="M664" i="3"/>
  <c r="M1437" i="3"/>
  <c r="M263" i="3"/>
  <c r="M1438" i="3"/>
  <c r="M264" i="3"/>
  <c r="M665" i="3"/>
  <c r="M1879" i="3"/>
  <c r="M1439" i="3"/>
  <c r="M666" i="3"/>
  <c r="M1880" i="3"/>
  <c r="M1440" i="3"/>
  <c r="M265" i="3"/>
  <c r="M1441" i="3"/>
  <c r="M667" i="3"/>
  <c r="M266" i="3"/>
  <c r="M1442" i="3"/>
  <c r="M668" i="3"/>
  <c r="M669" i="3"/>
  <c r="M1045" i="3"/>
  <c r="M267" i="3"/>
  <c r="M670" i="3"/>
  <c r="M1046" i="3"/>
  <c r="M268" i="3"/>
  <c r="M671" i="3"/>
  <c r="M1443" i="3"/>
  <c r="M269" i="3"/>
  <c r="M672" i="3"/>
  <c r="M1444" i="3"/>
  <c r="M270" i="3"/>
  <c r="M1445" i="3"/>
  <c r="M1047" i="3"/>
  <c r="M1446" i="3"/>
  <c r="M271" i="3"/>
  <c r="M1447" i="3"/>
  <c r="M1048" i="3"/>
  <c r="M1448" i="3"/>
  <c r="M272" i="3"/>
  <c r="M1049" i="3"/>
  <c r="M673" i="3"/>
  <c r="M674" i="3"/>
  <c r="M1050" i="3"/>
  <c r="M675" i="3"/>
  <c r="M676" i="3"/>
  <c r="M1881" i="3"/>
  <c r="M677" i="3"/>
  <c r="M1051" i="3"/>
  <c r="M1882" i="3"/>
  <c r="M1883" i="3"/>
  <c r="M678" i="3"/>
  <c r="M1052" i="3"/>
  <c r="M1884" i="3"/>
  <c r="M1053" i="3"/>
  <c r="M1885" i="3"/>
  <c r="M273" i="3"/>
  <c r="M274" i="3"/>
  <c r="M679" i="3"/>
  <c r="M1054" i="3"/>
  <c r="M1886" i="3"/>
  <c r="M275" i="3"/>
  <c r="M276" i="3"/>
  <c r="M680" i="3"/>
  <c r="M1055" i="3"/>
  <c r="M1449" i="3"/>
  <c r="M1450" i="3"/>
  <c r="M277" i="3"/>
  <c r="M1056" i="3"/>
  <c r="M1451" i="3"/>
  <c r="M1452" i="3"/>
  <c r="M278" i="3"/>
  <c r="M279" i="3"/>
  <c r="M1453" i="3"/>
  <c r="M681" i="3"/>
  <c r="M280" i="3"/>
  <c r="M1454" i="3"/>
  <c r="M682" i="3"/>
  <c r="M1455" i="3"/>
  <c r="M1456" i="3"/>
  <c r="M1887" i="3"/>
  <c r="M1888" i="3"/>
  <c r="M1889" i="3"/>
  <c r="M683" i="3"/>
  <c r="M1890" i="3"/>
  <c r="M684" i="3"/>
  <c r="M1057" i="3"/>
  <c r="M685" i="3"/>
  <c r="M1457" i="3"/>
  <c r="M281" i="3"/>
  <c r="M1058" i="3"/>
  <c r="M1059" i="3"/>
  <c r="M686" i="3"/>
  <c r="M1458" i="3"/>
  <c r="M282" i="3"/>
  <c r="M1060" i="3"/>
  <c r="M687" i="3"/>
  <c r="M1061" i="3"/>
  <c r="M1062" i="3"/>
  <c r="M688" i="3"/>
  <c r="M1063" i="3"/>
  <c r="M1064" i="3"/>
  <c r="M1459" i="3"/>
  <c r="M283" i="3"/>
  <c r="M1065" i="3"/>
  <c r="M284" i="3"/>
  <c r="M1460" i="3"/>
  <c r="M285" i="3"/>
  <c r="M1066" i="3"/>
  <c r="M286" i="3"/>
  <c r="M1067" i="3"/>
  <c r="M287" i="3"/>
  <c r="M1068" i="3"/>
  <c r="M1069" i="3"/>
  <c r="M288" i="3"/>
  <c r="M1070" i="3"/>
  <c r="M1071" i="3"/>
  <c r="M1072" i="3"/>
  <c r="M1073" i="3"/>
  <c r="M1891" i="3"/>
  <c r="M1074" i="3"/>
  <c r="M1892" i="3"/>
  <c r="M289" i="3"/>
  <c r="M290" i="3"/>
  <c r="M1461" i="3"/>
  <c r="M1462" i="3"/>
  <c r="M291" i="3"/>
  <c r="M292" i="3"/>
  <c r="M293" i="3"/>
  <c r="M1893" i="3"/>
  <c r="M294" i="3"/>
  <c r="M295" i="3"/>
  <c r="M1894" i="3"/>
  <c r="M296" i="3"/>
  <c r="M1075" i="3"/>
  <c r="M297" i="3"/>
  <c r="M1076" i="3"/>
  <c r="M1077" i="3"/>
  <c r="M1463" i="3"/>
  <c r="M1078" i="3"/>
  <c r="M298" i="3"/>
  <c r="M1079" i="3"/>
  <c r="M1080" i="3"/>
  <c r="M1464" i="3"/>
  <c r="M1465" i="3"/>
  <c r="M1081" i="3"/>
  <c r="M1082" i="3"/>
  <c r="M1466" i="3"/>
  <c r="M1083" i="3"/>
  <c r="M1084" i="3"/>
  <c r="M299" i="3"/>
  <c r="M689" i="3"/>
  <c r="M300" i="3"/>
  <c r="M690" i="3"/>
  <c r="M301" i="3"/>
  <c r="M691" i="3"/>
  <c r="M302" i="3"/>
  <c r="M692" i="3"/>
  <c r="M693" i="3"/>
  <c r="M1085" i="3"/>
  <c r="M694" i="3"/>
  <c r="M1086" i="3"/>
  <c r="M1087" i="3"/>
  <c r="M1088" i="3"/>
  <c r="M1467" i="3"/>
  <c r="M695" i="3"/>
  <c r="M1468" i="3"/>
  <c r="M696" i="3"/>
  <c r="M697" i="3"/>
  <c r="M1089" i="3"/>
  <c r="M1469" i="3"/>
  <c r="M698" i="3"/>
  <c r="M1090" i="3"/>
  <c r="M1470" i="3"/>
  <c r="M1091" i="3"/>
  <c r="M1092" i="3"/>
  <c r="M1471" i="3"/>
  <c r="M303" i="3"/>
  <c r="M1093" i="3"/>
  <c r="M1472" i="3"/>
  <c r="M304" i="3"/>
  <c r="M1094" i="3"/>
  <c r="M1473" i="3"/>
  <c r="M1095" i="3"/>
  <c r="M1895" i="3"/>
  <c r="M305" i="3"/>
  <c r="M1474" i="3"/>
  <c r="M1096" i="3"/>
  <c r="M1896" i="3"/>
  <c r="M306" i="3"/>
  <c r="M1475" i="3"/>
  <c r="M1897" i="3"/>
  <c r="M1476" i="3"/>
  <c r="M1898" i="3"/>
  <c r="M1899" i="3"/>
  <c r="M1900" i="3"/>
  <c r="M1477" i="3"/>
  <c r="M1901" i="3"/>
  <c r="M1902" i="3"/>
  <c r="M1478" i="3"/>
  <c r="M307" i="3"/>
  <c r="M1479" i="3"/>
  <c r="M308" i="3"/>
  <c r="M699" i="3"/>
  <c r="M1097" i="3"/>
  <c r="M309" i="3"/>
  <c r="M1480" i="3"/>
  <c r="M310" i="3"/>
  <c r="M700" i="3"/>
  <c r="M1098" i="3"/>
  <c r="M701" i="3"/>
  <c r="M1481" i="3"/>
  <c r="M1482" i="3"/>
  <c r="M311" i="3"/>
  <c r="M1099" i="3"/>
  <c r="M702" i="3"/>
  <c r="M1483" i="3"/>
  <c r="M1484" i="3"/>
  <c r="M312" i="3"/>
  <c r="M1100" i="3"/>
  <c r="M703" i="3"/>
  <c r="M1101" i="3"/>
  <c r="M704" i="3"/>
  <c r="M1485" i="3"/>
  <c r="M705" i="3"/>
  <c r="M1903" i="3"/>
  <c r="M706" i="3"/>
  <c r="M1102" i="3"/>
  <c r="M707" i="3"/>
  <c r="M1486" i="3"/>
  <c r="M708" i="3"/>
  <c r="M1904" i="3"/>
  <c r="M1905" i="3"/>
  <c r="M709" i="3"/>
  <c r="M1906" i="3"/>
  <c r="M710" i="3"/>
  <c r="M1907" i="3"/>
  <c r="M1908" i="3"/>
  <c r="M1103" i="3"/>
  <c r="M1909" i="3"/>
  <c r="M1487" i="3"/>
  <c r="M1104" i="3"/>
  <c r="M1105" i="3"/>
  <c r="M1910" i="3"/>
  <c r="M1488" i="3"/>
  <c r="M1106" i="3"/>
  <c r="M313" i="3"/>
  <c r="M1911" i="3"/>
  <c r="M314" i="3"/>
  <c r="M1912" i="3"/>
  <c r="M315" i="3"/>
  <c r="M316" i="3"/>
  <c r="M711" i="3"/>
  <c r="M317" i="3"/>
  <c r="M318" i="3"/>
  <c r="M712" i="3"/>
  <c r="M713" i="3"/>
  <c r="M1107" i="3"/>
  <c r="M1489" i="3"/>
  <c r="M1490" i="3"/>
  <c r="M714" i="3"/>
  <c r="M1108" i="3"/>
  <c r="M1491" i="3"/>
  <c r="M1492" i="3"/>
  <c r="M319" i="3"/>
  <c r="M1109" i="3"/>
  <c r="M1913" i="3"/>
  <c r="M1493" i="3"/>
  <c r="M1110" i="3"/>
  <c r="M320" i="3"/>
  <c r="M1914" i="3"/>
  <c r="M321" i="3"/>
  <c r="M1111" i="3"/>
  <c r="M1915" i="3"/>
  <c r="M1494" i="3"/>
  <c r="M1112" i="3"/>
  <c r="M322" i="3"/>
  <c r="M1916" i="3"/>
  <c r="M323" i="3"/>
  <c r="M1113" i="3"/>
  <c r="M1495" i="3"/>
  <c r="M324" i="3"/>
  <c r="M1114" i="3"/>
  <c r="M1496" i="3"/>
  <c r="M1917" i="3"/>
  <c r="M325" i="3"/>
  <c r="M326" i="3"/>
  <c r="M1918" i="3"/>
  <c r="M327" i="3"/>
  <c r="M328" i="3"/>
  <c r="M715" i="3"/>
  <c r="M1115" i="3"/>
  <c r="M716" i="3"/>
  <c r="M1116" i="3"/>
  <c r="M1117" i="3"/>
  <c r="M1118" i="3"/>
  <c r="M1497" i="3"/>
  <c r="M1119" i="3"/>
  <c r="M1120" i="3"/>
  <c r="M1498" i="3"/>
  <c r="M717" i="3"/>
  <c r="M1919" i="3"/>
  <c r="M329" i="3"/>
  <c r="M1499" i="3"/>
  <c r="M718" i="3"/>
  <c r="M1920" i="3"/>
  <c r="M330" i="3"/>
  <c r="M1500" i="3"/>
  <c r="M331" i="3"/>
  <c r="M332" i="3"/>
  <c r="M333" i="3"/>
  <c r="M334" i="3"/>
  <c r="M1921" i="3"/>
  <c r="M335" i="3"/>
  <c r="M1922" i="3"/>
  <c r="M336" i="3"/>
  <c r="M1501" i="3"/>
  <c r="M1502" i="3"/>
  <c r="M1503" i="3"/>
  <c r="M719" i="3"/>
  <c r="M1504" i="3"/>
  <c r="M1505" i="3"/>
  <c r="M1506" i="3"/>
  <c r="M720" i="3"/>
  <c r="M1121" i="3"/>
  <c r="M1122" i="3"/>
  <c r="M1123" i="3"/>
  <c r="M1124" i="3"/>
  <c r="M1923" i="3"/>
  <c r="M1507" i="3"/>
  <c r="M1125" i="3"/>
  <c r="M1924" i="3"/>
  <c r="M1508" i="3"/>
  <c r="M1126" i="3"/>
  <c r="M1127" i="3"/>
  <c r="M1128" i="3"/>
  <c r="M337" i="3"/>
  <c r="M1925" i="3"/>
  <c r="M1129" i="3"/>
  <c r="M1130" i="3"/>
  <c r="M338" i="3"/>
  <c r="M1926" i="3"/>
  <c r="M339" i="3"/>
  <c r="M1927" i="3"/>
  <c r="M1131" i="3"/>
  <c r="M340" i="3"/>
  <c r="M341" i="3"/>
  <c r="M1928" i="3"/>
  <c r="M1132" i="3"/>
  <c r="M342" i="3"/>
  <c r="M1929" i="3"/>
  <c r="M1930" i="3"/>
  <c r="M1931" i="3"/>
  <c r="M1932" i="3"/>
  <c r="M721" i="3"/>
  <c r="M1133" i="3"/>
  <c r="M1509" i="3"/>
  <c r="M722" i="3"/>
  <c r="M1134" i="3"/>
  <c r="M1510" i="3"/>
  <c r="M1933" i="3"/>
  <c r="M1135" i="3"/>
  <c r="M1934" i="3"/>
  <c r="M1935" i="3"/>
  <c r="M1136" i="3"/>
  <c r="M1936" i="3"/>
  <c r="M1511" i="3"/>
  <c r="M1137" i="3"/>
  <c r="M723" i="3"/>
  <c r="M343" i="3"/>
  <c r="M724" i="3"/>
  <c r="M344" i="3"/>
  <c r="M1512" i="3"/>
  <c r="M1138" i="3"/>
  <c r="M725" i="3"/>
  <c r="M345" i="3"/>
  <c r="M726" i="3"/>
  <c r="M346" i="3"/>
  <c r="M347" i="3"/>
  <c r="M348" i="3"/>
  <c r="M1937" i="3"/>
  <c r="M727" i="3"/>
  <c r="M1139" i="3"/>
  <c r="M1938" i="3"/>
  <c r="M728" i="3"/>
  <c r="M1140" i="3"/>
  <c r="M1513" i="3"/>
  <c r="M349" i="3"/>
  <c r="M1141" i="3"/>
  <c r="M1514" i="3"/>
  <c r="M1515" i="3"/>
  <c r="M350" i="3"/>
  <c r="M1142" i="3"/>
  <c r="M1516" i="3"/>
  <c r="M1143" i="3"/>
  <c r="M351" i="3"/>
  <c r="M1939" i="3"/>
  <c r="M352" i="3"/>
  <c r="M729" i="3"/>
  <c r="M1144" i="3"/>
  <c r="M1145" i="3"/>
  <c r="M353" i="3"/>
  <c r="M1940" i="3"/>
  <c r="M354" i="3"/>
  <c r="M730" i="3"/>
  <c r="M1146" i="3"/>
  <c r="M1517" i="3"/>
  <c r="M1518" i="3"/>
  <c r="M1941" i="3"/>
  <c r="M1942" i="3"/>
  <c r="M1519" i="3"/>
  <c r="M1520" i="3"/>
  <c r="M1521" i="3"/>
  <c r="M1522" i="3"/>
  <c r="M1943" i="3"/>
  <c r="M1523" i="3"/>
  <c r="M1944" i="3"/>
  <c r="M1524" i="3"/>
  <c r="M355" i="3"/>
  <c r="M356" i="3"/>
  <c r="M731" i="3"/>
  <c r="M1945" i="3"/>
  <c r="M357" i="3"/>
  <c r="M1525" i="3"/>
  <c r="M358" i="3"/>
  <c r="M359" i="3"/>
  <c r="M732" i="3"/>
  <c r="M1946" i="3"/>
  <c r="M360" i="3"/>
  <c r="M1526" i="3"/>
  <c r="M733" i="3"/>
  <c r="M734" i="3"/>
  <c r="M735" i="3"/>
  <c r="M736" i="3"/>
  <c r="M1947" i="3"/>
  <c r="M1527" i="3"/>
  <c r="M1147" i="3"/>
  <c r="M1948" i="3"/>
  <c r="M1528" i="3"/>
  <c r="M1148" i="3"/>
  <c r="M361" i="3"/>
  <c r="M737" i="3"/>
  <c r="M362" i="3"/>
  <c r="M738" i="3"/>
  <c r="M1149" i="3"/>
  <c r="M363" i="3"/>
  <c r="M1150" i="3"/>
  <c r="M364" i="3"/>
  <c r="M1529" i="3"/>
  <c r="M365" i="3"/>
  <c r="M1530" i="3"/>
  <c r="M366" i="3"/>
  <c r="M739" i="3"/>
  <c r="M367" i="3"/>
  <c r="M1531" i="3"/>
  <c r="M1151" i="3"/>
  <c r="M740" i="3"/>
  <c r="M368" i="3"/>
  <c r="M1532" i="3"/>
  <c r="M1152" i="3"/>
  <c r="M1949" i="3"/>
  <c r="M369" i="3"/>
  <c r="M741" i="3"/>
  <c r="M1950" i="3"/>
  <c r="M370" i="3"/>
  <c r="M742" i="3"/>
  <c r="M1951" i="3"/>
  <c r="M1952" i="3"/>
  <c r="M1953" i="3"/>
  <c r="M743" i="3"/>
  <c r="M1533" i="3"/>
  <c r="M744" i="3"/>
  <c r="M1954" i="3"/>
  <c r="M745" i="3"/>
  <c r="M1534" i="3"/>
  <c r="M746" i="3"/>
  <c r="M747" i="3"/>
  <c r="M1955" i="3"/>
  <c r="M371" i="3"/>
  <c r="M748" i="3"/>
  <c r="M1956" i="3"/>
  <c r="M372" i="3"/>
  <c r="M1153" i="3"/>
  <c r="M1154" i="3"/>
  <c r="M1155" i="3"/>
  <c r="M1156" i="3"/>
  <c r="M373" i="3"/>
  <c r="M374" i="3"/>
  <c r="M1157" i="3"/>
  <c r="M1535" i="3"/>
  <c r="M749" i="3"/>
  <c r="M1158" i="3"/>
  <c r="M1536" i="3"/>
  <c r="M750" i="3"/>
  <c r="M1957" i="3"/>
  <c r="M1159" i="3"/>
  <c r="M375" i="3"/>
  <c r="M1958" i="3"/>
  <c r="M1160" i="3"/>
  <c r="M376" i="3"/>
  <c r="M1537" i="3"/>
  <c r="M1538" i="3"/>
  <c r="M751" i="3"/>
  <c r="M1539" i="3"/>
  <c r="M1540" i="3"/>
  <c r="M752" i="3"/>
  <c r="M1161" i="3"/>
  <c r="M753" i="3"/>
  <c r="M1541" i="3"/>
  <c r="M1162" i="3"/>
  <c r="M754" i="3"/>
  <c r="M1542" i="3"/>
  <c r="M377" i="3"/>
  <c r="M378" i="3"/>
  <c r="M379" i="3"/>
  <c r="M380" i="3"/>
  <c r="M1959" i="3"/>
  <c r="M381" i="3"/>
  <c r="M1960" i="3"/>
  <c r="M382" i="3"/>
  <c r="M755" i="3"/>
  <c r="M383" i="3"/>
  <c r="M756" i="3"/>
  <c r="M757" i="3"/>
  <c r="M384" i="3"/>
  <c r="M758" i="3"/>
  <c r="M759" i="3"/>
  <c r="M1543" i="3"/>
  <c r="M760" i="3"/>
  <c r="M1544" i="3"/>
  <c r="M1545" i="3"/>
  <c r="M1961" i="3"/>
  <c r="M385" i="3"/>
  <c r="M1546" i="3"/>
  <c r="M1962" i="3"/>
  <c r="M386" i="3"/>
  <c r="M761" i="3"/>
  <c r="M1547" i="3"/>
  <c r="M387" i="3"/>
  <c r="M762" i="3"/>
  <c r="M1548" i="3"/>
  <c r="M388" i="3"/>
  <c r="M763" i="3"/>
  <c r="M389" i="3"/>
  <c r="M764" i="3"/>
  <c r="M390" i="3"/>
  <c r="M1963" i="3"/>
  <c r="M765" i="3"/>
  <c r="M1964" i="3"/>
  <c r="M1965" i="3"/>
  <c r="M766" i="3"/>
  <c r="M1966" i="3"/>
  <c r="M1549" i="3"/>
  <c r="M1550" i="3"/>
  <c r="M1967" i="3"/>
  <c r="M1163" i="3"/>
  <c r="M767" i="3"/>
  <c r="M1164" i="3"/>
  <c r="M1968" i="3"/>
  <c r="M1165" i="3"/>
  <c r="M768" i="3"/>
  <c r="M1166" i="3"/>
  <c r="M1969" i="3"/>
  <c r="M391" i="3"/>
  <c r="M392" i="3"/>
  <c r="M1167" i="3"/>
  <c r="M1168" i="3"/>
  <c r="M1970" i="3"/>
  <c r="M393" i="3"/>
  <c r="M394" i="3"/>
  <c r="M1169" i="3"/>
  <c r="M1170" i="3"/>
  <c r="M1971" i="3"/>
  <c r="M769" i="3"/>
  <c r="M1972" i="3"/>
  <c r="M395" i="3"/>
  <c r="M1551" i="3"/>
  <c r="M1973" i="3"/>
  <c r="M770" i="3"/>
  <c r="M1974" i="3"/>
  <c r="M396" i="3"/>
  <c r="M1552" i="3"/>
  <c r="M1975" i="3"/>
  <c r="M1553" i="3"/>
  <c r="M1976" i="3"/>
  <c r="M1554" i="3"/>
  <c r="M1555" i="3"/>
  <c r="M1977" i="3"/>
  <c r="M1556" i="3"/>
  <c r="M1557" i="3"/>
  <c r="M1558" i="3"/>
  <c r="M1978" i="3"/>
  <c r="M1559" i="3"/>
  <c r="M1560" i="3"/>
  <c r="M1171" i="3"/>
  <c r="M1979" i="3"/>
  <c r="M397" i="3"/>
  <c r="M1980" i="3"/>
  <c r="M1172" i="3"/>
  <c r="M1561" i="3"/>
  <c r="M1173" i="3"/>
  <c r="M1981" i="3"/>
  <c r="M398" i="3"/>
  <c r="M1982" i="3"/>
  <c r="M1174" i="3"/>
  <c r="M1562" i="3"/>
  <c r="M771" i="3"/>
  <c r="M772" i="3"/>
  <c r="M1563" i="3"/>
  <c r="M1175" i="3"/>
  <c r="M773" i="3"/>
  <c r="M774" i="3"/>
  <c r="M1564" i="3"/>
  <c r="M1176" i="3"/>
  <c r="M1565" i="3"/>
  <c r="M1177" i="3"/>
  <c r="M1566" i="3"/>
  <c r="M1178" i="3"/>
  <c r="M1179" i="3"/>
  <c r="M1180" i="3"/>
  <c r="M1181" i="3"/>
  <c r="M1182" i="3"/>
  <c r="M1567" i="3"/>
  <c r="M399" i="3"/>
  <c r="M400" i="3"/>
  <c r="M1568" i="3"/>
  <c r="M401" i="3"/>
  <c r="M402" i="3"/>
  <c r="M1569" i="3"/>
  <c r="M775" i="3"/>
  <c r="M1570" i="3"/>
  <c r="M776" i="3"/>
  <c r="M1983" i="3"/>
  <c r="M1183" i="3"/>
  <c r="M1984" i="3"/>
  <c r="M1184" i="3"/>
  <c r="M1185" i="3"/>
  <c r="M1985" i="3"/>
  <c r="M777" i="3"/>
  <c r="M1186" i="3"/>
  <c r="M1986" i="3"/>
  <c r="M778" i="3"/>
  <c r="M1571" i="3"/>
  <c r="M1572" i="3"/>
  <c r="M1573" i="3"/>
  <c r="M1574" i="3"/>
  <c r="M1575" i="3"/>
  <c r="M403" i="3"/>
  <c r="M1576" i="3"/>
  <c r="M1987" i="3"/>
  <c r="M1577" i="3"/>
  <c r="M404" i="3"/>
  <c r="M1578" i="3"/>
  <c r="M1988" i="3"/>
  <c r="M1579" i="3"/>
  <c r="M1187" i="3"/>
  <c r="M779" i="3"/>
  <c r="M1580" i="3"/>
  <c r="M1188" i="3"/>
  <c r="M780" i="3"/>
  <c r="M1189" i="3"/>
  <c r="M1581" i="3"/>
  <c r="M1190" i="3"/>
  <c r="M1191" i="3"/>
  <c r="M405" i="3"/>
  <c r="M1192" i="3"/>
  <c r="M1582" i="3"/>
  <c r="M1193" i="3"/>
  <c r="M1194" i="3"/>
  <c r="M406" i="3"/>
  <c r="M1583" i="3"/>
  <c r="M1584" i="3"/>
  <c r="M1989" i="3"/>
  <c r="M1990" i="3"/>
  <c r="M407" i="3"/>
  <c r="M408" i="3"/>
  <c r="M1585" i="3"/>
  <c r="M409" i="3"/>
  <c r="M1586" i="3"/>
  <c r="M1991" i="3"/>
  <c r="M410" i="3"/>
  <c r="M411" i="3"/>
  <c r="M1587" i="3"/>
  <c r="M412" i="3"/>
  <c r="M1588" i="3"/>
  <c r="M1992" i="3"/>
  <c r="M1195" i="3"/>
  <c r="M1196" i="3"/>
  <c r="M1197" i="3"/>
  <c r="M1198" i="3"/>
  <c r="M1589" i="3"/>
  <c r="M1590" i="3"/>
  <c r="M1199" i="3"/>
  <c r="M1200" i="3"/>
  <c r="M1591" i="3"/>
  <c r="M1592" i="3"/>
  <c r="M781" i="3"/>
  <c r="M1201" i="3"/>
  <c r="M1202" i="3"/>
  <c r="M1203" i="3"/>
  <c r="M1593" i="3"/>
  <c r="M1594" i="3"/>
  <c r="M782" i="3"/>
  <c r="M1204" i="3"/>
  <c r="M1205" i="3"/>
  <c r="M1595" i="3"/>
  <c r="M1206" i="3"/>
  <c r="M1596" i="3"/>
  <c r="M413" i="3"/>
  <c r="M1993" i="3"/>
  <c r="M414" i="3"/>
  <c r="M415" i="3"/>
  <c r="M1994" i="3"/>
  <c r="M416" i="3"/>
  <c r="M1597" i="3"/>
  <c r="M417" i="3"/>
  <c r="M1995" i="3"/>
  <c r="M1598" i="3"/>
  <c r="M1599" i="3"/>
  <c r="M418" i="3"/>
  <c r="M1996" i="3"/>
  <c r="M1600" i="3"/>
  <c r="M419" i="3"/>
  <c r="M420" i="3"/>
  <c r="M1997" i="3"/>
  <c r="M783" i="3"/>
  <c r="M1998" i="3"/>
  <c r="M784" i="3"/>
  <c r="B15" i="4"/>
  <c r="B14" i="4"/>
  <c r="B13" i="4"/>
  <c r="B9" i="4"/>
  <c r="B8" i="4"/>
  <c r="B7" i="4"/>
  <c r="B6" i="4"/>
  <c r="B5" i="4"/>
  <c r="N784" i="3" l="1"/>
  <c r="O784" i="3"/>
  <c r="N1998" i="3"/>
  <c r="O1998" i="3"/>
  <c r="N783" i="3"/>
  <c r="O783" i="3"/>
  <c r="N1997" i="3"/>
  <c r="O1997" i="3"/>
  <c r="N420" i="3"/>
  <c r="O420" i="3"/>
  <c r="N419" i="3"/>
  <c r="O419" i="3"/>
  <c r="N1600" i="3"/>
  <c r="O1600" i="3"/>
  <c r="N1996" i="3"/>
  <c r="O1996" i="3"/>
  <c r="N418" i="3"/>
  <c r="O418" i="3"/>
  <c r="N1599" i="3"/>
  <c r="O1599" i="3"/>
  <c r="N1598" i="3"/>
  <c r="O1598" i="3"/>
  <c r="N1995" i="3"/>
  <c r="O1995" i="3"/>
  <c r="N417" i="3"/>
  <c r="O417" i="3"/>
  <c r="N1597" i="3"/>
  <c r="O1597" i="3"/>
  <c r="N416" i="3"/>
  <c r="O416" i="3"/>
  <c r="N1994" i="3"/>
  <c r="O1994" i="3"/>
  <c r="N415" i="3"/>
  <c r="O415" i="3"/>
  <c r="N414" i="3"/>
  <c r="O414" i="3"/>
  <c r="N1993" i="3"/>
  <c r="O1993" i="3"/>
  <c r="N413" i="3"/>
  <c r="O413" i="3"/>
  <c r="N1596" i="3"/>
  <c r="O1596" i="3"/>
  <c r="N1206" i="3"/>
  <c r="O1206" i="3"/>
  <c r="N1595" i="3"/>
  <c r="O1595" i="3"/>
  <c r="N1205" i="3"/>
  <c r="O1205" i="3"/>
  <c r="N1204" i="3"/>
  <c r="O1204" i="3"/>
  <c r="N782" i="3"/>
  <c r="O782" i="3"/>
  <c r="N1594" i="3"/>
  <c r="O1594" i="3"/>
  <c r="N1593" i="3"/>
  <c r="O1593" i="3"/>
  <c r="N1203" i="3"/>
  <c r="O1203" i="3"/>
  <c r="N1202" i="3"/>
  <c r="O1202" i="3"/>
  <c r="N1201" i="3"/>
  <c r="O1201" i="3"/>
  <c r="N781" i="3"/>
  <c r="O781" i="3"/>
  <c r="N1592" i="3"/>
  <c r="O1592" i="3"/>
  <c r="N1591" i="3"/>
  <c r="O1591" i="3"/>
  <c r="N1200" i="3"/>
  <c r="O1200" i="3"/>
  <c r="N1199" i="3"/>
  <c r="O1199" i="3"/>
  <c r="N1590" i="3"/>
  <c r="O1590" i="3"/>
  <c r="N1589" i="3"/>
  <c r="O1589" i="3"/>
  <c r="N1198" i="3"/>
  <c r="O1198" i="3"/>
  <c r="N1197" i="3"/>
  <c r="O1197" i="3"/>
  <c r="N1196" i="3"/>
  <c r="O1196" i="3"/>
  <c r="N1195" i="3"/>
  <c r="O1195" i="3"/>
  <c r="N1992" i="3"/>
  <c r="O1992" i="3"/>
  <c r="N1588" i="3"/>
  <c r="O1588" i="3"/>
  <c r="N412" i="3"/>
  <c r="O412" i="3"/>
  <c r="N1587" i="3"/>
  <c r="O1587" i="3"/>
  <c r="N411" i="3"/>
  <c r="O411" i="3"/>
  <c r="N410" i="3"/>
  <c r="O410" i="3"/>
  <c r="N1991" i="3"/>
  <c r="O1991" i="3"/>
  <c r="N1586" i="3"/>
  <c r="O1586" i="3"/>
  <c r="N409" i="3"/>
  <c r="O409" i="3"/>
  <c r="N1585" i="3"/>
  <c r="O1585" i="3"/>
  <c r="N408" i="3"/>
  <c r="O408" i="3"/>
  <c r="N407" i="3"/>
  <c r="O407" i="3"/>
  <c r="N1990" i="3"/>
  <c r="O1990" i="3"/>
  <c r="N1989" i="3"/>
  <c r="O1989" i="3"/>
  <c r="N1584" i="3"/>
  <c r="O1584" i="3"/>
  <c r="N1583" i="3"/>
  <c r="O1583" i="3"/>
  <c r="N406" i="3"/>
  <c r="O406" i="3"/>
  <c r="N1194" i="3"/>
  <c r="O1194" i="3"/>
  <c r="N1193" i="3"/>
  <c r="O1193" i="3"/>
  <c r="N1582" i="3"/>
  <c r="O1582" i="3"/>
  <c r="N1192" i="3"/>
  <c r="O1192" i="3"/>
  <c r="N405" i="3"/>
  <c r="O405" i="3"/>
  <c r="N1191" i="3"/>
  <c r="O1191" i="3"/>
  <c r="N1190" i="3"/>
  <c r="O1190" i="3"/>
  <c r="N1581" i="3"/>
  <c r="O1581" i="3"/>
  <c r="N1189" i="3"/>
  <c r="O1189" i="3"/>
  <c r="N780" i="3"/>
  <c r="O780" i="3"/>
  <c r="N1188" i="3"/>
  <c r="O1188" i="3"/>
  <c r="N1580" i="3"/>
  <c r="O1580" i="3"/>
  <c r="N779" i="3"/>
  <c r="O779" i="3"/>
  <c r="N1187" i="3"/>
  <c r="O1187" i="3"/>
  <c r="N1579" i="3"/>
  <c r="O1579" i="3"/>
  <c r="N1988" i="3"/>
  <c r="O1988" i="3"/>
  <c r="N1578" i="3"/>
  <c r="O1578" i="3"/>
  <c r="N404" i="3"/>
  <c r="O404" i="3"/>
  <c r="N1577" i="3"/>
  <c r="O1577" i="3"/>
  <c r="N1987" i="3"/>
  <c r="O1987" i="3"/>
  <c r="N1576" i="3"/>
  <c r="O1576" i="3"/>
  <c r="N403" i="3"/>
  <c r="O403" i="3"/>
  <c r="N1575" i="3"/>
  <c r="O1575" i="3"/>
  <c r="N1574" i="3"/>
  <c r="O1574" i="3"/>
  <c r="N1573" i="3"/>
  <c r="O1573" i="3"/>
  <c r="N1572" i="3"/>
  <c r="O1572" i="3"/>
  <c r="N1571" i="3"/>
  <c r="O1571" i="3"/>
  <c r="N778" i="3"/>
  <c r="O778" i="3"/>
  <c r="N1986" i="3"/>
  <c r="O1986" i="3"/>
  <c r="N1186" i="3"/>
  <c r="O1186" i="3"/>
  <c r="N777" i="3"/>
  <c r="O777" i="3"/>
  <c r="N1985" i="3"/>
  <c r="O1985" i="3"/>
  <c r="N1185" i="3"/>
  <c r="O1185" i="3"/>
  <c r="N1184" i="3"/>
  <c r="O1184" i="3"/>
  <c r="N1984" i="3"/>
  <c r="O1984" i="3"/>
  <c r="N1183" i="3"/>
  <c r="O1183" i="3"/>
  <c r="N1983" i="3"/>
  <c r="O1983" i="3"/>
  <c r="N776" i="3"/>
  <c r="O776" i="3"/>
  <c r="N1570" i="3"/>
  <c r="O1570" i="3"/>
  <c r="N775" i="3"/>
  <c r="O775" i="3"/>
  <c r="N1569" i="3"/>
  <c r="O1569" i="3"/>
  <c r="N402" i="3"/>
  <c r="O402" i="3"/>
  <c r="N401" i="3"/>
  <c r="O401" i="3"/>
  <c r="N1568" i="3"/>
  <c r="O1568" i="3"/>
  <c r="N400" i="3"/>
  <c r="O400" i="3"/>
  <c r="N399" i="3"/>
  <c r="O399" i="3"/>
  <c r="N1567" i="3"/>
  <c r="O1567" i="3"/>
  <c r="N1182" i="3"/>
  <c r="O1182" i="3"/>
  <c r="N1181" i="3"/>
  <c r="O1181" i="3"/>
  <c r="N1180" i="3"/>
  <c r="O1180" i="3"/>
  <c r="N1179" i="3"/>
  <c r="O1179" i="3"/>
  <c r="N1178" i="3"/>
  <c r="O1178" i="3"/>
  <c r="N1566" i="3"/>
  <c r="O1566" i="3"/>
  <c r="N1177" i="3"/>
  <c r="O1177" i="3"/>
  <c r="N1565" i="3"/>
  <c r="O1565" i="3"/>
  <c r="N1176" i="3"/>
  <c r="O1176" i="3"/>
  <c r="N1564" i="3"/>
  <c r="O1564" i="3"/>
  <c r="N774" i="3"/>
  <c r="O774" i="3"/>
  <c r="N773" i="3"/>
  <c r="O773" i="3"/>
  <c r="N1175" i="3"/>
  <c r="O1175" i="3"/>
  <c r="N1563" i="3"/>
  <c r="O1563" i="3"/>
  <c r="N772" i="3"/>
  <c r="O772" i="3"/>
  <c r="N771" i="3"/>
  <c r="O771" i="3"/>
  <c r="N1562" i="3"/>
  <c r="O1562" i="3"/>
  <c r="N1174" i="3"/>
  <c r="O1174" i="3"/>
  <c r="N1982" i="3"/>
  <c r="O1982" i="3"/>
  <c r="N398" i="3"/>
  <c r="O398" i="3"/>
  <c r="N1981" i="3"/>
  <c r="O1981" i="3"/>
  <c r="N1173" i="3"/>
  <c r="O1173" i="3"/>
  <c r="N1561" i="3"/>
  <c r="O1561" i="3"/>
  <c r="N1172" i="3"/>
  <c r="O1172" i="3"/>
  <c r="N1980" i="3"/>
  <c r="O1980" i="3"/>
  <c r="N397" i="3"/>
  <c r="O397" i="3"/>
  <c r="N1979" i="3"/>
  <c r="O1979" i="3"/>
  <c r="N1171" i="3"/>
  <c r="O1171" i="3"/>
  <c r="N1560" i="3"/>
  <c r="O1560" i="3"/>
  <c r="N1559" i="3"/>
  <c r="O1559" i="3"/>
  <c r="N1978" i="3"/>
  <c r="O1978" i="3"/>
  <c r="N1558" i="3"/>
  <c r="O1558" i="3"/>
  <c r="N1557" i="3"/>
  <c r="O1557" i="3"/>
  <c r="N1556" i="3"/>
  <c r="O1556" i="3"/>
  <c r="N1977" i="3"/>
  <c r="O1977" i="3"/>
  <c r="N1555" i="3"/>
  <c r="O1555" i="3"/>
  <c r="N1554" i="3"/>
  <c r="O1554" i="3"/>
  <c r="N1976" i="3"/>
  <c r="O1976" i="3"/>
  <c r="N1553" i="3"/>
  <c r="O1553" i="3"/>
  <c r="N1975" i="3"/>
  <c r="O1975" i="3"/>
  <c r="N1552" i="3"/>
  <c r="O1552" i="3"/>
  <c r="N396" i="3"/>
  <c r="O396" i="3"/>
  <c r="N1974" i="3"/>
  <c r="O1974" i="3"/>
  <c r="N770" i="3"/>
  <c r="O770" i="3"/>
  <c r="N1973" i="3"/>
  <c r="O1973" i="3"/>
  <c r="N1551" i="3"/>
  <c r="O1551" i="3"/>
  <c r="N395" i="3"/>
  <c r="O395" i="3"/>
  <c r="N1972" i="3"/>
  <c r="O1972" i="3"/>
  <c r="N769" i="3"/>
  <c r="O769" i="3"/>
  <c r="N1971" i="3"/>
  <c r="O1971" i="3"/>
  <c r="N1170" i="3"/>
  <c r="O1170" i="3"/>
  <c r="N1169" i="3"/>
  <c r="O1169" i="3"/>
  <c r="N394" i="3"/>
  <c r="O394" i="3"/>
  <c r="N393" i="3"/>
  <c r="O393" i="3"/>
  <c r="N1970" i="3"/>
  <c r="O1970" i="3"/>
  <c r="N1168" i="3"/>
  <c r="O1168" i="3"/>
  <c r="N1167" i="3"/>
  <c r="O1167" i="3"/>
  <c r="N392" i="3"/>
  <c r="O392" i="3"/>
  <c r="N391" i="3"/>
  <c r="O391" i="3"/>
  <c r="N1969" i="3"/>
  <c r="O1969" i="3"/>
  <c r="N1166" i="3"/>
  <c r="O1166" i="3"/>
  <c r="N768" i="3"/>
  <c r="O768" i="3"/>
  <c r="N1165" i="3"/>
  <c r="O1165" i="3"/>
  <c r="N1968" i="3"/>
  <c r="O1968" i="3"/>
  <c r="N1164" i="3"/>
  <c r="O1164" i="3"/>
  <c r="N767" i="3"/>
  <c r="O767" i="3"/>
  <c r="N1163" i="3"/>
  <c r="O1163" i="3"/>
  <c r="N1967" i="3"/>
  <c r="O1967" i="3"/>
  <c r="N1550" i="3"/>
  <c r="O1550" i="3"/>
  <c r="N1549" i="3"/>
  <c r="O1549" i="3"/>
  <c r="N1966" i="3"/>
  <c r="O1966" i="3"/>
  <c r="N766" i="3"/>
  <c r="O766" i="3"/>
  <c r="N1965" i="3"/>
  <c r="O1965" i="3"/>
  <c r="N1964" i="3"/>
  <c r="O1964" i="3"/>
  <c r="N765" i="3"/>
  <c r="O765" i="3"/>
  <c r="N1963" i="3"/>
  <c r="O1963" i="3"/>
  <c r="N390" i="3"/>
  <c r="O390" i="3"/>
  <c r="N764" i="3"/>
  <c r="O764" i="3"/>
  <c r="N389" i="3"/>
  <c r="O389" i="3"/>
  <c r="N763" i="3"/>
  <c r="O763" i="3"/>
  <c r="N388" i="3"/>
  <c r="O388" i="3"/>
  <c r="N1548" i="3"/>
  <c r="O1548" i="3"/>
  <c r="N762" i="3"/>
  <c r="O762" i="3"/>
  <c r="N387" i="3"/>
  <c r="O387" i="3"/>
  <c r="N1547" i="3"/>
  <c r="O1547" i="3"/>
  <c r="N761" i="3"/>
  <c r="O761" i="3"/>
  <c r="N386" i="3"/>
  <c r="O386" i="3"/>
  <c r="N1962" i="3"/>
  <c r="O1962" i="3"/>
  <c r="N1546" i="3"/>
  <c r="O1546" i="3"/>
  <c r="N385" i="3"/>
  <c r="O385" i="3"/>
  <c r="N1961" i="3"/>
  <c r="O1961" i="3"/>
  <c r="N1545" i="3"/>
  <c r="O1545" i="3"/>
  <c r="N1544" i="3"/>
  <c r="O1544" i="3"/>
  <c r="N760" i="3"/>
  <c r="O760" i="3"/>
  <c r="N1543" i="3"/>
  <c r="O1543" i="3"/>
  <c r="N759" i="3"/>
  <c r="O759" i="3"/>
  <c r="N758" i="3"/>
  <c r="O758" i="3"/>
  <c r="N384" i="3"/>
  <c r="O384" i="3"/>
  <c r="N757" i="3"/>
  <c r="O757" i="3"/>
  <c r="N756" i="3"/>
  <c r="O756" i="3"/>
  <c r="N383" i="3"/>
  <c r="O383" i="3"/>
  <c r="N755" i="3"/>
  <c r="O755" i="3"/>
  <c r="N382" i="3"/>
  <c r="O382" i="3"/>
  <c r="N1960" i="3"/>
  <c r="O1960" i="3"/>
  <c r="N381" i="3"/>
  <c r="O381" i="3"/>
  <c r="N1959" i="3"/>
  <c r="O1959" i="3"/>
  <c r="N380" i="3"/>
  <c r="O380" i="3"/>
  <c r="N379" i="3"/>
  <c r="O379" i="3"/>
  <c r="N378" i="3"/>
  <c r="O378" i="3"/>
  <c r="N377" i="3"/>
  <c r="O377" i="3"/>
  <c r="N1542" i="3"/>
  <c r="O1542" i="3"/>
  <c r="N754" i="3"/>
  <c r="O754" i="3"/>
  <c r="N1162" i="3"/>
  <c r="O1162" i="3"/>
  <c r="N1541" i="3"/>
  <c r="O1541" i="3"/>
  <c r="N753" i="3"/>
  <c r="O753" i="3"/>
  <c r="N1161" i="3"/>
  <c r="O1161" i="3"/>
  <c r="N752" i="3"/>
  <c r="O752" i="3"/>
  <c r="N1540" i="3"/>
  <c r="O1540" i="3"/>
  <c r="N1539" i="3"/>
  <c r="O1539" i="3"/>
  <c r="N751" i="3"/>
  <c r="O751" i="3"/>
  <c r="N1538" i="3"/>
  <c r="O1538" i="3"/>
  <c r="N1537" i="3"/>
  <c r="O1537" i="3"/>
  <c r="N376" i="3"/>
  <c r="O376" i="3"/>
  <c r="N1160" i="3"/>
  <c r="O1160" i="3"/>
  <c r="N1958" i="3"/>
  <c r="O1958" i="3"/>
  <c r="N375" i="3"/>
  <c r="O375" i="3"/>
  <c r="N1159" i="3"/>
  <c r="O1159" i="3"/>
  <c r="N1957" i="3"/>
  <c r="O1957" i="3"/>
  <c r="N750" i="3"/>
  <c r="O750" i="3"/>
  <c r="N1536" i="3"/>
  <c r="O1536" i="3"/>
  <c r="N1158" i="3"/>
  <c r="O1158" i="3"/>
  <c r="N749" i="3"/>
  <c r="O749" i="3"/>
  <c r="N1535" i="3"/>
  <c r="O1535" i="3"/>
  <c r="N1157" i="3"/>
  <c r="O1157" i="3"/>
  <c r="N374" i="3"/>
  <c r="O374" i="3"/>
  <c r="N373" i="3"/>
  <c r="O373" i="3"/>
  <c r="N1156" i="3"/>
  <c r="O1156" i="3"/>
  <c r="N1155" i="3"/>
  <c r="O1155" i="3"/>
  <c r="N1154" i="3"/>
  <c r="O1154" i="3"/>
  <c r="N1153" i="3"/>
  <c r="O1153" i="3"/>
  <c r="N372" i="3"/>
  <c r="O372" i="3"/>
  <c r="N1956" i="3"/>
  <c r="O1956" i="3"/>
  <c r="N748" i="3"/>
  <c r="O748" i="3"/>
  <c r="N371" i="3"/>
  <c r="O371" i="3"/>
  <c r="N1955" i="3"/>
  <c r="O1955" i="3"/>
  <c r="N747" i="3"/>
  <c r="O747" i="3"/>
  <c r="N746" i="3"/>
  <c r="O746" i="3"/>
  <c r="N1534" i="3"/>
  <c r="O1534" i="3"/>
  <c r="N745" i="3"/>
  <c r="O745" i="3"/>
  <c r="N1954" i="3"/>
  <c r="O1954" i="3"/>
  <c r="N744" i="3"/>
  <c r="O744" i="3"/>
  <c r="N1533" i="3"/>
  <c r="O1533" i="3"/>
  <c r="N743" i="3"/>
  <c r="O743" i="3"/>
  <c r="N1953" i="3"/>
  <c r="O1953" i="3"/>
  <c r="N1952" i="3"/>
  <c r="O1952" i="3"/>
  <c r="N1951" i="3"/>
  <c r="O1951" i="3"/>
  <c r="N742" i="3"/>
  <c r="O742" i="3"/>
  <c r="N370" i="3"/>
  <c r="O370" i="3"/>
  <c r="N1950" i="3"/>
  <c r="O1950" i="3"/>
  <c r="N741" i="3"/>
  <c r="O741" i="3"/>
  <c r="N369" i="3"/>
  <c r="O369" i="3"/>
  <c r="N1949" i="3"/>
  <c r="O1949" i="3"/>
  <c r="N1152" i="3"/>
  <c r="O1152" i="3"/>
  <c r="N1532" i="3"/>
  <c r="O1532" i="3"/>
  <c r="N368" i="3"/>
  <c r="O368" i="3"/>
  <c r="N740" i="3"/>
  <c r="O740" i="3"/>
  <c r="N1151" i="3"/>
  <c r="O1151" i="3"/>
  <c r="N1531" i="3"/>
  <c r="O1531" i="3"/>
  <c r="N367" i="3"/>
  <c r="O367" i="3"/>
  <c r="N739" i="3"/>
  <c r="O739" i="3"/>
  <c r="N366" i="3"/>
  <c r="O366" i="3"/>
  <c r="N1530" i="3"/>
  <c r="O1530" i="3"/>
  <c r="N365" i="3"/>
  <c r="O365" i="3"/>
  <c r="N1529" i="3"/>
  <c r="O1529" i="3"/>
  <c r="N364" i="3"/>
  <c r="O364" i="3"/>
  <c r="N1150" i="3"/>
  <c r="O1150" i="3"/>
  <c r="N363" i="3"/>
  <c r="O363" i="3"/>
  <c r="N1149" i="3"/>
  <c r="O1149" i="3"/>
  <c r="N738" i="3"/>
  <c r="O738" i="3"/>
  <c r="N362" i="3"/>
  <c r="O362" i="3"/>
  <c r="N737" i="3"/>
  <c r="O737" i="3"/>
  <c r="N361" i="3"/>
  <c r="O361" i="3"/>
  <c r="N1148" i="3"/>
  <c r="O1148" i="3"/>
  <c r="N1528" i="3"/>
  <c r="O1528" i="3"/>
  <c r="N1948" i="3"/>
  <c r="O1948" i="3"/>
  <c r="N1147" i="3"/>
  <c r="O1147" i="3"/>
  <c r="N1527" i="3"/>
  <c r="O1527" i="3"/>
  <c r="N1947" i="3"/>
  <c r="O1947" i="3"/>
  <c r="N736" i="3"/>
  <c r="O736" i="3"/>
  <c r="N735" i="3"/>
  <c r="O735" i="3"/>
  <c r="N734" i="3"/>
  <c r="O734" i="3"/>
  <c r="N733" i="3"/>
  <c r="O733" i="3"/>
  <c r="N1526" i="3"/>
  <c r="O1526" i="3"/>
  <c r="N360" i="3"/>
  <c r="O360" i="3"/>
  <c r="N1946" i="3"/>
  <c r="O1946" i="3"/>
  <c r="N732" i="3"/>
  <c r="O732" i="3"/>
  <c r="N359" i="3"/>
  <c r="O359" i="3"/>
  <c r="N358" i="3"/>
  <c r="O358" i="3"/>
  <c r="N1525" i="3"/>
  <c r="O1525" i="3"/>
  <c r="N357" i="3"/>
  <c r="O357" i="3"/>
  <c r="N1945" i="3"/>
  <c r="O1945" i="3"/>
  <c r="N731" i="3"/>
  <c r="O731" i="3"/>
  <c r="N356" i="3"/>
  <c r="O356" i="3"/>
  <c r="N355" i="3"/>
  <c r="O355" i="3"/>
  <c r="N1524" i="3"/>
  <c r="O1524" i="3"/>
  <c r="N1944" i="3"/>
  <c r="O1944" i="3"/>
  <c r="N1523" i="3"/>
  <c r="O1523" i="3"/>
  <c r="N1943" i="3"/>
  <c r="O1943" i="3"/>
  <c r="N1522" i="3"/>
  <c r="O1522" i="3"/>
  <c r="N1521" i="3"/>
  <c r="O1521" i="3"/>
  <c r="N1520" i="3"/>
  <c r="O1520" i="3"/>
  <c r="N1519" i="3"/>
  <c r="O1519" i="3"/>
  <c r="N1942" i="3"/>
  <c r="O1942" i="3"/>
  <c r="N1941" i="3"/>
  <c r="O1941" i="3"/>
  <c r="N1518" i="3"/>
  <c r="O1518" i="3"/>
  <c r="N1517" i="3"/>
  <c r="O1517" i="3"/>
  <c r="N1146" i="3"/>
  <c r="O1146" i="3"/>
  <c r="N730" i="3"/>
  <c r="O730" i="3"/>
  <c r="N354" i="3"/>
  <c r="O354" i="3"/>
  <c r="N1940" i="3"/>
  <c r="O1940" i="3"/>
  <c r="N353" i="3"/>
  <c r="O353" i="3"/>
  <c r="N1145" i="3"/>
  <c r="O1145" i="3"/>
  <c r="N1144" i="3"/>
  <c r="O1144" i="3"/>
  <c r="N729" i="3"/>
  <c r="O729" i="3"/>
  <c r="N352" i="3"/>
  <c r="O352" i="3"/>
  <c r="N1939" i="3"/>
  <c r="O1939" i="3"/>
  <c r="N351" i="3"/>
  <c r="O351" i="3"/>
  <c r="N1143" i="3"/>
  <c r="O1143" i="3"/>
  <c r="N1516" i="3"/>
  <c r="O1516" i="3"/>
  <c r="N1142" i="3"/>
  <c r="O1142" i="3"/>
  <c r="N350" i="3"/>
  <c r="O350" i="3"/>
  <c r="N1515" i="3"/>
  <c r="O1515" i="3"/>
  <c r="N1514" i="3"/>
  <c r="O1514" i="3"/>
  <c r="N1141" i="3"/>
  <c r="O1141" i="3"/>
  <c r="N349" i="3"/>
  <c r="O349" i="3"/>
  <c r="N1513" i="3"/>
  <c r="O1513" i="3"/>
  <c r="N1140" i="3"/>
  <c r="O1140" i="3"/>
  <c r="N728" i="3"/>
  <c r="O728" i="3"/>
  <c r="N1938" i="3"/>
  <c r="O1938" i="3"/>
  <c r="N1139" i="3"/>
  <c r="O1139" i="3"/>
  <c r="N727" i="3"/>
  <c r="O727" i="3"/>
  <c r="N1937" i="3"/>
  <c r="O1937" i="3"/>
  <c r="N348" i="3"/>
  <c r="O348" i="3"/>
  <c r="N347" i="3"/>
  <c r="O347" i="3"/>
  <c r="N346" i="3"/>
  <c r="O346" i="3"/>
  <c r="N726" i="3"/>
  <c r="O726" i="3"/>
  <c r="N345" i="3"/>
  <c r="O345" i="3"/>
  <c r="N725" i="3"/>
  <c r="O725" i="3"/>
  <c r="N1138" i="3"/>
  <c r="O1138" i="3"/>
  <c r="N1512" i="3"/>
  <c r="O1512" i="3"/>
  <c r="N344" i="3"/>
  <c r="O344" i="3"/>
  <c r="N724" i="3"/>
  <c r="O724" i="3"/>
  <c r="N343" i="3"/>
  <c r="O343" i="3"/>
  <c r="N723" i="3"/>
  <c r="O723" i="3"/>
  <c r="N1137" i="3"/>
  <c r="O1137" i="3"/>
  <c r="N1511" i="3"/>
  <c r="O1511" i="3"/>
  <c r="N1936" i="3"/>
  <c r="O1936" i="3"/>
  <c r="N1136" i="3"/>
  <c r="O1136" i="3"/>
  <c r="N1935" i="3"/>
  <c r="O1935" i="3"/>
  <c r="N1934" i="3"/>
  <c r="O1934" i="3"/>
  <c r="N1135" i="3"/>
  <c r="O1135" i="3"/>
  <c r="N1933" i="3"/>
  <c r="O1933" i="3"/>
  <c r="N1510" i="3"/>
  <c r="O1510" i="3"/>
  <c r="N1134" i="3"/>
  <c r="O1134" i="3"/>
  <c r="N722" i="3"/>
  <c r="O722" i="3"/>
  <c r="N1509" i="3"/>
  <c r="O1509" i="3"/>
  <c r="N1133" i="3"/>
  <c r="O1133" i="3"/>
  <c r="N721" i="3"/>
  <c r="O721" i="3"/>
  <c r="N1932" i="3"/>
  <c r="O1932" i="3"/>
  <c r="N1931" i="3"/>
  <c r="O1931" i="3"/>
  <c r="N1930" i="3"/>
  <c r="O1930" i="3"/>
  <c r="N1929" i="3"/>
  <c r="O1929" i="3"/>
  <c r="N342" i="3"/>
  <c r="O342" i="3"/>
  <c r="N1132" i="3"/>
  <c r="O1132" i="3"/>
  <c r="N1928" i="3"/>
  <c r="O1928" i="3"/>
  <c r="N341" i="3"/>
  <c r="O341" i="3"/>
  <c r="N340" i="3"/>
  <c r="O340" i="3"/>
  <c r="N1131" i="3"/>
  <c r="O1131" i="3"/>
  <c r="N1927" i="3"/>
  <c r="O1927" i="3"/>
  <c r="N339" i="3"/>
  <c r="O339" i="3"/>
  <c r="N1926" i="3"/>
  <c r="O1926" i="3"/>
  <c r="N338" i="3"/>
  <c r="O338" i="3"/>
  <c r="N1130" i="3"/>
  <c r="O1130" i="3"/>
  <c r="N1129" i="3"/>
  <c r="O1129" i="3"/>
  <c r="N1925" i="3"/>
  <c r="O1925" i="3"/>
  <c r="N337" i="3"/>
  <c r="O337" i="3"/>
  <c r="N1128" i="3"/>
  <c r="O1128" i="3"/>
  <c r="N1127" i="3"/>
  <c r="O1127" i="3"/>
  <c r="N1126" i="3"/>
  <c r="O1126" i="3"/>
  <c r="N1508" i="3"/>
  <c r="O1508" i="3"/>
  <c r="N1924" i="3"/>
  <c r="O1924" i="3"/>
  <c r="N1125" i="3"/>
  <c r="O1125" i="3"/>
  <c r="N1507" i="3"/>
  <c r="O1507" i="3"/>
  <c r="N1923" i="3"/>
  <c r="O1923" i="3"/>
  <c r="N1124" i="3"/>
  <c r="O1124" i="3"/>
  <c r="N1123" i="3"/>
  <c r="O1123" i="3"/>
  <c r="N1122" i="3"/>
  <c r="O1122" i="3"/>
  <c r="N1121" i="3"/>
  <c r="O1121" i="3"/>
  <c r="N720" i="3"/>
  <c r="O720" i="3"/>
  <c r="N1506" i="3"/>
  <c r="O1506" i="3"/>
  <c r="N1505" i="3"/>
  <c r="O1505" i="3"/>
  <c r="N1504" i="3"/>
  <c r="O1504" i="3"/>
  <c r="N719" i="3"/>
  <c r="O719" i="3"/>
  <c r="N1503" i="3"/>
  <c r="O1503" i="3"/>
  <c r="N1502" i="3"/>
  <c r="O1502" i="3"/>
  <c r="N1501" i="3"/>
  <c r="O1501" i="3"/>
  <c r="N336" i="3"/>
  <c r="O336" i="3"/>
  <c r="N1922" i="3"/>
  <c r="O1922" i="3"/>
  <c r="N335" i="3"/>
  <c r="O335" i="3"/>
  <c r="N1921" i="3"/>
  <c r="O1921" i="3"/>
  <c r="N334" i="3"/>
  <c r="O334" i="3"/>
  <c r="N333" i="3"/>
  <c r="O333" i="3"/>
  <c r="N332" i="3"/>
  <c r="O332" i="3"/>
  <c r="N331" i="3"/>
  <c r="O331" i="3"/>
  <c r="N1500" i="3"/>
  <c r="O1500" i="3"/>
  <c r="N330" i="3"/>
  <c r="O330" i="3"/>
  <c r="N1920" i="3"/>
  <c r="O1920" i="3"/>
  <c r="N718" i="3"/>
  <c r="O718" i="3"/>
  <c r="N1499" i="3"/>
  <c r="O1499" i="3"/>
  <c r="N329" i="3"/>
  <c r="O329" i="3"/>
  <c r="N1919" i="3"/>
  <c r="O1919" i="3"/>
  <c r="N717" i="3"/>
  <c r="O717" i="3"/>
  <c r="N1498" i="3"/>
  <c r="O1498" i="3"/>
  <c r="N1120" i="3"/>
  <c r="O1120" i="3"/>
  <c r="N1119" i="3"/>
  <c r="O1119" i="3"/>
  <c r="N1497" i="3"/>
  <c r="O1497" i="3"/>
  <c r="N1118" i="3"/>
  <c r="O1118" i="3"/>
  <c r="N1117" i="3"/>
  <c r="O1117" i="3"/>
  <c r="N1116" i="3"/>
  <c r="O1116" i="3"/>
  <c r="N716" i="3"/>
  <c r="O716" i="3"/>
  <c r="N1115" i="3"/>
  <c r="O1115" i="3"/>
  <c r="N715" i="3"/>
  <c r="O715" i="3"/>
  <c r="N328" i="3"/>
  <c r="O328" i="3"/>
  <c r="N327" i="3"/>
  <c r="O327" i="3"/>
  <c r="N1918" i="3"/>
  <c r="O1918" i="3"/>
  <c r="N326" i="3"/>
  <c r="O326" i="3"/>
  <c r="N325" i="3"/>
  <c r="O325" i="3"/>
  <c r="N1917" i="3"/>
  <c r="O1917" i="3"/>
  <c r="N1496" i="3"/>
  <c r="O1496" i="3"/>
  <c r="N1114" i="3"/>
  <c r="O1114" i="3"/>
  <c r="N324" i="3"/>
  <c r="O324" i="3"/>
  <c r="N1495" i="3"/>
  <c r="O1495" i="3"/>
  <c r="N1113" i="3"/>
  <c r="O1113" i="3"/>
  <c r="N323" i="3"/>
  <c r="O323" i="3"/>
  <c r="N1916" i="3"/>
  <c r="O1916" i="3"/>
  <c r="N322" i="3"/>
  <c r="O322" i="3"/>
  <c r="N1112" i="3"/>
  <c r="O1112" i="3"/>
  <c r="N1494" i="3"/>
  <c r="O1494" i="3"/>
  <c r="N1915" i="3"/>
  <c r="O1915" i="3"/>
  <c r="N1111" i="3"/>
  <c r="O1111" i="3"/>
  <c r="N321" i="3"/>
  <c r="O321" i="3"/>
  <c r="N1914" i="3"/>
  <c r="O1914" i="3"/>
  <c r="N320" i="3"/>
  <c r="O320" i="3"/>
  <c r="N1110" i="3"/>
  <c r="O1110" i="3"/>
  <c r="N1493" i="3"/>
  <c r="O1493" i="3"/>
  <c r="N1913" i="3"/>
  <c r="O1913" i="3"/>
  <c r="N1109" i="3"/>
  <c r="O1109" i="3"/>
  <c r="N319" i="3"/>
  <c r="O319" i="3"/>
  <c r="N1492" i="3"/>
  <c r="O1492" i="3"/>
  <c r="N1491" i="3"/>
  <c r="O1491" i="3"/>
  <c r="N1108" i="3"/>
  <c r="O1108" i="3"/>
  <c r="N714" i="3"/>
  <c r="O714" i="3"/>
  <c r="N1490" i="3"/>
  <c r="O1490" i="3"/>
  <c r="N1489" i="3"/>
  <c r="O1489" i="3"/>
  <c r="N1107" i="3"/>
  <c r="O1107" i="3"/>
  <c r="N713" i="3"/>
  <c r="O713" i="3"/>
  <c r="N712" i="3"/>
  <c r="O712" i="3"/>
  <c r="N318" i="3"/>
  <c r="O318" i="3"/>
  <c r="N317" i="3"/>
  <c r="O317" i="3"/>
  <c r="N711" i="3"/>
  <c r="O711" i="3"/>
  <c r="N316" i="3"/>
  <c r="O316" i="3"/>
  <c r="N315" i="3"/>
  <c r="O315" i="3"/>
  <c r="N1912" i="3"/>
  <c r="O1912" i="3"/>
  <c r="N314" i="3"/>
  <c r="O314" i="3"/>
  <c r="N1911" i="3"/>
  <c r="O1911" i="3"/>
  <c r="N313" i="3"/>
  <c r="O313" i="3"/>
  <c r="N1106" i="3"/>
  <c r="O1106" i="3"/>
  <c r="N1488" i="3"/>
  <c r="O1488" i="3"/>
  <c r="N1910" i="3"/>
  <c r="O1910" i="3"/>
  <c r="N1105" i="3"/>
  <c r="O1105" i="3"/>
  <c r="N1104" i="3"/>
  <c r="O1104" i="3"/>
  <c r="N1487" i="3"/>
  <c r="O1487" i="3"/>
  <c r="N1909" i="3"/>
  <c r="O1909" i="3"/>
  <c r="N1103" i="3"/>
  <c r="O1103" i="3"/>
  <c r="N1908" i="3"/>
  <c r="O1908" i="3"/>
  <c r="N1907" i="3"/>
  <c r="O1907" i="3"/>
  <c r="N710" i="3"/>
  <c r="O710" i="3"/>
  <c r="N1906" i="3"/>
  <c r="O1906" i="3"/>
  <c r="N709" i="3"/>
  <c r="O709" i="3"/>
  <c r="N1905" i="3"/>
  <c r="O1905" i="3"/>
  <c r="N1904" i="3"/>
  <c r="O1904" i="3"/>
  <c r="N708" i="3"/>
  <c r="O708" i="3"/>
  <c r="N1486" i="3"/>
  <c r="O1486" i="3"/>
  <c r="N707" i="3"/>
  <c r="O707" i="3"/>
  <c r="N1102" i="3"/>
  <c r="O1102" i="3"/>
  <c r="N706" i="3"/>
  <c r="O706" i="3"/>
  <c r="N1903" i="3"/>
  <c r="O1903" i="3"/>
  <c r="N705" i="3"/>
  <c r="O705" i="3"/>
  <c r="N1485" i="3"/>
  <c r="O1485" i="3"/>
  <c r="N704" i="3"/>
  <c r="O704" i="3"/>
  <c r="N1101" i="3"/>
  <c r="O1101" i="3"/>
  <c r="N703" i="3"/>
  <c r="O703" i="3"/>
  <c r="N1100" i="3"/>
  <c r="O1100" i="3"/>
  <c r="N312" i="3"/>
  <c r="O312" i="3"/>
  <c r="N1484" i="3"/>
  <c r="O1484" i="3"/>
  <c r="N1483" i="3"/>
  <c r="O1483" i="3"/>
  <c r="N702" i="3"/>
  <c r="O702" i="3"/>
  <c r="N1099" i="3"/>
  <c r="O1099" i="3"/>
  <c r="N311" i="3"/>
  <c r="O311" i="3"/>
  <c r="N1482" i="3"/>
  <c r="O1482" i="3"/>
  <c r="N1481" i="3"/>
  <c r="O1481" i="3"/>
  <c r="N701" i="3"/>
  <c r="O701" i="3"/>
  <c r="N1098" i="3"/>
  <c r="O1098" i="3"/>
  <c r="N700" i="3"/>
  <c r="O700" i="3"/>
  <c r="N310" i="3"/>
  <c r="O310" i="3"/>
  <c r="N1480" i="3"/>
  <c r="O1480" i="3"/>
  <c r="N309" i="3"/>
  <c r="O309" i="3"/>
  <c r="N1097" i="3"/>
  <c r="O1097" i="3"/>
  <c r="N699" i="3"/>
  <c r="O699" i="3"/>
  <c r="N308" i="3"/>
  <c r="O308" i="3"/>
  <c r="N1479" i="3"/>
  <c r="O1479" i="3"/>
  <c r="N307" i="3"/>
  <c r="O307" i="3"/>
  <c r="N1478" i="3"/>
  <c r="O1478" i="3"/>
  <c r="N1902" i="3"/>
  <c r="O1902" i="3"/>
  <c r="N1901" i="3"/>
  <c r="O1901" i="3"/>
  <c r="N1477" i="3"/>
  <c r="O1477" i="3"/>
  <c r="N1900" i="3"/>
  <c r="O1900" i="3"/>
  <c r="N1899" i="3"/>
  <c r="O1899" i="3"/>
  <c r="N1898" i="3"/>
  <c r="O1898" i="3"/>
  <c r="N1476" i="3"/>
  <c r="O1476" i="3"/>
  <c r="N1897" i="3"/>
  <c r="O1897" i="3"/>
  <c r="N1475" i="3"/>
  <c r="O1475" i="3"/>
  <c r="N306" i="3"/>
  <c r="O306" i="3"/>
  <c r="N1896" i="3"/>
  <c r="O1896" i="3"/>
  <c r="N1096" i="3"/>
  <c r="O1096" i="3"/>
  <c r="N1474" i="3"/>
  <c r="O1474" i="3"/>
  <c r="N305" i="3"/>
  <c r="O305" i="3"/>
  <c r="N1895" i="3"/>
  <c r="O1895" i="3"/>
  <c r="N1095" i="3"/>
  <c r="O1095" i="3"/>
  <c r="N1473" i="3"/>
  <c r="O1473" i="3"/>
  <c r="N1094" i="3"/>
  <c r="O1094" i="3"/>
  <c r="N304" i="3"/>
  <c r="O304" i="3"/>
  <c r="N1472" i="3"/>
  <c r="O1472" i="3"/>
  <c r="N1093" i="3"/>
  <c r="O1093" i="3"/>
  <c r="N303" i="3"/>
  <c r="O303" i="3"/>
  <c r="N1471" i="3"/>
  <c r="O1471" i="3"/>
  <c r="N1092" i="3"/>
  <c r="O1092" i="3"/>
  <c r="N1091" i="3"/>
  <c r="O1091" i="3"/>
  <c r="N1470" i="3"/>
  <c r="O1470" i="3"/>
  <c r="N1090" i="3"/>
  <c r="O1090" i="3"/>
  <c r="N698" i="3"/>
  <c r="O698" i="3"/>
  <c r="N1469" i="3"/>
  <c r="O1469" i="3"/>
  <c r="N1089" i="3"/>
  <c r="O1089" i="3"/>
  <c r="N697" i="3"/>
  <c r="O697" i="3"/>
  <c r="N696" i="3"/>
  <c r="O696" i="3"/>
  <c r="N1468" i="3"/>
  <c r="O1468" i="3"/>
  <c r="N695" i="3"/>
  <c r="O695" i="3"/>
  <c r="N1467" i="3"/>
  <c r="O1467" i="3"/>
  <c r="N1088" i="3"/>
  <c r="O1088" i="3"/>
  <c r="N1087" i="3"/>
  <c r="O1087" i="3"/>
  <c r="N1086" i="3"/>
  <c r="O1086" i="3"/>
  <c r="N694" i="3"/>
  <c r="O694" i="3"/>
  <c r="N1085" i="3"/>
  <c r="O1085" i="3"/>
  <c r="N693" i="3"/>
  <c r="O693" i="3"/>
  <c r="N692" i="3"/>
  <c r="O692" i="3"/>
  <c r="N302" i="3"/>
  <c r="O302" i="3"/>
  <c r="N691" i="3"/>
  <c r="O691" i="3"/>
  <c r="N301" i="3"/>
  <c r="O301" i="3"/>
  <c r="N690" i="3"/>
  <c r="O690" i="3"/>
  <c r="N300" i="3"/>
  <c r="O300" i="3"/>
  <c r="N689" i="3"/>
  <c r="O689" i="3"/>
  <c r="N299" i="3"/>
  <c r="O299" i="3"/>
  <c r="N1084" i="3"/>
  <c r="O1084" i="3"/>
  <c r="N1083" i="3"/>
  <c r="O1083" i="3"/>
  <c r="N1466" i="3"/>
  <c r="O1466" i="3"/>
  <c r="N1082" i="3"/>
  <c r="O1082" i="3"/>
  <c r="N1081" i="3"/>
  <c r="O1081" i="3"/>
  <c r="N1465" i="3"/>
  <c r="O1465" i="3"/>
  <c r="N1464" i="3"/>
  <c r="O1464" i="3"/>
  <c r="N1080" i="3"/>
  <c r="O1080" i="3"/>
  <c r="N1079" i="3"/>
  <c r="O1079" i="3"/>
  <c r="N298" i="3"/>
  <c r="O298" i="3"/>
  <c r="N1078" i="3"/>
  <c r="O1078" i="3"/>
  <c r="N1463" i="3"/>
  <c r="O1463" i="3"/>
  <c r="N1077" i="3"/>
  <c r="O1077" i="3"/>
  <c r="N1076" i="3"/>
  <c r="O1076" i="3"/>
  <c r="N297" i="3"/>
  <c r="O297" i="3"/>
  <c r="N1075" i="3"/>
  <c r="O1075" i="3"/>
  <c r="N296" i="3"/>
  <c r="O296" i="3"/>
  <c r="N1894" i="3"/>
  <c r="O1894" i="3"/>
  <c r="N295" i="3"/>
  <c r="O295" i="3"/>
  <c r="N294" i="3"/>
  <c r="O294" i="3"/>
  <c r="N1893" i="3"/>
  <c r="O1893" i="3"/>
  <c r="N293" i="3"/>
  <c r="O293" i="3"/>
  <c r="N292" i="3"/>
  <c r="O292" i="3"/>
  <c r="N291" i="3"/>
  <c r="O291" i="3"/>
  <c r="N1462" i="3"/>
  <c r="O1462" i="3"/>
  <c r="N1461" i="3"/>
  <c r="O1461" i="3"/>
  <c r="N290" i="3"/>
  <c r="O290" i="3"/>
  <c r="N289" i="3"/>
  <c r="O289" i="3"/>
  <c r="N1892" i="3"/>
  <c r="O1892" i="3"/>
  <c r="N1074" i="3"/>
  <c r="O1074" i="3"/>
  <c r="N1891" i="3"/>
  <c r="O1891" i="3"/>
  <c r="N1073" i="3"/>
  <c r="O1073" i="3"/>
  <c r="N1072" i="3"/>
  <c r="O1072" i="3"/>
  <c r="N1071" i="3"/>
  <c r="O1071" i="3"/>
  <c r="N1070" i="3"/>
  <c r="O1070" i="3"/>
  <c r="N288" i="3"/>
  <c r="O288" i="3"/>
  <c r="N1069" i="3"/>
  <c r="O1069" i="3"/>
  <c r="N1068" i="3"/>
  <c r="O1068" i="3"/>
  <c r="N287" i="3"/>
  <c r="O287" i="3"/>
  <c r="N1067" i="3"/>
  <c r="O1067" i="3"/>
  <c r="N286" i="3"/>
  <c r="O286" i="3"/>
  <c r="N1066" i="3"/>
  <c r="O1066" i="3"/>
  <c r="N285" i="3"/>
  <c r="O285" i="3"/>
  <c r="N1460" i="3"/>
  <c r="O1460" i="3"/>
  <c r="N284" i="3"/>
  <c r="O284" i="3"/>
  <c r="N1065" i="3"/>
  <c r="O1065" i="3"/>
  <c r="N283" i="3"/>
  <c r="O283" i="3"/>
  <c r="N1459" i="3"/>
  <c r="O1459" i="3"/>
  <c r="N1064" i="3"/>
  <c r="O1064" i="3"/>
  <c r="N1063" i="3"/>
  <c r="O1063" i="3"/>
  <c r="N688" i="3"/>
  <c r="O688" i="3"/>
  <c r="N1062" i="3"/>
  <c r="O1062" i="3"/>
  <c r="N1061" i="3"/>
  <c r="O1061" i="3"/>
  <c r="N687" i="3"/>
  <c r="O687" i="3"/>
  <c r="N1060" i="3"/>
  <c r="O1060" i="3"/>
  <c r="N282" i="3"/>
  <c r="O282" i="3"/>
  <c r="N1458" i="3"/>
  <c r="O1458" i="3"/>
  <c r="N686" i="3"/>
  <c r="O686" i="3"/>
  <c r="N1059" i="3"/>
  <c r="O1059" i="3"/>
  <c r="N1058" i="3"/>
  <c r="O1058" i="3"/>
  <c r="N281" i="3"/>
  <c r="O281" i="3"/>
  <c r="N1457" i="3"/>
  <c r="O1457" i="3"/>
  <c r="N685" i="3"/>
  <c r="O685" i="3"/>
  <c r="N1057" i="3"/>
  <c r="O1057" i="3"/>
  <c r="N684" i="3"/>
  <c r="O684" i="3"/>
  <c r="N1890" i="3"/>
  <c r="O1890" i="3"/>
  <c r="N683" i="3"/>
  <c r="O683" i="3"/>
  <c r="N1889" i="3"/>
  <c r="O1889" i="3"/>
  <c r="N1888" i="3"/>
  <c r="O1888" i="3"/>
  <c r="N1887" i="3"/>
  <c r="O1887" i="3"/>
  <c r="N1456" i="3"/>
  <c r="O1456" i="3"/>
  <c r="N1455" i="3"/>
  <c r="O1455" i="3"/>
  <c r="N682" i="3"/>
  <c r="O682" i="3"/>
  <c r="N1454" i="3"/>
  <c r="O1454" i="3"/>
  <c r="N280" i="3"/>
  <c r="O280" i="3"/>
  <c r="N681" i="3"/>
  <c r="O681" i="3"/>
  <c r="N1453" i="3"/>
  <c r="O1453" i="3"/>
  <c r="N279" i="3"/>
  <c r="O279" i="3"/>
  <c r="N278" i="3"/>
  <c r="O278" i="3"/>
  <c r="N1452" i="3"/>
  <c r="O1452" i="3"/>
  <c r="N1451" i="3"/>
  <c r="O1451" i="3"/>
  <c r="N1056" i="3"/>
  <c r="O1056" i="3"/>
  <c r="N277" i="3"/>
  <c r="O277" i="3"/>
  <c r="N1450" i="3"/>
  <c r="O1450" i="3"/>
  <c r="N1449" i="3"/>
  <c r="O1449" i="3"/>
  <c r="N1055" i="3"/>
  <c r="O1055" i="3"/>
  <c r="N680" i="3"/>
  <c r="O680" i="3"/>
  <c r="N276" i="3"/>
  <c r="O276" i="3"/>
  <c r="N275" i="3"/>
  <c r="O275" i="3"/>
  <c r="N1886" i="3"/>
  <c r="O1886" i="3"/>
  <c r="N1054" i="3"/>
  <c r="O1054" i="3"/>
  <c r="N679" i="3"/>
  <c r="O679" i="3"/>
  <c r="N274" i="3"/>
  <c r="O274" i="3"/>
  <c r="N273" i="3"/>
  <c r="O273" i="3"/>
  <c r="N1885" i="3"/>
  <c r="O1885" i="3"/>
  <c r="N1053" i="3"/>
  <c r="O1053" i="3"/>
  <c r="N1884" i="3"/>
  <c r="O1884" i="3"/>
  <c r="N1052" i="3"/>
  <c r="O1052" i="3"/>
  <c r="N678" i="3"/>
  <c r="O678" i="3"/>
  <c r="N1883" i="3"/>
  <c r="O1883" i="3"/>
  <c r="N1882" i="3"/>
  <c r="O1882" i="3"/>
  <c r="N1051" i="3"/>
  <c r="O1051" i="3"/>
  <c r="N677" i="3"/>
  <c r="O677" i="3"/>
  <c r="N1881" i="3"/>
  <c r="O1881" i="3"/>
  <c r="N676" i="3"/>
  <c r="O676" i="3"/>
  <c r="N675" i="3"/>
  <c r="O675" i="3"/>
  <c r="N1050" i="3"/>
  <c r="O1050" i="3"/>
  <c r="N674" i="3"/>
  <c r="O674" i="3"/>
  <c r="N673" i="3"/>
  <c r="O673" i="3"/>
  <c r="N1049" i="3"/>
  <c r="O1049" i="3"/>
  <c r="N272" i="3"/>
  <c r="O272" i="3"/>
  <c r="N1448" i="3"/>
  <c r="O1448" i="3"/>
  <c r="N1048" i="3"/>
  <c r="O1048" i="3"/>
  <c r="N1447" i="3"/>
  <c r="O1447" i="3"/>
  <c r="N271" i="3"/>
  <c r="O271" i="3"/>
  <c r="N1446" i="3"/>
  <c r="O1446" i="3"/>
  <c r="N1047" i="3"/>
  <c r="O1047" i="3"/>
  <c r="N1445" i="3"/>
  <c r="O1445" i="3"/>
  <c r="N270" i="3"/>
  <c r="O270" i="3"/>
  <c r="N1444" i="3"/>
  <c r="O1444" i="3"/>
  <c r="N672" i="3"/>
  <c r="O672" i="3"/>
  <c r="N269" i="3"/>
  <c r="O269" i="3"/>
  <c r="N1443" i="3"/>
  <c r="O1443" i="3"/>
  <c r="N671" i="3"/>
  <c r="O671" i="3"/>
  <c r="N268" i="3"/>
  <c r="O268" i="3"/>
  <c r="N1046" i="3"/>
  <c r="O1046" i="3"/>
  <c r="N670" i="3"/>
  <c r="O670" i="3"/>
  <c r="N267" i="3"/>
  <c r="O267" i="3"/>
  <c r="N1045" i="3"/>
  <c r="O1045" i="3"/>
  <c r="N669" i="3"/>
  <c r="O669" i="3"/>
  <c r="N668" i="3"/>
  <c r="O668" i="3"/>
  <c r="N1442" i="3"/>
  <c r="O1442" i="3"/>
  <c r="N266" i="3"/>
  <c r="O266" i="3"/>
  <c r="N667" i="3"/>
  <c r="O667" i="3"/>
  <c r="N1441" i="3"/>
  <c r="O1441" i="3"/>
  <c r="N265" i="3"/>
  <c r="O265" i="3"/>
  <c r="N1440" i="3"/>
  <c r="O1440" i="3"/>
  <c r="N1880" i="3"/>
  <c r="O1880" i="3"/>
  <c r="N666" i="3"/>
  <c r="O666" i="3"/>
  <c r="N1439" i="3"/>
  <c r="O1439" i="3"/>
  <c r="N1879" i="3"/>
  <c r="O1879" i="3"/>
  <c r="N665" i="3"/>
  <c r="O665" i="3"/>
  <c r="N264" i="3"/>
  <c r="O264" i="3"/>
  <c r="N1438" i="3"/>
  <c r="O1438" i="3"/>
  <c r="N263" i="3"/>
  <c r="O263" i="3"/>
  <c r="N1437" i="3"/>
  <c r="O1437" i="3"/>
  <c r="N664" i="3"/>
  <c r="O664" i="3"/>
  <c r="N1878" i="3"/>
  <c r="O1878" i="3"/>
  <c r="N1436" i="3"/>
  <c r="O1436" i="3"/>
  <c r="N1044" i="3"/>
  <c r="O1044" i="3"/>
  <c r="N663" i="3"/>
  <c r="O663" i="3"/>
  <c r="N662" i="3"/>
  <c r="O662" i="3"/>
  <c r="N661" i="3"/>
  <c r="O661" i="3"/>
  <c r="N1877" i="3"/>
  <c r="O1877" i="3"/>
  <c r="N1435" i="3"/>
  <c r="O1435" i="3"/>
  <c r="N1043" i="3"/>
  <c r="O1043" i="3"/>
  <c r="N660" i="3"/>
  <c r="O660" i="3"/>
  <c r="N659" i="3"/>
  <c r="O659" i="3"/>
  <c r="N658" i="3"/>
  <c r="O658" i="3"/>
  <c r="N657" i="3"/>
  <c r="O657" i="3"/>
  <c r="N656" i="3"/>
  <c r="O656" i="3"/>
  <c r="N1876" i="3"/>
  <c r="O1876" i="3"/>
  <c r="N1042" i="3"/>
  <c r="O1042" i="3"/>
  <c r="N1875" i="3"/>
  <c r="O1875" i="3"/>
  <c r="N655" i="3"/>
  <c r="O655" i="3"/>
  <c r="N1874" i="3"/>
  <c r="O1874" i="3"/>
  <c r="N1041" i="3"/>
  <c r="O1041" i="3"/>
  <c r="N1873" i="3"/>
  <c r="O1873" i="3"/>
  <c r="N1872" i="3"/>
  <c r="O1872" i="3"/>
  <c r="N262" i="3"/>
  <c r="O262" i="3"/>
  <c r="N654" i="3"/>
  <c r="O654" i="3"/>
  <c r="N1871" i="3"/>
  <c r="O1871" i="3"/>
  <c r="N261" i="3"/>
  <c r="O261" i="3"/>
  <c r="N653" i="3"/>
  <c r="O653" i="3"/>
  <c r="N1434" i="3"/>
  <c r="O1434" i="3"/>
  <c r="N1433" i="3"/>
  <c r="O1433" i="3"/>
  <c r="N652" i="3"/>
  <c r="O652" i="3"/>
  <c r="N1040" i="3"/>
  <c r="O1040" i="3"/>
  <c r="N1870" i="3"/>
  <c r="O1870" i="3"/>
  <c r="N1039" i="3"/>
  <c r="O1039" i="3"/>
  <c r="N260" i="3"/>
  <c r="O260" i="3"/>
  <c r="N259" i="3"/>
  <c r="O259" i="3"/>
  <c r="N651" i="3"/>
  <c r="O651" i="3"/>
  <c r="N1038" i="3"/>
  <c r="O1038" i="3"/>
  <c r="N1869" i="3"/>
  <c r="O1869" i="3"/>
  <c r="N1037" i="3"/>
  <c r="O1037" i="3"/>
  <c r="N258" i="3"/>
  <c r="O258" i="3"/>
  <c r="N257" i="3"/>
  <c r="O257" i="3"/>
  <c r="N650" i="3"/>
  <c r="O650" i="3"/>
  <c r="N1432" i="3"/>
  <c r="O1432" i="3"/>
  <c r="N649" i="3"/>
  <c r="O649" i="3"/>
  <c r="N1431" i="3"/>
  <c r="O1431" i="3"/>
  <c r="N1868" i="3"/>
  <c r="O1868" i="3"/>
  <c r="N1036" i="3"/>
  <c r="O1036" i="3"/>
  <c r="N1867" i="3"/>
  <c r="O1867" i="3"/>
  <c r="N1035" i="3"/>
  <c r="O1035" i="3"/>
  <c r="N1866" i="3"/>
  <c r="O1866" i="3"/>
  <c r="N1034" i="3"/>
  <c r="O1034" i="3"/>
  <c r="N648" i="3"/>
  <c r="O648" i="3"/>
  <c r="N1033" i="3"/>
  <c r="O1033" i="3"/>
  <c r="N1865" i="3"/>
  <c r="O1865" i="3"/>
  <c r="N1032" i="3"/>
  <c r="O1032" i="3"/>
  <c r="N647" i="3"/>
  <c r="O647" i="3"/>
  <c r="N1031" i="3"/>
  <c r="O1031" i="3"/>
  <c r="N1030" i="3"/>
  <c r="O1030" i="3"/>
  <c r="N1430" i="3"/>
  <c r="O1430" i="3"/>
  <c r="N1029" i="3"/>
  <c r="O1029" i="3"/>
  <c r="N1028" i="3"/>
  <c r="O1028" i="3"/>
  <c r="N1429" i="3"/>
  <c r="O1429" i="3"/>
  <c r="N1027" i="3"/>
  <c r="O1027" i="3"/>
  <c r="N1026" i="3"/>
  <c r="O1026" i="3"/>
  <c r="N1025" i="3"/>
  <c r="O1025" i="3"/>
  <c r="N646" i="3"/>
  <c r="O646" i="3"/>
  <c r="N1024" i="3"/>
  <c r="O1024" i="3"/>
  <c r="N1428" i="3"/>
  <c r="O1428" i="3"/>
  <c r="N1023" i="3"/>
  <c r="O1023" i="3"/>
  <c r="N645" i="3"/>
  <c r="O645" i="3"/>
  <c r="N1022" i="3"/>
  <c r="O1022" i="3"/>
  <c r="N1427" i="3"/>
  <c r="O1427" i="3"/>
  <c r="N1021" i="3"/>
  <c r="O1021" i="3"/>
  <c r="N644" i="3"/>
  <c r="O644" i="3"/>
  <c r="N256" i="3"/>
  <c r="O256" i="3"/>
  <c r="N1426" i="3"/>
  <c r="O1426" i="3"/>
  <c r="N1020" i="3"/>
  <c r="O1020" i="3"/>
  <c r="N643" i="3"/>
  <c r="O643" i="3"/>
  <c r="N255" i="3"/>
  <c r="O255" i="3"/>
  <c r="N1425" i="3"/>
  <c r="O1425" i="3"/>
  <c r="N1019" i="3"/>
  <c r="O1019" i="3"/>
  <c r="N642" i="3"/>
  <c r="O642" i="3"/>
  <c r="N1424" i="3"/>
  <c r="O1424" i="3"/>
  <c r="N641" i="3"/>
  <c r="O641" i="3"/>
  <c r="N1423" i="3"/>
  <c r="O1423" i="3"/>
  <c r="N1864" i="3"/>
  <c r="O1864" i="3"/>
  <c r="N1863" i="3"/>
  <c r="O1863" i="3"/>
  <c r="N1862" i="3"/>
  <c r="O1862" i="3"/>
  <c r="N1861" i="3"/>
  <c r="O1861" i="3"/>
  <c r="N1860" i="3"/>
  <c r="O1860" i="3"/>
  <c r="N1422" i="3"/>
  <c r="O1422" i="3"/>
  <c r="N1859" i="3"/>
  <c r="O1859" i="3"/>
  <c r="N254" i="3"/>
  <c r="O254" i="3"/>
  <c r="N253" i="3"/>
  <c r="O253" i="3"/>
  <c r="N640" i="3"/>
  <c r="O640" i="3"/>
  <c r="N1421" i="3"/>
  <c r="O1421" i="3"/>
  <c r="N1858" i="3"/>
  <c r="O1858" i="3"/>
  <c r="N1857" i="3"/>
  <c r="O1857" i="3"/>
  <c r="N1420" i="3"/>
  <c r="O1420" i="3"/>
  <c r="N1856" i="3"/>
  <c r="O1856" i="3"/>
  <c r="N252" i="3"/>
  <c r="O252" i="3"/>
  <c r="N251" i="3"/>
  <c r="O251" i="3"/>
  <c r="N639" i="3"/>
  <c r="O639" i="3"/>
  <c r="N1419" i="3"/>
  <c r="O1419" i="3"/>
  <c r="N1855" i="3"/>
  <c r="O1855" i="3"/>
  <c r="N1018" i="3"/>
  <c r="O1018" i="3"/>
  <c r="N250" i="3"/>
  <c r="O250" i="3"/>
  <c r="N638" i="3"/>
  <c r="O638" i="3"/>
  <c r="N1017" i="3"/>
  <c r="O1017" i="3"/>
  <c r="N1016" i="3"/>
  <c r="O1016" i="3"/>
  <c r="N249" i="3"/>
  <c r="O249" i="3"/>
  <c r="N637" i="3"/>
  <c r="O637" i="3"/>
  <c r="N1015" i="3"/>
  <c r="O1015" i="3"/>
  <c r="N1418" i="3"/>
  <c r="O1418" i="3"/>
  <c r="N248" i="3"/>
  <c r="O248" i="3"/>
  <c r="N247" i="3"/>
  <c r="O247" i="3"/>
  <c r="N1417" i="3"/>
  <c r="O1417" i="3"/>
  <c r="N246" i="3"/>
  <c r="O246" i="3"/>
  <c r="N245" i="3"/>
  <c r="O245" i="3"/>
  <c r="N244" i="3"/>
  <c r="O244" i="3"/>
  <c r="N243" i="3"/>
  <c r="O243" i="3"/>
  <c r="N1014" i="3"/>
  <c r="O1014" i="3"/>
  <c r="N1854" i="3"/>
  <c r="O1854" i="3"/>
  <c r="N636" i="3"/>
  <c r="O636" i="3"/>
  <c r="N1013" i="3"/>
  <c r="O1013" i="3"/>
  <c r="N1853" i="3"/>
  <c r="O1853" i="3"/>
  <c r="N635" i="3"/>
  <c r="O635" i="3"/>
  <c r="N1852" i="3"/>
  <c r="O1852" i="3"/>
  <c r="N1851" i="3"/>
  <c r="O1851" i="3"/>
  <c r="N1012" i="3"/>
  <c r="O1012" i="3"/>
  <c r="N634" i="3"/>
  <c r="O634" i="3"/>
  <c r="N1011" i="3"/>
  <c r="O1011" i="3"/>
  <c r="N633" i="3"/>
  <c r="O633" i="3"/>
  <c r="N242" i="3"/>
  <c r="O242" i="3"/>
  <c r="N1850" i="3"/>
  <c r="O1850" i="3"/>
  <c r="N241" i="3"/>
  <c r="O241" i="3"/>
  <c r="N1849" i="3"/>
  <c r="O1849" i="3"/>
  <c r="N1848" i="3"/>
  <c r="O1848" i="3"/>
  <c r="N1010" i="3"/>
  <c r="O1010" i="3"/>
  <c r="N1416" i="3"/>
  <c r="O1416" i="3"/>
  <c r="N1415" i="3"/>
  <c r="O1415" i="3"/>
  <c r="N1847" i="3"/>
  <c r="O1847" i="3"/>
  <c r="N1846" i="3"/>
  <c r="O1846" i="3"/>
  <c r="N1009" i="3"/>
  <c r="O1009" i="3"/>
  <c r="N1414" i="3"/>
  <c r="O1414" i="3"/>
  <c r="N1413" i="3"/>
  <c r="O1413" i="3"/>
  <c r="N1845" i="3"/>
  <c r="O1845" i="3"/>
  <c r="N1844" i="3"/>
  <c r="O1844" i="3"/>
  <c r="N1412" i="3"/>
  <c r="O1412" i="3"/>
  <c r="N632" i="3"/>
  <c r="O632" i="3"/>
  <c r="N1843" i="3"/>
  <c r="O1843" i="3"/>
  <c r="N1411" i="3"/>
  <c r="O1411" i="3"/>
  <c r="N631" i="3"/>
  <c r="O631" i="3"/>
  <c r="N1410" i="3"/>
  <c r="O1410" i="3"/>
  <c r="N1008" i="3"/>
  <c r="O1008" i="3"/>
  <c r="N1409" i="3"/>
  <c r="O1409" i="3"/>
  <c r="N1408" i="3"/>
  <c r="O1408" i="3"/>
  <c r="N1007" i="3"/>
  <c r="O1007" i="3"/>
  <c r="N1407" i="3"/>
  <c r="O1407" i="3"/>
  <c r="N1842" i="3"/>
  <c r="O1842" i="3"/>
  <c r="N1841" i="3"/>
  <c r="O1841" i="3"/>
  <c r="N1840" i="3"/>
  <c r="O1840" i="3"/>
  <c r="N1839" i="3"/>
  <c r="O1839" i="3"/>
  <c r="N1838" i="3"/>
  <c r="O1838" i="3"/>
  <c r="N1837" i="3"/>
  <c r="O1837" i="3"/>
  <c r="N1836" i="3"/>
  <c r="O1836" i="3"/>
  <c r="N630" i="3"/>
  <c r="O630" i="3"/>
  <c r="N1835" i="3"/>
  <c r="O1835" i="3"/>
  <c r="N1834" i="3"/>
  <c r="O1834" i="3"/>
  <c r="N240" i="3"/>
  <c r="O240" i="3"/>
  <c r="N1833" i="3"/>
  <c r="O1833" i="3"/>
  <c r="N629" i="3"/>
  <c r="O629" i="3"/>
  <c r="N1832" i="3"/>
  <c r="O1832" i="3"/>
  <c r="N1831" i="3"/>
  <c r="O1831" i="3"/>
  <c r="N239" i="3"/>
  <c r="O239" i="3"/>
  <c r="N1830" i="3"/>
  <c r="O1830" i="3"/>
  <c r="N1829" i="3"/>
  <c r="O1829" i="3"/>
  <c r="N1006" i="3"/>
  <c r="O1006" i="3"/>
  <c r="N238" i="3"/>
  <c r="O238" i="3"/>
  <c r="N1005" i="3"/>
  <c r="O1005" i="3"/>
  <c r="N237" i="3"/>
  <c r="O237" i="3"/>
  <c r="N1828" i="3"/>
  <c r="O1828" i="3"/>
  <c r="N1827" i="3"/>
  <c r="O1827" i="3"/>
  <c r="N1406" i="3"/>
  <c r="O1406" i="3"/>
  <c r="N1004" i="3"/>
  <c r="O1004" i="3"/>
  <c r="N1826" i="3"/>
  <c r="O1826" i="3"/>
  <c r="N628" i="3"/>
  <c r="O628" i="3"/>
  <c r="N1405" i="3"/>
  <c r="O1405" i="3"/>
  <c r="N1003" i="3"/>
  <c r="O1003" i="3"/>
  <c r="N1825" i="3"/>
  <c r="O1825" i="3"/>
  <c r="N627" i="3"/>
  <c r="O627" i="3"/>
  <c r="N1404" i="3"/>
  <c r="O1404" i="3"/>
  <c r="N1002" i="3"/>
  <c r="O1002" i="3"/>
  <c r="N1403" i="3"/>
  <c r="O1403" i="3"/>
  <c r="N1001" i="3"/>
  <c r="O1001" i="3"/>
  <c r="N236" i="3"/>
  <c r="O236" i="3"/>
  <c r="N626" i="3"/>
  <c r="O626" i="3"/>
  <c r="N235" i="3"/>
  <c r="O235" i="3"/>
  <c r="N625" i="3"/>
  <c r="O625" i="3"/>
  <c r="N1824" i="3"/>
  <c r="O1824" i="3"/>
  <c r="N1823" i="3"/>
  <c r="O1823" i="3"/>
  <c r="N1822" i="3"/>
  <c r="O1822" i="3"/>
  <c r="N1821" i="3"/>
  <c r="O1821" i="3"/>
  <c r="N234" i="3"/>
  <c r="O234" i="3"/>
  <c r="N624" i="3"/>
  <c r="O624" i="3"/>
  <c r="N1000" i="3"/>
  <c r="O1000" i="3"/>
  <c r="N1402" i="3"/>
  <c r="O1402" i="3"/>
  <c r="N623" i="3"/>
  <c r="O623" i="3"/>
  <c r="N1401" i="3"/>
  <c r="O1401" i="3"/>
  <c r="N1400" i="3"/>
  <c r="O1400" i="3"/>
  <c r="N1820" i="3"/>
  <c r="O1820" i="3"/>
  <c r="N233" i="3"/>
  <c r="O233" i="3"/>
  <c r="N1399" i="3"/>
  <c r="O1399" i="3"/>
  <c r="N232" i="3"/>
  <c r="O232" i="3"/>
  <c r="N622" i="3"/>
  <c r="O622" i="3"/>
  <c r="N999" i="3"/>
  <c r="O999" i="3"/>
  <c r="N1398" i="3"/>
  <c r="O1398" i="3"/>
  <c r="N621" i="3"/>
  <c r="O621" i="3"/>
  <c r="N1397" i="3"/>
  <c r="O1397" i="3"/>
  <c r="N1396" i="3"/>
  <c r="O1396" i="3"/>
  <c r="N1819" i="3"/>
  <c r="O1819" i="3"/>
  <c r="N231" i="3"/>
  <c r="O231" i="3"/>
  <c r="N1395" i="3"/>
  <c r="O1395" i="3"/>
  <c r="N998" i="3"/>
  <c r="O998" i="3"/>
  <c r="N997" i="3"/>
  <c r="O997" i="3"/>
  <c r="N620" i="3"/>
  <c r="O620" i="3"/>
  <c r="N619" i="3"/>
  <c r="O619" i="3"/>
  <c r="N996" i="3"/>
  <c r="O996" i="3"/>
  <c r="N995" i="3"/>
  <c r="O995" i="3"/>
  <c r="N994" i="3"/>
  <c r="O994" i="3"/>
  <c r="N993" i="3"/>
  <c r="O993" i="3"/>
  <c r="N992" i="3"/>
  <c r="O992" i="3"/>
  <c r="N230" i="3"/>
  <c r="O230" i="3"/>
  <c r="N229" i="3"/>
  <c r="O229" i="3"/>
  <c r="N991" i="3"/>
  <c r="O991" i="3"/>
  <c r="N990" i="3"/>
  <c r="O990" i="3"/>
  <c r="N228" i="3"/>
  <c r="O228" i="3"/>
  <c r="N227" i="3"/>
  <c r="O227" i="3"/>
  <c r="N989" i="3"/>
  <c r="O989" i="3"/>
  <c r="N618" i="3"/>
  <c r="O618" i="3"/>
  <c r="N988" i="3"/>
  <c r="O988" i="3"/>
  <c r="N617" i="3"/>
  <c r="O617" i="3"/>
  <c r="N987" i="3"/>
  <c r="O987" i="3"/>
  <c r="N616" i="3"/>
  <c r="O616" i="3"/>
  <c r="N1818" i="3"/>
  <c r="O1818" i="3"/>
  <c r="N986" i="3"/>
  <c r="O986" i="3"/>
  <c r="N615" i="3"/>
  <c r="O615" i="3"/>
  <c r="N1817" i="3"/>
  <c r="O1817" i="3"/>
  <c r="N985" i="3"/>
  <c r="O985" i="3"/>
  <c r="N614" i="3"/>
  <c r="O614" i="3"/>
  <c r="N984" i="3"/>
  <c r="O984" i="3"/>
  <c r="N1816" i="3"/>
  <c r="O1816" i="3"/>
  <c r="N983" i="3"/>
  <c r="O983" i="3"/>
  <c r="N613" i="3"/>
  <c r="O613" i="3"/>
  <c r="N982" i="3"/>
  <c r="O982" i="3"/>
  <c r="N1815" i="3"/>
  <c r="O1815" i="3"/>
  <c r="N981" i="3"/>
  <c r="O981" i="3"/>
  <c r="N1814" i="3"/>
  <c r="O1814" i="3"/>
  <c r="N1813" i="3"/>
  <c r="O1813" i="3"/>
  <c r="N980" i="3"/>
  <c r="O980" i="3"/>
  <c r="N612" i="3"/>
  <c r="O612" i="3"/>
  <c r="N979" i="3"/>
  <c r="O979" i="3"/>
  <c r="N611" i="3"/>
  <c r="O611" i="3"/>
  <c r="N610" i="3"/>
  <c r="O610" i="3"/>
  <c r="N226" i="3"/>
  <c r="O226" i="3"/>
  <c r="N609" i="3"/>
  <c r="O609" i="3"/>
  <c r="N1812" i="3"/>
  <c r="O1812" i="3"/>
  <c r="N608" i="3"/>
  <c r="O608" i="3"/>
  <c r="N225" i="3"/>
  <c r="O225" i="3"/>
  <c r="N607" i="3"/>
  <c r="O607" i="3"/>
  <c r="N1811" i="3"/>
  <c r="O1811" i="3"/>
  <c r="N606" i="3"/>
  <c r="O606" i="3"/>
  <c r="N1810" i="3"/>
  <c r="O1810" i="3"/>
  <c r="N605" i="3"/>
  <c r="O605" i="3"/>
  <c r="N1809" i="3"/>
  <c r="O1809" i="3"/>
  <c r="N978" i="3"/>
  <c r="O978" i="3"/>
  <c r="N224" i="3"/>
  <c r="O224" i="3"/>
  <c r="N1808" i="3"/>
  <c r="O1808" i="3"/>
  <c r="N977" i="3"/>
  <c r="O977" i="3"/>
  <c r="N223" i="3"/>
  <c r="O223" i="3"/>
  <c r="N1807" i="3"/>
  <c r="O1807" i="3"/>
  <c r="N1394" i="3"/>
  <c r="O1394" i="3"/>
  <c r="N1393" i="3"/>
  <c r="O1393" i="3"/>
  <c r="N1392" i="3"/>
  <c r="O1392" i="3"/>
  <c r="N1391" i="3"/>
  <c r="O1391" i="3"/>
  <c r="N604" i="3"/>
  <c r="O604" i="3"/>
  <c r="N1390" i="3"/>
  <c r="O1390" i="3"/>
  <c r="N1389" i="3"/>
  <c r="O1389" i="3"/>
  <c r="N603" i="3"/>
  <c r="O603" i="3"/>
  <c r="N1388" i="3"/>
  <c r="O1388" i="3"/>
  <c r="N1387" i="3"/>
  <c r="O1387" i="3"/>
  <c r="N1386" i="3"/>
  <c r="O1386" i="3"/>
  <c r="N1385" i="3"/>
  <c r="O1385" i="3"/>
  <c r="N1806" i="3"/>
  <c r="O1806" i="3"/>
  <c r="N1384" i="3"/>
  <c r="O1384" i="3"/>
  <c r="N602" i="3"/>
  <c r="O602" i="3"/>
  <c r="N1805" i="3"/>
  <c r="O1805" i="3"/>
  <c r="N1383" i="3"/>
  <c r="O1383" i="3"/>
  <c r="N1804" i="3"/>
  <c r="O1804" i="3"/>
  <c r="N1382" i="3"/>
  <c r="O1382" i="3"/>
  <c r="N601" i="3"/>
  <c r="O601" i="3"/>
  <c r="N1803" i="3"/>
  <c r="O1803" i="3"/>
  <c r="N1381" i="3"/>
  <c r="O1381" i="3"/>
  <c r="N600" i="3"/>
  <c r="O600" i="3"/>
  <c r="N976" i="3"/>
  <c r="O976" i="3"/>
  <c r="N599" i="3"/>
  <c r="O599" i="3"/>
  <c r="N975" i="3"/>
  <c r="O975" i="3"/>
  <c r="N974" i="3"/>
  <c r="O974" i="3"/>
  <c r="N1380" i="3"/>
  <c r="O1380" i="3"/>
  <c r="N598" i="3"/>
  <c r="O598" i="3"/>
  <c r="N973" i="3"/>
  <c r="O973" i="3"/>
  <c r="N972" i="3"/>
  <c r="O972" i="3"/>
  <c r="N1379" i="3"/>
  <c r="O1379" i="3"/>
  <c r="N597" i="3"/>
  <c r="O597" i="3"/>
  <c r="N971" i="3"/>
  <c r="O971" i="3"/>
  <c r="N222" i="3"/>
  <c r="O222" i="3"/>
  <c r="N221" i="3"/>
  <c r="O221" i="3"/>
  <c r="N220" i="3"/>
  <c r="O220" i="3"/>
  <c r="N219" i="3"/>
  <c r="O219" i="3"/>
  <c r="N218" i="3"/>
  <c r="O218" i="3"/>
  <c r="N596" i="3"/>
  <c r="O596" i="3"/>
  <c r="N217" i="3"/>
  <c r="O217" i="3"/>
  <c r="N595" i="3"/>
  <c r="O595" i="3"/>
  <c r="N216" i="3"/>
  <c r="O216" i="3"/>
  <c r="N1378" i="3"/>
  <c r="O1378" i="3"/>
  <c r="N594" i="3"/>
  <c r="O594" i="3"/>
  <c r="N215" i="3"/>
  <c r="O215" i="3"/>
  <c r="N1802" i="3"/>
  <c r="O1802" i="3"/>
  <c r="N214" i="3"/>
  <c r="O214" i="3"/>
  <c r="N1377" i="3"/>
  <c r="O1377" i="3"/>
  <c r="N593" i="3"/>
  <c r="O593" i="3"/>
  <c r="N213" i="3"/>
  <c r="O213" i="3"/>
  <c r="N1801" i="3"/>
  <c r="O1801" i="3"/>
  <c r="N1376" i="3"/>
  <c r="O1376" i="3"/>
  <c r="N1375" i="3"/>
  <c r="O1375" i="3"/>
  <c r="N1374" i="3"/>
  <c r="O1374" i="3"/>
  <c r="N970" i="3"/>
  <c r="O970" i="3"/>
  <c r="N969" i="3"/>
  <c r="O969" i="3"/>
  <c r="N1373" i="3"/>
  <c r="O1373" i="3"/>
  <c r="N968" i="3"/>
  <c r="O968" i="3"/>
  <c r="N967" i="3"/>
  <c r="O967" i="3"/>
  <c r="N966" i="3"/>
  <c r="O966" i="3"/>
  <c r="N592" i="3"/>
  <c r="O592" i="3"/>
  <c r="N965" i="3"/>
  <c r="O965" i="3"/>
  <c r="N591" i="3"/>
  <c r="O591" i="3"/>
  <c r="N964" i="3"/>
  <c r="O964" i="3"/>
  <c r="N590" i="3"/>
  <c r="O590" i="3"/>
  <c r="N963" i="3"/>
  <c r="O963" i="3"/>
  <c r="N589" i="3"/>
  <c r="O589" i="3"/>
  <c r="N1372" i="3"/>
  <c r="O1372" i="3"/>
  <c r="N1371" i="3"/>
  <c r="O1371" i="3"/>
  <c r="N1800" i="3"/>
  <c r="O1800" i="3"/>
  <c r="N1799" i="3"/>
  <c r="O1799" i="3"/>
  <c r="N212" i="3"/>
  <c r="O212" i="3"/>
  <c r="N211" i="3"/>
  <c r="O211" i="3"/>
  <c r="N210" i="3"/>
  <c r="O210" i="3"/>
  <c r="N1370" i="3"/>
  <c r="O1370" i="3"/>
  <c r="N1798" i="3"/>
  <c r="O1798" i="3"/>
  <c r="N1369" i="3"/>
  <c r="O1369" i="3"/>
  <c r="N1797" i="3"/>
  <c r="O1797" i="3"/>
  <c r="N209" i="3"/>
  <c r="O209" i="3"/>
  <c r="N1368" i="3"/>
  <c r="O1368" i="3"/>
  <c r="N1796" i="3"/>
  <c r="O1796" i="3"/>
  <c r="N1367" i="3"/>
  <c r="O1367" i="3"/>
  <c r="N1795" i="3"/>
  <c r="O1795" i="3"/>
  <c r="N1794" i="3"/>
  <c r="O1794" i="3"/>
  <c r="N962" i="3"/>
  <c r="O962" i="3"/>
  <c r="N1793" i="3"/>
  <c r="O1793" i="3"/>
  <c r="N208" i="3"/>
  <c r="O208" i="3"/>
  <c r="N1792" i="3"/>
  <c r="O1792" i="3"/>
  <c r="N961" i="3"/>
  <c r="O961" i="3"/>
  <c r="N1791" i="3"/>
  <c r="O1791" i="3"/>
  <c r="N207" i="3"/>
  <c r="O207" i="3"/>
  <c r="N588" i="3"/>
  <c r="O588" i="3"/>
  <c r="N960" i="3"/>
  <c r="O960" i="3"/>
  <c r="N1790" i="3"/>
  <c r="O1790" i="3"/>
  <c r="N587" i="3"/>
  <c r="O587" i="3"/>
  <c r="N959" i="3"/>
  <c r="O959" i="3"/>
  <c r="N1789" i="3"/>
  <c r="O1789" i="3"/>
  <c r="N1366" i="3"/>
  <c r="O1366" i="3"/>
  <c r="N1788" i="3"/>
  <c r="O1788" i="3"/>
  <c r="N1365" i="3"/>
  <c r="O1365" i="3"/>
  <c r="N1787" i="3"/>
  <c r="O1787" i="3"/>
  <c r="N958" i="3"/>
  <c r="O958" i="3"/>
  <c r="N957" i="3"/>
  <c r="O957" i="3"/>
  <c r="N956" i="3"/>
  <c r="O956" i="3"/>
  <c r="N955" i="3"/>
  <c r="O955" i="3"/>
  <c r="N954" i="3"/>
  <c r="O954" i="3"/>
  <c r="N206" i="3"/>
  <c r="O206" i="3"/>
  <c r="N1786" i="3"/>
  <c r="O1786" i="3"/>
  <c r="N1364" i="3"/>
  <c r="O1364" i="3"/>
  <c r="N953" i="3"/>
  <c r="O953" i="3"/>
  <c r="N205" i="3"/>
  <c r="O205" i="3"/>
  <c r="N1785" i="3"/>
  <c r="O1785" i="3"/>
  <c r="N1363" i="3"/>
  <c r="O1363" i="3"/>
  <c r="N204" i="3"/>
  <c r="O204" i="3"/>
  <c r="N952" i="3"/>
  <c r="O952" i="3"/>
  <c r="N203" i="3"/>
  <c r="O203" i="3"/>
  <c r="N951" i="3"/>
  <c r="O951" i="3"/>
  <c r="N950" i="3"/>
  <c r="O950" i="3"/>
  <c r="N1362" i="3"/>
  <c r="O1362" i="3"/>
  <c r="N949" i="3"/>
  <c r="O949" i="3"/>
  <c r="N586" i="3"/>
  <c r="O586" i="3"/>
  <c r="N948" i="3"/>
  <c r="O948" i="3"/>
  <c r="N1361" i="3"/>
  <c r="O1361" i="3"/>
  <c r="N947" i="3"/>
  <c r="O947" i="3"/>
  <c r="N585" i="3"/>
  <c r="O585" i="3"/>
  <c r="N1784" i="3"/>
  <c r="O1784" i="3"/>
  <c r="N1783" i="3"/>
  <c r="O1783" i="3"/>
  <c r="N202" i="3"/>
  <c r="O202" i="3"/>
  <c r="N1782" i="3"/>
  <c r="O1782" i="3"/>
  <c r="N1781" i="3"/>
  <c r="O1781" i="3"/>
  <c r="N201" i="3"/>
  <c r="O201" i="3"/>
  <c r="N200" i="3"/>
  <c r="O200" i="3"/>
  <c r="N199" i="3"/>
  <c r="O199" i="3"/>
  <c r="N198" i="3"/>
  <c r="O198" i="3"/>
  <c r="N197" i="3"/>
  <c r="O197" i="3"/>
  <c r="N196" i="3"/>
  <c r="O196" i="3"/>
  <c r="N195" i="3"/>
  <c r="O195" i="3"/>
  <c r="N946" i="3"/>
  <c r="O946" i="3"/>
  <c r="N194" i="3"/>
  <c r="O194" i="3"/>
  <c r="N584" i="3"/>
  <c r="O584" i="3"/>
  <c r="N945" i="3"/>
  <c r="O945" i="3"/>
  <c r="N193" i="3"/>
  <c r="O193" i="3"/>
  <c r="N583" i="3"/>
  <c r="O583" i="3"/>
  <c r="N1360" i="3"/>
  <c r="O1360" i="3"/>
  <c r="N944" i="3"/>
  <c r="O944" i="3"/>
  <c r="N1359" i="3"/>
  <c r="O1359" i="3"/>
  <c r="N1358" i="3"/>
  <c r="O1358" i="3"/>
  <c r="N943" i="3"/>
  <c r="O943" i="3"/>
  <c r="N1357" i="3"/>
  <c r="O1357" i="3"/>
  <c r="N192" i="3"/>
  <c r="O192" i="3"/>
  <c r="N582" i="3"/>
  <c r="O582" i="3"/>
  <c r="N191" i="3"/>
  <c r="O191" i="3"/>
  <c r="N581" i="3"/>
  <c r="O581" i="3"/>
  <c r="N1356" i="3"/>
  <c r="O1356" i="3"/>
  <c r="N1355" i="3"/>
  <c r="O1355" i="3"/>
  <c r="N190" i="3"/>
  <c r="O190" i="3"/>
  <c r="N189" i="3"/>
  <c r="O189" i="3"/>
  <c r="N942" i="3"/>
  <c r="O942" i="3"/>
  <c r="N1780" i="3"/>
  <c r="O1780" i="3"/>
  <c r="N188" i="3"/>
  <c r="O188" i="3"/>
  <c r="N941" i="3"/>
  <c r="O941" i="3"/>
  <c r="N1779" i="3"/>
  <c r="O1779" i="3"/>
  <c r="N187" i="3"/>
  <c r="O187" i="3"/>
  <c r="N1354" i="3"/>
  <c r="O1354" i="3"/>
  <c r="N580" i="3"/>
  <c r="O580" i="3"/>
  <c r="N1778" i="3"/>
  <c r="O1778" i="3"/>
  <c r="N1353" i="3"/>
  <c r="O1353" i="3"/>
  <c r="N579" i="3"/>
  <c r="O579" i="3"/>
  <c r="N1777" i="3"/>
  <c r="O1777" i="3"/>
  <c r="N1776" i="3"/>
  <c r="O1776" i="3"/>
  <c r="N1352" i="3"/>
  <c r="O1352" i="3"/>
  <c r="N1775" i="3"/>
  <c r="O1775" i="3"/>
  <c r="N1774" i="3"/>
  <c r="O1774" i="3"/>
  <c r="N1351" i="3"/>
  <c r="O1351" i="3"/>
  <c r="N1773" i="3"/>
  <c r="O1773" i="3"/>
  <c r="N186" i="3"/>
  <c r="O186" i="3"/>
  <c r="N185" i="3"/>
  <c r="O185" i="3"/>
  <c r="N940" i="3"/>
  <c r="O940" i="3"/>
  <c r="N1350" i="3"/>
  <c r="O1350" i="3"/>
  <c r="N1349" i="3"/>
  <c r="O1349" i="3"/>
  <c r="N578" i="3"/>
  <c r="O578" i="3"/>
  <c r="N1772" i="3"/>
  <c r="O1772" i="3"/>
  <c r="N1348" i="3"/>
  <c r="O1348" i="3"/>
  <c r="N1771" i="3"/>
  <c r="O1771" i="3"/>
  <c r="N184" i="3"/>
  <c r="O184" i="3"/>
  <c r="N1347" i="3"/>
  <c r="O1347" i="3"/>
  <c r="N939" i="3"/>
  <c r="O939" i="3"/>
  <c r="N1346" i="3"/>
  <c r="O1346" i="3"/>
  <c r="N1345" i="3"/>
  <c r="O1345" i="3"/>
  <c r="N577" i="3"/>
  <c r="O577" i="3"/>
  <c r="N1770" i="3"/>
  <c r="O1770" i="3"/>
  <c r="N1344" i="3"/>
  <c r="O1344" i="3"/>
  <c r="N1769" i="3"/>
  <c r="O1769" i="3"/>
  <c r="N183" i="3"/>
  <c r="O183" i="3"/>
  <c r="N1343" i="3"/>
  <c r="O1343" i="3"/>
  <c r="N576" i="3"/>
  <c r="O576" i="3"/>
  <c r="N1768" i="3"/>
  <c r="O1768" i="3"/>
  <c r="N182" i="3"/>
  <c r="O182" i="3"/>
  <c r="N575" i="3"/>
  <c r="O575" i="3"/>
  <c r="N574" i="3"/>
  <c r="O574" i="3"/>
  <c r="N1767" i="3"/>
  <c r="O1767" i="3"/>
  <c r="N181" i="3"/>
  <c r="O181" i="3"/>
  <c r="N573" i="3"/>
  <c r="O573" i="3"/>
  <c r="N1342" i="3"/>
  <c r="O1342" i="3"/>
  <c r="N1766" i="3"/>
  <c r="O1766" i="3"/>
  <c r="N1765" i="3"/>
  <c r="O1765" i="3"/>
  <c r="N1341" i="3"/>
  <c r="O1341" i="3"/>
  <c r="N1764" i="3"/>
  <c r="O1764" i="3"/>
  <c r="N1763" i="3"/>
  <c r="O1763" i="3"/>
  <c r="N180" i="3"/>
  <c r="O180" i="3"/>
  <c r="N179" i="3"/>
  <c r="O179" i="3"/>
  <c r="N1340" i="3"/>
  <c r="O1340" i="3"/>
  <c r="N178" i="3"/>
  <c r="O178" i="3"/>
  <c r="N177" i="3"/>
  <c r="O177" i="3"/>
  <c r="N1339" i="3"/>
  <c r="O1339" i="3"/>
  <c r="N1338" i="3"/>
  <c r="O1338" i="3"/>
  <c r="N176" i="3"/>
  <c r="O176" i="3"/>
  <c r="N1762" i="3"/>
  <c r="O1762" i="3"/>
  <c r="N1337" i="3"/>
  <c r="O1337" i="3"/>
  <c r="N175" i="3"/>
  <c r="O175" i="3"/>
  <c r="N1761" i="3"/>
  <c r="O1761" i="3"/>
  <c r="N1760" i="3"/>
  <c r="O1760" i="3"/>
  <c r="N938" i="3"/>
  <c r="O938" i="3"/>
  <c r="N1759" i="3"/>
  <c r="O1759" i="3"/>
  <c r="N937" i="3"/>
  <c r="O937" i="3"/>
  <c r="N1758" i="3"/>
  <c r="O1758" i="3"/>
  <c r="N1757" i="3"/>
  <c r="O1757" i="3"/>
  <c r="N936" i="3"/>
  <c r="O936" i="3"/>
  <c r="N1756" i="3"/>
  <c r="O1756" i="3"/>
  <c r="N1755" i="3"/>
  <c r="O1755" i="3"/>
  <c r="N935" i="3"/>
  <c r="O935" i="3"/>
  <c r="N934" i="3"/>
  <c r="O934" i="3"/>
  <c r="N1754" i="3"/>
  <c r="O1754" i="3"/>
  <c r="N933" i="3"/>
  <c r="O933" i="3"/>
  <c r="N932" i="3"/>
  <c r="O932" i="3"/>
  <c r="N1336" i="3"/>
  <c r="O1336" i="3"/>
  <c r="N572" i="3"/>
  <c r="O572" i="3"/>
  <c r="N1335" i="3"/>
  <c r="O1335" i="3"/>
  <c r="N571" i="3"/>
  <c r="O571" i="3"/>
  <c r="N1753" i="3"/>
  <c r="O1753" i="3"/>
  <c r="N1752" i="3"/>
  <c r="O1752" i="3"/>
  <c r="N1334" i="3"/>
  <c r="O1334" i="3"/>
  <c r="N931" i="3"/>
  <c r="O931" i="3"/>
  <c r="N1751" i="3"/>
  <c r="O1751" i="3"/>
  <c r="N930" i="3"/>
  <c r="O930" i="3"/>
  <c r="N929" i="3"/>
  <c r="O929" i="3"/>
  <c r="N1333" i="3"/>
  <c r="O1333" i="3"/>
  <c r="N570" i="3"/>
  <c r="O570" i="3"/>
  <c r="N1332" i="3"/>
  <c r="O1332" i="3"/>
  <c r="N569" i="3"/>
  <c r="O569" i="3"/>
  <c r="N1750" i="3"/>
  <c r="O1750" i="3"/>
  <c r="N1749" i="3"/>
  <c r="O1749" i="3"/>
  <c r="N1331" i="3"/>
  <c r="O1331" i="3"/>
  <c r="N568" i="3"/>
  <c r="O568" i="3"/>
  <c r="N1748" i="3"/>
  <c r="O1748" i="3"/>
  <c r="N567" i="3"/>
  <c r="O567" i="3"/>
  <c r="N566" i="3"/>
  <c r="O566" i="3"/>
  <c r="N1747" i="3"/>
  <c r="O1747" i="3"/>
  <c r="N565" i="3"/>
  <c r="O565" i="3"/>
  <c r="N1746" i="3"/>
  <c r="O1746" i="3"/>
  <c r="N564" i="3"/>
  <c r="O564" i="3"/>
  <c r="N1745" i="3"/>
  <c r="O1745" i="3"/>
  <c r="N1744" i="3"/>
  <c r="O1744" i="3"/>
  <c r="N563" i="3"/>
  <c r="O563" i="3"/>
  <c r="N1743" i="3"/>
  <c r="O1743" i="3"/>
  <c r="N1330" i="3"/>
  <c r="O1330" i="3"/>
  <c r="N928" i="3"/>
  <c r="O928" i="3"/>
  <c r="N1329" i="3"/>
  <c r="O1329" i="3"/>
  <c r="N927" i="3"/>
  <c r="O927" i="3"/>
  <c r="N174" i="3"/>
  <c r="O174" i="3"/>
  <c r="N173" i="3"/>
  <c r="O173" i="3"/>
  <c r="N562" i="3"/>
  <c r="O562" i="3"/>
  <c r="N561" i="3"/>
  <c r="O561" i="3"/>
  <c r="N926" i="3"/>
  <c r="O926" i="3"/>
  <c r="N1742" i="3"/>
  <c r="O1742" i="3"/>
  <c r="N925" i="3"/>
  <c r="O925" i="3"/>
  <c r="N1741" i="3"/>
  <c r="O1741" i="3"/>
  <c r="N1740" i="3"/>
  <c r="O1740" i="3"/>
  <c r="N172" i="3"/>
  <c r="O172" i="3"/>
  <c r="N560" i="3"/>
  <c r="O560" i="3"/>
  <c r="N1739" i="3"/>
  <c r="O1739" i="3"/>
  <c r="N171" i="3"/>
  <c r="O171" i="3"/>
  <c r="N559" i="3"/>
  <c r="O559" i="3"/>
  <c r="N1738" i="3"/>
  <c r="O1738" i="3"/>
  <c r="N170" i="3"/>
  <c r="O170" i="3"/>
  <c r="N169" i="3"/>
  <c r="O169" i="3"/>
  <c r="N1737" i="3"/>
  <c r="O1737" i="3"/>
  <c r="N1736" i="3"/>
  <c r="O1736" i="3"/>
  <c r="N924" i="3"/>
  <c r="O924" i="3"/>
  <c r="N1735" i="3"/>
  <c r="O1735" i="3"/>
  <c r="N168" i="3"/>
  <c r="O168" i="3"/>
  <c r="N167" i="3"/>
  <c r="O167" i="3"/>
  <c r="N1734" i="3"/>
  <c r="O1734" i="3"/>
  <c r="N1733" i="3"/>
  <c r="O1733" i="3"/>
  <c r="N923" i="3"/>
  <c r="O923" i="3"/>
  <c r="N166" i="3"/>
  <c r="O166" i="3"/>
  <c r="N558" i="3"/>
  <c r="O558" i="3"/>
  <c r="N922" i="3"/>
  <c r="O922" i="3"/>
  <c r="N1328" i="3"/>
  <c r="O1328" i="3"/>
  <c r="N921" i="3"/>
  <c r="O921" i="3"/>
  <c r="N165" i="3"/>
  <c r="O165" i="3"/>
  <c r="N557" i="3"/>
  <c r="O557" i="3"/>
  <c r="N920" i="3"/>
  <c r="O920" i="3"/>
  <c r="N1327" i="3"/>
  <c r="O1327" i="3"/>
  <c r="N919" i="3"/>
  <c r="O919" i="3"/>
  <c r="N918" i="3"/>
  <c r="O918" i="3"/>
  <c r="N556" i="3"/>
  <c r="O556" i="3"/>
  <c r="N1326" i="3"/>
  <c r="O1326" i="3"/>
  <c r="N555" i="3"/>
  <c r="O555" i="3"/>
  <c r="N917" i="3"/>
  <c r="O917" i="3"/>
  <c r="N916" i="3"/>
  <c r="O916" i="3"/>
  <c r="N554" i="3"/>
  <c r="O554" i="3"/>
  <c r="N1325" i="3"/>
  <c r="O1325" i="3"/>
  <c r="N553" i="3"/>
  <c r="O553" i="3"/>
  <c r="N915" i="3"/>
  <c r="O915" i="3"/>
  <c r="N914" i="3"/>
  <c r="O914" i="3"/>
  <c r="N552" i="3"/>
  <c r="O552" i="3"/>
  <c r="N1732" i="3"/>
  <c r="O1732" i="3"/>
  <c r="N913" i="3"/>
  <c r="O913" i="3"/>
  <c r="N1324" i="3"/>
  <c r="O1324" i="3"/>
  <c r="N912" i="3"/>
  <c r="O912" i="3"/>
  <c r="N551" i="3"/>
  <c r="O551" i="3"/>
  <c r="N1731" i="3"/>
  <c r="O1731" i="3"/>
  <c r="N911" i="3"/>
  <c r="O911" i="3"/>
  <c r="N1323" i="3"/>
  <c r="O1323" i="3"/>
  <c r="N1730" i="3"/>
  <c r="O1730" i="3"/>
  <c r="N164" i="3"/>
  <c r="O164" i="3"/>
  <c r="N550" i="3"/>
  <c r="O550" i="3"/>
  <c r="N1729" i="3"/>
  <c r="O1729" i="3"/>
  <c r="N163" i="3"/>
  <c r="O163" i="3"/>
  <c r="N549" i="3"/>
  <c r="O549" i="3"/>
  <c r="N548" i="3"/>
  <c r="O548" i="3"/>
  <c r="N547" i="3"/>
  <c r="O547" i="3"/>
  <c r="N546" i="3"/>
  <c r="O546" i="3"/>
  <c r="N162" i="3"/>
  <c r="O162" i="3"/>
  <c r="N161" i="3"/>
  <c r="O161" i="3"/>
  <c r="N545" i="3"/>
  <c r="O545" i="3"/>
  <c r="N544" i="3"/>
  <c r="O544" i="3"/>
  <c r="N543" i="3"/>
  <c r="O543" i="3"/>
  <c r="N160" i="3"/>
  <c r="O160" i="3"/>
  <c r="N159" i="3"/>
  <c r="O159" i="3"/>
  <c r="N910" i="3"/>
  <c r="O910" i="3"/>
  <c r="N542" i="3"/>
  <c r="O542" i="3"/>
  <c r="N158" i="3"/>
  <c r="O158" i="3"/>
  <c r="N909" i="3"/>
  <c r="O909" i="3"/>
  <c r="N541" i="3"/>
  <c r="O541" i="3"/>
  <c r="N157" i="3"/>
  <c r="O157" i="3"/>
  <c r="N908" i="3"/>
  <c r="O908" i="3"/>
  <c r="N156" i="3"/>
  <c r="O156" i="3"/>
  <c r="N1728" i="3"/>
  <c r="O1728" i="3"/>
  <c r="N907" i="3"/>
  <c r="O907" i="3"/>
  <c r="N155" i="3"/>
  <c r="O155" i="3"/>
  <c r="N1727" i="3"/>
  <c r="O1727" i="3"/>
  <c r="N540" i="3"/>
  <c r="O540" i="3"/>
  <c r="N154" i="3"/>
  <c r="O154" i="3"/>
  <c r="N153" i="3"/>
  <c r="O153" i="3"/>
  <c r="N539" i="3"/>
  <c r="O539" i="3"/>
  <c r="N152" i="3"/>
  <c r="O152" i="3"/>
  <c r="N151" i="3"/>
  <c r="O151" i="3"/>
  <c r="N1322" i="3"/>
  <c r="O1322" i="3"/>
  <c r="N538" i="3"/>
  <c r="O538" i="3"/>
  <c r="N1726" i="3"/>
  <c r="O1726" i="3"/>
  <c r="N1321" i="3"/>
  <c r="O1321" i="3"/>
  <c r="N537" i="3"/>
  <c r="O537" i="3"/>
  <c r="N1725" i="3"/>
  <c r="O1725" i="3"/>
  <c r="N150" i="3"/>
  <c r="O150" i="3"/>
  <c r="N536" i="3"/>
  <c r="O536" i="3"/>
  <c r="N149" i="3"/>
  <c r="O149" i="3"/>
  <c r="N148" i="3"/>
  <c r="O148" i="3"/>
  <c r="N535" i="3"/>
  <c r="O535" i="3"/>
  <c r="N147" i="3"/>
  <c r="O147" i="3"/>
  <c r="N906" i="3"/>
  <c r="O906" i="3"/>
  <c r="N1320" i="3"/>
  <c r="O1320" i="3"/>
  <c r="N534" i="3"/>
  <c r="O534" i="3"/>
  <c r="N905" i="3"/>
  <c r="O905" i="3"/>
  <c r="N1319" i="3"/>
  <c r="O1319" i="3"/>
  <c r="N533" i="3"/>
  <c r="O533" i="3"/>
  <c r="N532" i="3"/>
  <c r="O532" i="3"/>
  <c r="N531" i="3"/>
  <c r="O531" i="3"/>
  <c r="N530" i="3"/>
  <c r="O530" i="3"/>
  <c r="N529" i="3"/>
  <c r="O529" i="3"/>
  <c r="N528" i="3"/>
  <c r="O528" i="3"/>
  <c r="N527" i="3"/>
  <c r="O527" i="3"/>
  <c r="N904" i="3"/>
  <c r="O904" i="3"/>
  <c r="N526" i="3"/>
  <c r="O526" i="3"/>
  <c r="N525" i="3"/>
  <c r="O525" i="3"/>
  <c r="N903" i="3"/>
  <c r="O903" i="3"/>
  <c r="N524" i="3"/>
  <c r="O524" i="3"/>
  <c r="N523" i="3"/>
  <c r="O523" i="3"/>
  <c r="N146" i="3"/>
  <c r="O146" i="3"/>
  <c r="N522" i="3"/>
  <c r="O522" i="3"/>
  <c r="N145" i="3"/>
  <c r="O145" i="3"/>
  <c r="N521" i="3"/>
  <c r="O521" i="3"/>
  <c r="N1724" i="3"/>
  <c r="O1724" i="3"/>
  <c r="N520" i="3"/>
  <c r="O520" i="3"/>
  <c r="N519" i="3"/>
  <c r="O519" i="3"/>
  <c r="N144" i="3"/>
  <c r="O144" i="3"/>
  <c r="N1318" i="3"/>
  <c r="O1318" i="3"/>
  <c r="N902" i="3"/>
  <c r="O902" i="3"/>
  <c r="N1723" i="3"/>
  <c r="O1723" i="3"/>
  <c r="N1722" i="3"/>
  <c r="O1722" i="3"/>
  <c r="N518" i="3"/>
  <c r="O518" i="3"/>
  <c r="N517" i="3"/>
  <c r="O517" i="3"/>
  <c r="N143" i="3"/>
  <c r="O143" i="3"/>
  <c r="N1317" i="3"/>
  <c r="O1317" i="3"/>
  <c r="N901" i="3"/>
  <c r="O901" i="3"/>
  <c r="N1721" i="3"/>
  <c r="O1721" i="3"/>
  <c r="N142" i="3"/>
  <c r="O142" i="3"/>
  <c r="N141" i="3"/>
  <c r="O141" i="3"/>
  <c r="N140" i="3"/>
  <c r="O140" i="3"/>
  <c r="N139" i="3"/>
  <c r="O139" i="3"/>
  <c r="N138" i="3"/>
  <c r="O138" i="3"/>
  <c r="N137" i="3"/>
  <c r="O137" i="3"/>
  <c r="N900" i="3"/>
  <c r="O900" i="3"/>
  <c r="N516" i="3"/>
  <c r="O516" i="3"/>
  <c r="N899" i="3"/>
  <c r="O899" i="3"/>
  <c r="N515" i="3"/>
  <c r="O515" i="3"/>
  <c r="N898" i="3"/>
  <c r="O898" i="3"/>
  <c r="N1720" i="3"/>
  <c r="O1720" i="3"/>
  <c r="N136" i="3"/>
  <c r="O136" i="3"/>
  <c r="N1316" i="3"/>
  <c r="O1316" i="3"/>
  <c r="N135" i="3"/>
  <c r="O135" i="3"/>
  <c r="N897" i="3"/>
  <c r="O897" i="3"/>
  <c r="N1719" i="3"/>
  <c r="O1719" i="3"/>
  <c r="N134" i="3"/>
  <c r="O134" i="3"/>
  <c r="N1315" i="3"/>
  <c r="O1315" i="3"/>
  <c r="N133" i="3"/>
  <c r="O133" i="3"/>
  <c r="N1314" i="3"/>
  <c r="O1314" i="3"/>
  <c r="N896" i="3"/>
  <c r="O896" i="3"/>
  <c r="N895" i="3"/>
  <c r="O895" i="3"/>
  <c r="N132" i="3"/>
  <c r="O132" i="3"/>
  <c r="N1718" i="3"/>
  <c r="O1718" i="3"/>
  <c r="N131" i="3"/>
  <c r="O131" i="3"/>
  <c r="N1313" i="3"/>
  <c r="O1313" i="3"/>
  <c r="N894" i="3"/>
  <c r="O894" i="3"/>
  <c r="N893" i="3"/>
  <c r="O893" i="3"/>
  <c r="N130" i="3"/>
  <c r="O130" i="3"/>
  <c r="N1717" i="3"/>
  <c r="O1717" i="3"/>
  <c r="N129" i="3"/>
  <c r="O129" i="3"/>
  <c r="N128" i="3"/>
  <c r="O128" i="3"/>
  <c r="N127" i="3"/>
  <c r="O127" i="3"/>
  <c r="N126" i="3"/>
  <c r="O126" i="3"/>
  <c r="N1312" i="3"/>
  <c r="O1312" i="3"/>
  <c r="N125" i="3"/>
  <c r="O125" i="3"/>
  <c r="N124" i="3"/>
  <c r="O124" i="3"/>
  <c r="N123" i="3"/>
  <c r="O123" i="3"/>
  <c r="N1311" i="3"/>
  <c r="O1311" i="3"/>
  <c r="N122" i="3"/>
  <c r="O122" i="3"/>
  <c r="N121" i="3"/>
  <c r="O121" i="3"/>
  <c r="N1310" i="3"/>
  <c r="O1310" i="3"/>
  <c r="N1309" i="3"/>
  <c r="O1309" i="3"/>
  <c r="N1716" i="3"/>
  <c r="O1716" i="3"/>
  <c r="N892" i="3"/>
  <c r="O892" i="3"/>
  <c r="N1715" i="3"/>
  <c r="O1715" i="3"/>
  <c r="N891" i="3"/>
  <c r="O891" i="3"/>
  <c r="N890" i="3"/>
  <c r="O890" i="3"/>
  <c r="N514" i="3"/>
  <c r="O514" i="3"/>
  <c r="N889" i="3"/>
  <c r="O889" i="3"/>
  <c r="N888" i="3"/>
  <c r="O888" i="3"/>
  <c r="N513" i="3"/>
  <c r="O513" i="3"/>
  <c r="N887" i="3"/>
  <c r="O887" i="3"/>
  <c r="N512" i="3"/>
  <c r="O512" i="3"/>
  <c r="N120" i="3"/>
  <c r="O120" i="3"/>
  <c r="N1714" i="3"/>
  <c r="O1714" i="3"/>
  <c r="N1308" i="3"/>
  <c r="O1308" i="3"/>
  <c r="N511" i="3"/>
  <c r="O511" i="3"/>
  <c r="N510" i="3"/>
  <c r="O510" i="3"/>
  <c r="N119" i="3"/>
  <c r="O119" i="3"/>
  <c r="N1713" i="3"/>
  <c r="O1713" i="3"/>
  <c r="N1307" i="3"/>
  <c r="O1307" i="3"/>
  <c r="N509" i="3"/>
  <c r="O509" i="3"/>
  <c r="N118" i="3"/>
  <c r="O118" i="3"/>
  <c r="N117" i="3"/>
  <c r="O117" i="3"/>
  <c r="N508" i="3"/>
  <c r="O508" i="3"/>
  <c r="N507" i="3"/>
  <c r="O507" i="3"/>
  <c r="N506" i="3"/>
  <c r="O506" i="3"/>
  <c r="N505" i="3"/>
  <c r="O505" i="3"/>
  <c r="N886" i="3"/>
  <c r="O886" i="3"/>
  <c r="N1306" i="3"/>
  <c r="O1306" i="3"/>
  <c r="N504" i="3"/>
  <c r="O504" i="3"/>
  <c r="N116" i="3"/>
  <c r="O116" i="3"/>
  <c r="N1712" i="3"/>
  <c r="O1712" i="3"/>
  <c r="N885" i="3"/>
  <c r="O885" i="3"/>
  <c r="N884" i="3"/>
  <c r="O884" i="3"/>
  <c r="N1305" i="3"/>
  <c r="O1305" i="3"/>
  <c r="N503" i="3"/>
  <c r="O503" i="3"/>
  <c r="N115" i="3"/>
  <c r="O115" i="3"/>
  <c r="N1711" i="3"/>
  <c r="O1711" i="3"/>
  <c r="N883" i="3"/>
  <c r="O883" i="3"/>
  <c r="N1304" i="3"/>
  <c r="O1304" i="3"/>
  <c r="N114" i="3"/>
  <c r="O114" i="3"/>
  <c r="N502" i="3"/>
  <c r="O502" i="3"/>
  <c r="N1710" i="3"/>
  <c r="O1710" i="3"/>
  <c r="N501" i="3"/>
  <c r="O501" i="3"/>
  <c r="N1303" i="3"/>
  <c r="O1303" i="3"/>
  <c r="N113" i="3"/>
  <c r="O113" i="3"/>
  <c r="N500" i="3"/>
  <c r="O500" i="3"/>
  <c r="N1709" i="3"/>
  <c r="O1709" i="3"/>
  <c r="N499" i="3"/>
  <c r="O499" i="3"/>
  <c r="N1302" i="3"/>
  <c r="O1302" i="3"/>
  <c r="N1301" i="3"/>
  <c r="O1301" i="3"/>
  <c r="N1300" i="3"/>
  <c r="O1300" i="3"/>
  <c r="N1299" i="3"/>
  <c r="O1299" i="3"/>
  <c r="N1298" i="3"/>
  <c r="O1298" i="3"/>
  <c r="N1297" i="3"/>
  <c r="O1297" i="3"/>
  <c r="N498" i="3"/>
  <c r="O498" i="3"/>
  <c r="N497" i="3"/>
  <c r="O497" i="3"/>
  <c r="N1708" i="3"/>
  <c r="O1708" i="3"/>
  <c r="N496" i="3"/>
  <c r="O496" i="3"/>
  <c r="N495" i="3"/>
  <c r="O495" i="3"/>
  <c r="N1707" i="3"/>
  <c r="O1707" i="3"/>
  <c r="N1296" i="3"/>
  <c r="O1296" i="3"/>
  <c r="N882" i="3"/>
  <c r="O882" i="3"/>
  <c r="N881" i="3"/>
  <c r="O881" i="3"/>
  <c r="N1706" i="3"/>
  <c r="O1706" i="3"/>
  <c r="N1295" i="3"/>
  <c r="O1295" i="3"/>
  <c r="N880" i="3"/>
  <c r="O880" i="3"/>
  <c r="N879" i="3"/>
  <c r="O879" i="3"/>
  <c r="N1705" i="3"/>
  <c r="O1705" i="3"/>
  <c r="N1704" i="3"/>
  <c r="O1704" i="3"/>
  <c r="N1294" i="3"/>
  <c r="O1294" i="3"/>
  <c r="N1293" i="3"/>
  <c r="O1293" i="3"/>
  <c r="N1703" i="3"/>
  <c r="O1703" i="3"/>
  <c r="N1292" i="3"/>
  <c r="O1292" i="3"/>
  <c r="N1291" i="3"/>
  <c r="O1291" i="3"/>
  <c r="N1290" i="3"/>
  <c r="O1290" i="3"/>
  <c r="N1289" i="3"/>
  <c r="O1289" i="3"/>
  <c r="N878" i="3"/>
  <c r="O878" i="3"/>
  <c r="N877" i="3"/>
  <c r="O877" i="3"/>
  <c r="N1702" i="3"/>
  <c r="O1702" i="3"/>
  <c r="N1701" i="3"/>
  <c r="O1701" i="3"/>
  <c r="N876" i="3"/>
  <c r="O876" i="3"/>
  <c r="N875" i="3"/>
  <c r="O875" i="3"/>
  <c r="N1700" i="3"/>
  <c r="O1700" i="3"/>
  <c r="N494" i="3"/>
  <c r="O494" i="3"/>
  <c r="N1699" i="3"/>
  <c r="O1699" i="3"/>
  <c r="N493" i="3"/>
  <c r="O493" i="3"/>
  <c r="N874" i="3"/>
  <c r="O874" i="3"/>
  <c r="N492" i="3"/>
  <c r="O492" i="3"/>
  <c r="N1288" i="3"/>
  <c r="O1288" i="3"/>
  <c r="N873" i="3"/>
  <c r="O873" i="3"/>
  <c r="N491" i="3"/>
  <c r="O491" i="3"/>
  <c r="N1287" i="3"/>
  <c r="O1287" i="3"/>
  <c r="N112" i="3"/>
  <c r="O112" i="3"/>
  <c r="N1698" i="3"/>
  <c r="O1698" i="3"/>
  <c r="N1697" i="3"/>
  <c r="O1697" i="3"/>
  <c r="N872" i="3"/>
  <c r="O872" i="3"/>
  <c r="N111" i="3"/>
  <c r="O111" i="3"/>
  <c r="N1696" i="3"/>
  <c r="O1696" i="3"/>
  <c r="N1695" i="3"/>
  <c r="O1695" i="3"/>
  <c r="N871" i="3"/>
  <c r="O871" i="3"/>
  <c r="N870" i="3"/>
  <c r="O870" i="3"/>
  <c r="N869" i="3"/>
  <c r="O869" i="3"/>
  <c r="N868" i="3"/>
  <c r="O868" i="3"/>
  <c r="N867" i="3"/>
  <c r="O867" i="3"/>
  <c r="N1694" i="3"/>
  <c r="O1694" i="3"/>
  <c r="N866" i="3"/>
  <c r="O866" i="3"/>
  <c r="N865" i="3"/>
  <c r="O865" i="3"/>
  <c r="N864" i="3"/>
  <c r="O864" i="3"/>
  <c r="N1693" i="3"/>
  <c r="O1693" i="3"/>
  <c r="N863" i="3"/>
  <c r="O863" i="3"/>
  <c r="N862" i="3"/>
  <c r="O862" i="3"/>
  <c r="N861" i="3"/>
  <c r="O861" i="3"/>
  <c r="N860" i="3"/>
  <c r="O860" i="3"/>
  <c r="N859" i="3"/>
  <c r="O859" i="3"/>
  <c r="N490" i="3"/>
  <c r="O490" i="3"/>
  <c r="N858" i="3"/>
  <c r="O858" i="3"/>
  <c r="N1692" i="3"/>
  <c r="O1692" i="3"/>
  <c r="N857" i="3"/>
  <c r="O857" i="3"/>
  <c r="N856" i="3"/>
  <c r="O856" i="3"/>
  <c r="N489" i="3"/>
  <c r="O489" i="3"/>
  <c r="N855" i="3"/>
  <c r="O855" i="3"/>
  <c r="N1691" i="3"/>
  <c r="O1691" i="3"/>
  <c r="N1286" i="3"/>
  <c r="O1286" i="3"/>
  <c r="N1285" i="3"/>
  <c r="O1285" i="3"/>
  <c r="N1690" i="3"/>
  <c r="O1690" i="3"/>
  <c r="N854" i="3"/>
  <c r="O854" i="3"/>
  <c r="N1284" i="3"/>
  <c r="O1284" i="3"/>
  <c r="N1283" i="3"/>
  <c r="O1283" i="3"/>
  <c r="N1689" i="3"/>
  <c r="O1689" i="3"/>
  <c r="N853" i="3"/>
  <c r="O853" i="3"/>
  <c r="N1282" i="3"/>
  <c r="O1282" i="3"/>
  <c r="N852" i="3"/>
  <c r="O852" i="3"/>
  <c r="N1281" i="3"/>
  <c r="O1281" i="3"/>
  <c r="N110" i="3"/>
  <c r="O110" i="3"/>
  <c r="N1280" i="3"/>
  <c r="O1280" i="3"/>
  <c r="N1279" i="3"/>
  <c r="O1279" i="3"/>
  <c r="N851" i="3"/>
  <c r="O851" i="3"/>
  <c r="N1278" i="3"/>
  <c r="O1278" i="3"/>
  <c r="N109" i="3"/>
  <c r="O109" i="3"/>
  <c r="N1277" i="3"/>
  <c r="O1277" i="3"/>
  <c r="N108" i="3"/>
  <c r="O108" i="3"/>
  <c r="N488" i="3"/>
  <c r="O488" i="3"/>
  <c r="N107" i="3"/>
  <c r="O107" i="3"/>
  <c r="N487" i="3"/>
  <c r="O487" i="3"/>
  <c r="N1688" i="3"/>
  <c r="O1688" i="3"/>
  <c r="N486" i="3"/>
  <c r="O486" i="3"/>
  <c r="N1687" i="3"/>
  <c r="O1687" i="3"/>
  <c r="N485" i="3"/>
  <c r="O485" i="3"/>
  <c r="N106" i="3"/>
  <c r="O106" i="3"/>
  <c r="N1276" i="3"/>
  <c r="O1276" i="3"/>
  <c r="N105" i="3"/>
  <c r="O105" i="3"/>
  <c r="N104" i="3"/>
  <c r="O104" i="3"/>
  <c r="N1275" i="3"/>
  <c r="O1275" i="3"/>
  <c r="N103" i="3"/>
  <c r="O103" i="3"/>
  <c r="N1686" i="3"/>
  <c r="O1686" i="3"/>
  <c r="N1685" i="3"/>
  <c r="O1685" i="3"/>
  <c r="N102" i="3"/>
  <c r="O102" i="3"/>
  <c r="N850" i="3"/>
  <c r="O850" i="3"/>
  <c r="N101" i="3"/>
  <c r="O101" i="3"/>
  <c r="N100" i="3"/>
  <c r="O100" i="3"/>
  <c r="N849" i="3"/>
  <c r="O849" i="3"/>
  <c r="N99" i="3"/>
  <c r="O99" i="3"/>
  <c r="N98" i="3"/>
  <c r="O98" i="3"/>
  <c r="N1684" i="3"/>
  <c r="O1684" i="3"/>
  <c r="N97" i="3"/>
  <c r="O97" i="3"/>
  <c r="N1683" i="3"/>
  <c r="O1683" i="3"/>
  <c r="N1682" i="3"/>
  <c r="O1682" i="3"/>
  <c r="N1681" i="3"/>
  <c r="O1681" i="3"/>
  <c r="N848" i="3"/>
  <c r="O848" i="3"/>
  <c r="N96" i="3"/>
  <c r="O96" i="3"/>
  <c r="N847" i="3"/>
  <c r="O847" i="3"/>
  <c r="N95" i="3"/>
  <c r="O95" i="3"/>
  <c r="N846" i="3"/>
  <c r="O846" i="3"/>
  <c r="N94" i="3"/>
  <c r="O94" i="3"/>
  <c r="N1274" i="3"/>
  <c r="O1274" i="3"/>
  <c r="N845" i="3"/>
  <c r="O845" i="3"/>
  <c r="N93" i="3"/>
  <c r="O93" i="3"/>
  <c r="N1273" i="3"/>
  <c r="O1273" i="3"/>
  <c r="N92" i="3"/>
  <c r="O92" i="3"/>
  <c r="N91" i="3"/>
  <c r="O91" i="3"/>
  <c r="N90" i="3"/>
  <c r="O90" i="3"/>
  <c r="N1680" i="3"/>
  <c r="O1680" i="3"/>
  <c r="N484" i="3"/>
  <c r="O484" i="3"/>
  <c r="N1272" i="3"/>
  <c r="O1272" i="3"/>
  <c r="N89" i="3"/>
  <c r="O89" i="3"/>
  <c r="N1679" i="3"/>
  <c r="O1679" i="3"/>
  <c r="N483" i="3"/>
  <c r="O483" i="3"/>
  <c r="N1271" i="3"/>
  <c r="O1271" i="3"/>
  <c r="N844" i="3"/>
  <c r="O844" i="3"/>
  <c r="N843" i="3"/>
  <c r="O843" i="3"/>
  <c r="N88" i="3"/>
  <c r="O88" i="3"/>
  <c r="N842" i="3"/>
  <c r="O842" i="3"/>
  <c r="N841" i="3"/>
  <c r="O841" i="3"/>
  <c r="N840" i="3"/>
  <c r="O840" i="3"/>
  <c r="N87" i="3"/>
  <c r="O87" i="3"/>
  <c r="N839" i="3"/>
  <c r="O839" i="3"/>
  <c r="N482" i="3"/>
  <c r="O482" i="3"/>
  <c r="N1270" i="3"/>
  <c r="O1270" i="3"/>
  <c r="N481" i="3"/>
  <c r="O481" i="3"/>
  <c r="N1269" i="3"/>
  <c r="O1269" i="3"/>
  <c r="N1678" i="3"/>
  <c r="O1678" i="3"/>
  <c r="N1677" i="3"/>
  <c r="O1677" i="3"/>
  <c r="N86" i="3"/>
  <c r="O86" i="3"/>
  <c r="N480" i="3"/>
  <c r="O480" i="3"/>
  <c r="N838" i="3"/>
  <c r="O838" i="3"/>
  <c r="N85" i="3"/>
  <c r="O85" i="3"/>
  <c r="N1676" i="3"/>
  <c r="O1676" i="3"/>
  <c r="N84" i="3"/>
  <c r="O84" i="3"/>
  <c r="N479" i="3"/>
  <c r="O479" i="3"/>
  <c r="N837" i="3"/>
  <c r="O837" i="3"/>
  <c r="N83" i="3"/>
  <c r="O83" i="3"/>
  <c r="N1675" i="3"/>
  <c r="O1675" i="3"/>
  <c r="N1268" i="3"/>
  <c r="O1268" i="3"/>
  <c r="N1267" i="3"/>
  <c r="O1267" i="3"/>
  <c r="N1266" i="3"/>
  <c r="O1266" i="3"/>
  <c r="N82" i="3"/>
  <c r="O82" i="3"/>
  <c r="N478" i="3"/>
  <c r="O478" i="3"/>
  <c r="N1265" i="3"/>
  <c r="O1265" i="3"/>
  <c r="N81" i="3"/>
  <c r="O81" i="3"/>
  <c r="N477" i="3"/>
  <c r="O477" i="3"/>
  <c r="N80" i="3"/>
  <c r="O80" i="3"/>
  <c r="N79" i="3"/>
  <c r="O79" i="3"/>
  <c r="N476" i="3"/>
  <c r="O476" i="3"/>
  <c r="N1674" i="3"/>
  <c r="O1674" i="3"/>
  <c r="N78" i="3"/>
  <c r="O78" i="3"/>
  <c r="N77" i="3"/>
  <c r="O77" i="3"/>
  <c r="N475" i="3"/>
  <c r="O475" i="3"/>
  <c r="N1673" i="3"/>
  <c r="O1673" i="3"/>
  <c r="N836" i="3"/>
  <c r="O836" i="3"/>
  <c r="N76" i="3"/>
  <c r="O76" i="3"/>
  <c r="N1264" i="3"/>
  <c r="O1264" i="3"/>
  <c r="N1672" i="3"/>
  <c r="O1672" i="3"/>
  <c r="N835" i="3"/>
  <c r="O835" i="3"/>
  <c r="N75" i="3"/>
  <c r="O75" i="3"/>
  <c r="N1263" i="3"/>
  <c r="O1263" i="3"/>
  <c r="N1671" i="3"/>
  <c r="O1671" i="3"/>
  <c r="N74" i="3"/>
  <c r="O74" i="3"/>
  <c r="N73" i="3"/>
  <c r="O73" i="3"/>
  <c r="N1262" i="3"/>
  <c r="O1262" i="3"/>
  <c r="N1670" i="3"/>
  <c r="O1670" i="3"/>
  <c r="N834" i="3"/>
  <c r="O834" i="3"/>
  <c r="N833" i="3"/>
  <c r="O833" i="3"/>
  <c r="N1261" i="3"/>
  <c r="O1261" i="3"/>
  <c r="N1669" i="3"/>
  <c r="O1669" i="3"/>
  <c r="N832" i="3"/>
  <c r="O832" i="3"/>
  <c r="N831" i="3"/>
  <c r="O831" i="3"/>
  <c r="N1260" i="3"/>
  <c r="O1260" i="3"/>
  <c r="N1668" i="3"/>
  <c r="O1668" i="3"/>
  <c r="N830" i="3"/>
  <c r="O830" i="3"/>
  <c r="N1259" i="3"/>
  <c r="O1259" i="3"/>
  <c r="N1258" i="3"/>
  <c r="O1258" i="3"/>
  <c r="N1667" i="3"/>
  <c r="O1667" i="3"/>
  <c r="N829" i="3"/>
  <c r="O829" i="3"/>
  <c r="N1257" i="3"/>
  <c r="O1257" i="3"/>
  <c r="N474" i="3"/>
  <c r="O474" i="3"/>
  <c r="N473" i="3"/>
  <c r="O473" i="3"/>
  <c r="N72" i="3"/>
  <c r="O72" i="3"/>
  <c r="N71" i="3"/>
  <c r="O71" i="3"/>
  <c r="N70" i="3"/>
  <c r="O70" i="3"/>
  <c r="N69" i="3"/>
  <c r="O69" i="3"/>
  <c r="N68" i="3"/>
  <c r="O68" i="3"/>
  <c r="N67" i="3"/>
  <c r="O67" i="3"/>
  <c r="N66" i="3"/>
  <c r="O66" i="3"/>
  <c r="N65" i="3"/>
  <c r="O65" i="3"/>
  <c r="N64" i="3"/>
  <c r="O64" i="3"/>
  <c r="N63" i="3"/>
  <c r="O63" i="3"/>
  <c r="N472" i="3"/>
  <c r="O472" i="3"/>
  <c r="N62" i="3"/>
  <c r="O62" i="3"/>
  <c r="N1256" i="3"/>
  <c r="O1256" i="3"/>
  <c r="N471" i="3"/>
  <c r="O471" i="3"/>
  <c r="N61" i="3"/>
  <c r="O61" i="3"/>
  <c r="N1255" i="3"/>
  <c r="O1255" i="3"/>
  <c r="N1666" i="3"/>
  <c r="O1666" i="3"/>
  <c r="N60" i="3"/>
  <c r="O60" i="3"/>
  <c r="N470" i="3"/>
  <c r="O470" i="3"/>
  <c r="N1665" i="3"/>
  <c r="O1665" i="3"/>
  <c r="N59" i="3"/>
  <c r="O59" i="3"/>
  <c r="N469" i="3"/>
  <c r="O469" i="3"/>
  <c r="N1664" i="3"/>
  <c r="O1664" i="3"/>
  <c r="N58" i="3"/>
  <c r="O58" i="3"/>
  <c r="N1663" i="3"/>
  <c r="O1663" i="3"/>
  <c r="N57" i="3"/>
  <c r="O57" i="3"/>
  <c r="N1662" i="3"/>
  <c r="O1662" i="3"/>
  <c r="N1661" i="3"/>
  <c r="O1661" i="3"/>
  <c r="N468" i="3"/>
  <c r="O468" i="3"/>
  <c r="N828" i="3"/>
  <c r="O828" i="3"/>
  <c r="N1660" i="3"/>
  <c r="O1660" i="3"/>
  <c r="N1254" i="3"/>
  <c r="O1254" i="3"/>
  <c r="N1253" i="3"/>
  <c r="O1253" i="3"/>
  <c r="N1659" i="3"/>
  <c r="O1659" i="3"/>
  <c r="N467" i="3"/>
  <c r="O467" i="3"/>
  <c r="N827" i="3"/>
  <c r="O827" i="3"/>
  <c r="N1658" i="3"/>
  <c r="O1658" i="3"/>
  <c r="N1252" i="3"/>
  <c r="O1252" i="3"/>
  <c r="N1251" i="3"/>
  <c r="O1251" i="3"/>
  <c r="N1657" i="3"/>
  <c r="O1657" i="3"/>
  <c r="N1250" i="3"/>
  <c r="O1250" i="3"/>
  <c r="N1249" i="3"/>
  <c r="O1249" i="3"/>
  <c r="N1248" i="3"/>
  <c r="O1248" i="3"/>
  <c r="N826" i="3"/>
  <c r="O826" i="3"/>
  <c r="N1247" i="3"/>
  <c r="O1247" i="3"/>
  <c r="N825" i="3"/>
  <c r="O825" i="3"/>
  <c r="N56" i="3"/>
  <c r="O56" i="3"/>
  <c r="N55" i="3"/>
  <c r="O55" i="3"/>
  <c r="N1656" i="3"/>
  <c r="O1656" i="3"/>
  <c r="N1655" i="3"/>
  <c r="O1655" i="3"/>
  <c r="N54" i="3"/>
  <c r="O54" i="3"/>
  <c r="N53" i="3"/>
  <c r="O53" i="3"/>
  <c r="N1654" i="3"/>
  <c r="O1654" i="3"/>
  <c r="N1653" i="3"/>
  <c r="O1653" i="3"/>
  <c r="N1652" i="3"/>
  <c r="O1652" i="3"/>
  <c r="N1651" i="3"/>
  <c r="O1651" i="3"/>
  <c r="N52" i="3"/>
  <c r="O52" i="3"/>
  <c r="N1650" i="3"/>
  <c r="O1650" i="3"/>
  <c r="N51" i="3"/>
  <c r="O51" i="3"/>
  <c r="N1649" i="3"/>
  <c r="O1649" i="3"/>
  <c r="N466" i="3"/>
  <c r="O466" i="3"/>
  <c r="N50" i="3"/>
  <c r="O50" i="3"/>
  <c r="N1648" i="3"/>
  <c r="O1648" i="3"/>
  <c r="N49" i="3"/>
  <c r="O49" i="3"/>
  <c r="N1647" i="3"/>
  <c r="O1647" i="3"/>
  <c r="N465" i="3"/>
  <c r="O465" i="3"/>
  <c r="N824" i="3"/>
  <c r="O824" i="3"/>
  <c r="N1246" i="3"/>
  <c r="O1246" i="3"/>
  <c r="N1646" i="3"/>
  <c r="O1646" i="3"/>
  <c r="N823" i="3"/>
  <c r="O823" i="3"/>
  <c r="N1245" i="3"/>
  <c r="O1245" i="3"/>
  <c r="N1645" i="3"/>
  <c r="O1645" i="3"/>
  <c r="N1244" i="3"/>
  <c r="O1244" i="3"/>
  <c r="N1243" i="3"/>
  <c r="O1243" i="3"/>
  <c r="N48" i="3"/>
  <c r="O48" i="3"/>
  <c r="N47" i="3"/>
  <c r="O47" i="3"/>
  <c r="N46" i="3"/>
  <c r="O46" i="3"/>
  <c r="N822" i="3"/>
  <c r="O822" i="3"/>
  <c r="N45" i="3"/>
  <c r="O45" i="3"/>
  <c r="N44" i="3"/>
  <c r="O44" i="3"/>
  <c r="N43" i="3"/>
  <c r="O43" i="3"/>
  <c r="N821" i="3"/>
  <c r="O821" i="3"/>
  <c r="N820" i="3"/>
  <c r="O820" i="3"/>
  <c r="N1242" i="3"/>
  <c r="O1242" i="3"/>
  <c r="N1644" i="3"/>
  <c r="O1644" i="3"/>
  <c r="N819" i="3"/>
  <c r="O819" i="3"/>
  <c r="N818" i="3"/>
  <c r="O818" i="3"/>
  <c r="N1241" i="3"/>
  <c r="O1241" i="3"/>
  <c r="N1643" i="3"/>
  <c r="O1643" i="3"/>
  <c r="N817" i="3"/>
  <c r="O817" i="3"/>
  <c r="N816" i="3"/>
  <c r="O816" i="3"/>
  <c r="N1240" i="3"/>
  <c r="O1240" i="3"/>
  <c r="N42" i="3"/>
  <c r="O42" i="3"/>
  <c r="N815" i="3"/>
  <c r="O815" i="3"/>
  <c r="N814" i="3"/>
  <c r="O814" i="3"/>
  <c r="N1239" i="3"/>
  <c r="O1239" i="3"/>
  <c r="N41" i="3"/>
  <c r="O41" i="3"/>
  <c r="N813" i="3"/>
  <c r="O813" i="3"/>
  <c r="N464" i="3"/>
  <c r="O464" i="3"/>
  <c r="N812" i="3"/>
  <c r="O812" i="3"/>
  <c r="N463" i="3"/>
  <c r="O463" i="3"/>
  <c r="N811" i="3"/>
  <c r="O811" i="3"/>
  <c r="N40" i="3"/>
  <c r="O40" i="3"/>
  <c r="N1238" i="3"/>
  <c r="O1238" i="3"/>
  <c r="N462" i="3"/>
  <c r="O462" i="3"/>
  <c r="N39" i="3"/>
  <c r="O39" i="3"/>
  <c r="N461" i="3"/>
  <c r="O461" i="3"/>
  <c r="N810" i="3"/>
  <c r="O810" i="3"/>
  <c r="N460" i="3"/>
  <c r="O460" i="3"/>
  <c r="N809" i="3"/>
  <c r="O809" i="3"/>
  <c r="N38" i="3"/>
  <c r="O38" i="3"/>
  <c r="N1237" i="3"/>
  <c r="O1237" i="3"/>
  <c r="N459" i="3"/>
  <c r="O459" i="3"/>
  <c r="N37" i="3"/>
  <c r="O37" i="3"/>
  <c r="N458" i="3"/>
  <c r="O458" i="3"/>
  <c r="N1642" i="3"/>
  <c r="O1642" i="3"/>
  <c r="N457" i="3"/>
  <c r="O457" i="3"/>
  <c r="N1641" i="3"/>
  <c r="O1641" i="3"/>
  <c r="N456" i="3"/>
  <c r="O456" i="3"/>
  <c r="N1236" i="3"/>
  <c r="O1236" i="3"/>
  <c r="N455" i="3"/>
  <c r="O455" i="3"/>
  <c r="N1235" i="3"/>
  <c r="O1235" i="3"/>
  <c r="N808" i="3"/>
  <c r="O808" i="3"/>
  <c r="N36" i="3"/>
  <c r="O36" i="3"/>
  <c r="N1234" i="3"/>
  <c r="O1234" i="3"/>
  <c r="N807" i="3"/>
  <c r="O807" i="3"/>
  <c r="N35" i="3"/>
  <c r="O35" i="3"/>
  <c r="N1233" i="3"/>
  <c r="O1233" i="3"/>
  <c r="N1640" i="3"/>
  <c r="O1640" i="3"/>
  <c r="N1232" i="3"/>
  <c r="O1232" i="3"/>
  <c r="N1639" i="3"/>
  <c r="O1639" i="3"/>
  <c r="N1638" i="3"/>
  <c r="O1638" i="3"/>
  <c r="N1231" i="3"/>
  <c r="O1231" i="3"/>
  <c r="N1637" i="3"/>
  <c r="O1637" i="3"/>
  <c r="N1230" i="3"/>
  <c r="O1230" i="3"/>
  <c r="N806" i="3"/>
  <c r="O806" i="3"/>
  <c r="N1636" i="3"/>
  <c r="O1636" i="3"/>
  <c r="N1229" i="3"/>
  <c r="O1229" i="3"/>
  <c r="N805" i="3"/>
  <c r="O805" i="3"/>
  <c r="N1635" i="3"/>
  <c r="O1635" i="3"/>
  <c r="N34" i="3"/>
  <c r="O34" i="3"/>
  <c r="N1634" i="3"/>
  <c r="O1634" i="3"/>
  <c r="N454" i="3"/>
  <c r="O454" i="3"/>
  <c r="N804" i="3"/>
  <c r="O804" i="3"/>
  <c r="N33" i="3"/>
  <c r="O33" i="3"/>
  <c r="N1633" i="3"/>
  <c r="O1633" i="3"/>
  <c r="N453" i="3"/>
  <c r="O453" i="3"/>
  <c r="N803" i="3"/>
  <c r="O803" i="3"/>
  <c r="N1228" i="3"/>
  <c r="O1228" i="3"/>
  <c r="N1227" i="3"/>
  <c r="O1227" i="3"/>
  <c r="N452" i="3"/>
  <c r="O452" i="3"/>
  <c r="N451" i="3"/>
  <c r="O451" i="3"/>
  <c r="N1226" i="3"/>
  <c r="O1226" i="3"/>
  <c r="N450" i="3"/>
  <c r="O450" i="3"/>
  <c r="N449" i="3"/>
  <c r="O449" i="3"/>
  <c r="N1225" i="3"/>
  <c r="O1225" i="3"/>
  <c r="N32" i="3"/>
  <c r="O32" i="3"/>
  <c r="N31" i="3"/>
  <c r="O31" i="3"/>
  <c r="N448" i="3"/>
  <c r="O448" i="3"/>
  <c r="N30" i="3"/>
  <c r="O30" i="3"/>
  <c r="N29" i="3"/>
  <c r="O29" i="3"/>
  <c r="N447" i="3"/>
  <c r="O447" i="3"/>
  <c r="N1632" i="3"/>
  <c r="O1632" i="3"/>
  <c r="N802" i="3"/>
  <c r="O802" i="3"/>
  <c r="N1224" i="3"/>
  <c r="O1224" i="3"/>
  <c r="N446" i="3"/>
  <c r="O446" i="3"/>
  <c r="N1631" i="3"/>
  <c r="O1631" i="3"/>
  <c r="N801" i="3"/>
  <c r="O801" i="3"/>
  <c r="N1223" i="3"/>
  <c r="O1223" i="3"/>
  <c r="N445" i="3"/>
  <c r="O445" i="3"/>
  <c r="N800" i="3"/>
  <c r="O800" i="3"/>
  <c r="N799" i="3"/>
  <c r="O799" i="3"/>
  <c r="N798" i="3"/>
  <c r="O798" i="3"/>
  <c r="N1630" i="3"/>
  <c r="O1630" i="3"/>
  <c r="N28" i="3"/>
  <c r="O28" i="3"/>
  <c r="N797" i="3"/>
  <c r="O797" i="3"/>
  <c r="N1629" i="3"/>
  <c r="O1629" i="3"/>
  <c r="N27" i="3"/>
  <c r="O27" i="3"/>
  <c r="N444" i="3"/>
  <c r="O444" i="3"/>
  <c r="N1628" i="3"/>
  <c r="O1628" i="3"/>
  <c r="N1627" i="3"/>
  <c r="O1627" i="3"/>
  <c r="N443" i="3"/>
  <c r="O443" i="3"/>
  <c r="N1626" i="3"/>
  <c r="O1626" i="3"/>
  <c r="N1625" i="3"/>
  <c r="O1625" i="3"/>
  <c r="N26" i="3"/>
  <c r="O26" i="3"/>
  <c r="N1222" i="3"/>
  <c r="O1222" i="3"/>
  <c r="N25" i="3"/>
  <c r="O25" i="3"/>
  <c r="N1221" i="3"/>
  <c r="O1221" i="3"/>
  <c r="N1624" i="3"/>
  <c r="O1624" i="3"/>
  <c r="N442" i="3"/>
  <c r="O442" i="3"/>
  <c r="N441" i="3"/>
  <c r="O441" i="3"/>
  <c r="N1623" i="3"/>
  <c r="O1623" i="3"/>
  <c r="N440" i="3"/>
  <c r="O440" i="3"/>
  <c r="N439" i="3"/>
  <c r="O439" i="3"/>
  <c r="N796" i="3"/>
  <c r="O796" i="3"/>
  <c r="N24" i="3"/>
  <c r="O24" i="3"/>
  <c r="N795" i="3"/>
  <c r="O795" i="3"/>
  <c r="N23" i="3"/>
  <c r="O23" i="3"/>
  <c r="N438" i="3"/>
  <c r="O438" i="3"/>
  <c r="N437" i="3"/>
  <c r="O437" i="3"/>
  <c r="N1622" i="3"/>
  <c r="O1622" i="3"/>
  <c r="N1621" i="3"/>
  <c r="O1621" i="3"/>
  <c r="N22" i="3"/>
  <c r="O22" i="3"/>
  <c r="N436" i="3"/>
  <c r="O436" i="3"/>
  <c r="N1620" i="3"/>
  <c r="O1620" i="3"/>
  <c r="N1619" i="3"/>
  <c r="O1619" i="3"/>
  <c r="N21" i="3"/>
  <c r="O21" i="3"/>
  <c r="N435" i="3"/>
  <c r="O435" i="3"/>
  <c r="N1618" i="3"/>
  <c r="O1618" i="3"/>
  <c r="N1617" i="3"/>
  <c r="O1617" i="3"/>
  <c r="N1616" i="3"/>
  <c r="O1616" i="3"/>
  <c r="N1615" i="3"/>
  <c r="O1615" i="3"/>
  <c r="N20" i="3"/>
  <c r="O20" i="3"/>
  <c r="N1614" i="3"/>
  <c r="O1614" i="3"/>
  <c r="N434" i="3"/>
  <c r="O434" i="3"/>
  <c r="N19" i="3"/>
  <c r="O19" i="3"/>
  <c r="N1613" i="3"/>
  <c r="O1613" i="3"/>
  <c r="N433" i="3"/>
  <c r="O433" i="3"/>
  <c r="N18" i="3"/>
  <c r="O18" i="3"/>
  <c r="N17" i="3"/>
  <c r="O17" i="3"/>
  <c r="N1220" i="3"/>
  <c r="O1220" i="3"/>
  <c r="N1612" i="3"/>
  <c r="O1612" i="3"/>
  <c r="N16" i="3"/>
  <c r="O16" i="3"/>
  <c r="N15" i="3"/>
  <c r="O15" i="3"/>
  <c r="N1219" i="3"/>
  <c r="O1219" i="3"/>
  <c r="N1611" i="3"/>
  <c r="O1611" i="3"/>
  <c r="N14" i="3"/>
  <c r="O14" i="3"/>
  <c r="N1218" i="3"/>
  <c r="O1218" i="3"/>
  <c r="N1217" i="3"/>
  <c r="O1217" i="3"/>
  <c r="N432" i="3"/>
  <c r="O432" i="3"/>
  <c r="N13" i="3"/>
  <c r="O13" i="3"/>
  <c r="N1216" i="3"/>
  <c r="O1216" i="3"/>
  <c r="N1215" i="3"/>
  <c r="O1215" i="3"/>
  <c r="N431" i="3"/>
  <c r="O431" i="3"/>
  <c r="N430" i="3"/>
  <c r="O430" i="3"/>
  <c r="N429" i="3"/>
  <c r="O429" i="3"/>
  <c r="N2001" i="3"/>
  <c r="O2001" i="3"/>
  <c r="N2000" i="3"/>
  <c r="O2000" i="3"/>
  <c r="N1999" i="3"/>
  <c r="O1999" i="3"/>
  <c r="N12" i="3"/>
  <c r="O12" i="3"/>
  <c r="N428" i="3"/>
  <c r="O428" i="3"/>
  <c r="N794" i="3"/>
  <c r="O794" i="3"/>
  <c r="N427" i="3"/>
  <c r="O427" i="3"/>
  <c r="N793" i="3"/>
  <c r="O793" i="3"/>
  <c r="N792" i="3"/>
  <c r="O792" i="3"/>
  <c r="N791" i="3"/>
  <c r="O791" i="3"/>
  <c r="N11" i="3"/>
  <c r="O11" i="3"/>
  <c r="N1214" i="3"/>
  <c r="O1214" i="3"/>
  <c r="N10" i="3"/>
  <c r="O10" i="3"/>
  <c r="N1213" i="3"/>
  <c r="O1213" i="3"/>
  <c r="N9" i="3"/>
  <c r="O9" i="3"/>
  <c r="N8" i="3"/>
  <c r="O8" i="3"/>
  <c r="N7" i="3"/>
  <c r="O7" i="3"/>
  <c r="N6" i="3"/>
  <c r="O6" i="3"/>
  <c r="N1610" i="3"/>
  <c r="O1610" i="3"/>
  <c r="N426" i="3"/>
  <c r="O426" i="3"/>
  <c r="N1609" i="3"/>
  <c r="O1609" i="3"/>
  <c r="N425" i="3"/>
  <c r="O425" i="3"/>
  <c r="N1608" i="3"/>
  <c r="O1608" i="3"/>
  <c r="N5" i="3"/>
  <c r="O5" i="3"/>
  <c r="N790" i="3"/>
  <c r="O790" i="3"/>
  <c r="N1607" i="3"/>
  <c r="O1607" i="3"/>
  <c r="N4" i="3"/>
  <c r="O4" i="3"/>
  <c r="N789" i="3"/>
  <c r="O789" i="3"/>
  <c r="N1606" i="3"/>
  <c r="O1606" i="3"/>
  <c r="N788" i="3"/>
  <c r="O788" i="3"/>
  <c r="N424" i="3"/>
  <c r="O424" i="3"/>
  <c r="N1605" i="3"/>
  <c r="O1605" i="3"/>
  <c r="N787" i="3"/>
  <c r="O787" i="3"/>
  <c r="N423" i="3"/>
  <c r="O423" i="3"/>
  <c r="N1212" i="3"/>
  <c r="O1212" i="3"/>
  <c r="N1211" i="3"/>
  <c r="O1211" i="3"/>
  <c r="N3" i="3"/>
  <c r="O3" i="3"/>
  <c r="N1604" i="3"/>
  <c r="O1604" i="3"/>
  <c r="N422" i="3"/>
  <c r="O422" i="3"/>
  <c r="N786" i="3"/>
  <c r="O786" i="3"/>
  <c r="N2" i="3"/>
  <c r="O2" i="3"/>
  <c r="N1603" i="3"/>
  <c r="O1603" i="3"/>
  <c r="N421" i="3"/>
  <c r="O421" i="3"/>
  <c r="N785" i="3"/>
  <c r="O785" i="3"/>
  <c r="N1210" i="3"/>
  <c r="O1210" i="3"/>
  <c r="N1602" i="3"/>
  <c r="O1602" i="3"/>
  <c r="N1209" i="3"/>
  <c r="O1209" i="3"/>
  <c r="N1208" i="3"/>
  <c r="O1208" i="3"/>
  <c r="N1601" i="3"/>
  <c r="O1601" i="3"/>
  <c r="N1207" i="3"/>
  <c r="O1207" i="3"/>
</calcChain>
</file>

<file path=xl/sharedStrings.xml><?xml version="1.0" encoding="utf-8"?>
<sst xmlns="http://schemas.openxmlformats.org/spreadsheetml/2006/main" count="8137" uniqueCount="116">
  <si>
    <t>transactions_id</t>
  </si>
  <si>
    <t>sale_date</t>
  </si>
  <si>
    <t>sale_time</t>
  </si>
  <si>
    <t>customer_id</t>
  </si>
  <si>
    <t>gender</t>
  </si>
  <si>
    <t>age</t>
  </si>
  <si>
    <t>category</t>
  </si>
  <si>
    <t>quantiy</t>
  </si>
  <si>
    <t>price_per_unit</t>
  </si>
  <si>
    <t>cogs</t>
  </si>
  <si>
    <t>total_sale</t>
  </si>
  <si>
    <t>Male</t>
  </si>
  <si>
    <t>Clothing</t>
  </si>
  <si>
    <t>Beauty</t>
  </si>
  <si>
    <t>Female</t>
  </si>
  <si>
    <t>Electronics</t>
  </si>
  <si>
    <t>Year_Month helper column</t>
  </si>
  <si>
    <t>Sales_Data_status</t>
  </si>
  <si>
    <t>Sales_Calculation_check</t>
  </si>
  <si>
    <t>Profit</t>
  </si>
  <si>
    <t>CHECK</t>
  </si>
  <si>
    <t>RESULT</t>
  </si>
  <si>
    <t>ACTION</t>
  </si>
  <si>
    <t>Final Quality Summary</t>
  </si>
  <si>
    <t>Blank transaction IDs</t>
  </si>
  <si>
    <t>No action required</t>
  </si>
  <si>
    <t>Total records 2000</t>
  </si>
  <si>
    <t>Duplicate transaction IDs</t>
  </si>
  <si>
    <t>Complete sales record 1997</t>
  </si>
  <si>
    <t>Blank sale dates</t>
  </si>
  <si>
    <t>incomplete sales records 3</t>
  </si>
  <si>
    <t>Ealiest sale date</t>
  </si>
  <si>
    <t>missing ages 10</t>
  </si>
  <si>
    <t>Latest sale date</t>
  </si>
  <si>
    <t>duplicate transaction ids 0</t>
  </si>
  <si>
    <t>Dates recognized by Excel</t>
  </si>
  <si>
    <t>date range january 1, 2022 - december 31, 2023</t>
  </si>
  <si>
    <t>Total transaction records</t>
  </si>
  <si>
    <t>sales calculation mismatches 0</t>
  </si>
  <si>
    <t>Sale times recognized by Excel</t>
  </si>
  <si>
    <t>Blank customer IDs</t>
  </si>
  <si>
    <t xml:space="preserve">Gender Blank </t>
  </si>
  <si>
    <t>Blank ages</t>
  </si>
  <si>
    <t>Retain records; exclude blanks from age analysis</t>
  </si>
  <si>
    <t>Minimum age</t>
  </si>
  <si>
    <t>Maximum age</t>
  </si>
  <si>
    <t>Ages recognized as numbers</t>
  </si>
  <si>
    <t>Blank categories</t>
  </si>
  <si>
    <t>Missing sales fields</t>
  </si>
  <si>
    <t>Flagged as incomplete exclude from sales calculations</t>
  </si>
  <si>
    <t>Minimum quantity</t>
  </si>
  <si>
    <t>Maximum quantity</t>
  </si>
  <si>
    <t>Quantity range</t>
  </si>
  <si>
    <t>1 to 4</t>
  </si>
  <si>
    <t>No correction required</t>
  </si>
  <si>
    <t>Minimum Price Per Unit</t>
  </si>
  <si>
    <t>Maximum Price Per Unit</t>
  </si>
  <si>
    <t>Pricer per unit range</t>
  </si>
  <si>
    <t>25 to 500</t>
  </si>
  <si>
    <t>no correction required</t>
  </si>
  <si>
    <t>COGS range</t>
  </si>
  <si>
    <t>6.25 to 620</t>
  </si>
  <si>
    <t>Further validation required</t>
  </si>
  <si>
    <t>Complete</t>
  </si>
  <si>
    <t>Sum of total_sale</t>
  </si>
  <si>
    <t>Sum of Profit</t>
  </si>
  <si>
    <t>Grand Total</t>
  </si>
  <si>
    <t>Retail Sales Dashboard</t>
  </si>
  <si>
    <t>Key Business Insights</t>
  </si>
  <si>
    <t>Total revenue</t>
  </si>
  <si>
    <t>Total profit</t>
  </si>
  <si>
    <t>Complete Transaction</t>
  </si>
  <si>
    <t>Profit Margin</t>
  </si>
  <si>
    <t>Electronics generated the highest revenue of $313,810, while Beauty generated the lowest revenue of $286,840.</t>
  </si>
  <si>
    <t>The business generated total revenue of $911,720 and total profit of $721,957.30, giving a profit margin of 79.19%.</t>
  </si>
  <si>
    <t>The analysis contains 1,997 complete transactions after the data-cleaning process.</t>
  </si>
  <si>
    <t>Transaction Lookup</t>
  </si>
  <si>
    <t>Transaction ID</t>
  </si>
  <si>
    <t>Sale Date</t>
  </si>
  <si>
    <t>Sale Time</t>
  </si>
  <si>
    <t>Customer ID</t>
  </si>
  <si>
    <t>Category</t>
  </si>
  <si>
    <t>Total Sale</t>
  </si>
  <si>
    <t>Retail Sales Analysis Summary</t>
  </si>
  <si>
    <t>Analysis Area</t>
  </si>
  <si>
    <t>Key Finding</t>
  </si>
  <si>
    <t>Revenue by Category</t>
  </si>
  <si>
    <t>Electronics generated the highest revenue of 313,810,  while Beauty generated the lowest revenue of 286,840. Total revenue across all categories was 911,720.</t>
  </si>
  <si>
    <t>Profit by Category</t>
  </si>
  <si>
    <t>Clothing generated the highest profit at 246,679.50, slightly exceeding Electronics by 31.85. Electronics generated the highest revenue at 313,810, while Beauty had the lowest revenue and profit. Total profit was 721,957.30.</t>
  </si>
  <si>
    <t>Monthly Revenue Trend</t>
  </si>
  <si>
    <t>February 2022 generated the lowest monthly revenue at 16,110, while December 2022 generated the highest at 72,880</t>
  </si>
  <si>
    <t>2022-02</t>
  </si>
  <si>
    <t>2023-03</t>
  </si>
  <si>
    <t>2022-06</t>
  </si>
  <si>
    <t>2022-08</t>
  </si>
  <si>
    <t>2023-04</t>
  </si>
  <si>
    <t>2022-07</t>
  </si>
  <si>
    <t>2022-01</t>
  </si>
  <si>
    <t>2023-01</t>
  </si>
  <si>
    <t>2022-03</t>
  </si>
  <si>
    <t>2023-06</t>
  </si>
  <si>
    <t>2022-05</t>
  </si>
  <si>
    <t>2023-02</t>
  </si>
  <si>
    <t>2023-05</t>
  </si>
  <si>
    <t>2023-08</t>
  </si>
  <si>
    <t>2022-04</t>
  </si>
  <si>
    <t>2023-07</t>
  </si>
  <si>
    <t>2023-11</t>
  </si>
  <si>
    <t>2023-10</t>
  </si>
  <si>
    <t>2022-09</t>
  </si>
  <si>
    <t>2023-09</t>
  </si>
  <si>
    <t>2022-10</t>
  </si>
  <si>
    <t>2022-11</t>
  </si>
  <si>
    <t>2023-12</t>
  </si>
  <si>
    <t>2022-12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</si>
</sst>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409]* #,##0.00_);_([$$-409]* \(#,##0.00\);_([$$-409]* &quot;-&quot;??_);_(@_)"/>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8"/>
      <color theme="0"/>
      <name val="Calibri"/>
      <scheme val="minor"/>
    </font>
    <font>
      <sz val="9"/>
      <color theme="1"/>
      <name val="Calibri"/>
      <family val="2"/>
      <scheme val="minor"/>
    </font>
    <font>
      <sz val="8"/>
      <color theme="1"/>
      <name val="Calibri"/>
      <family val="2"/>
      <scheme val="minor"/>
    </font>
    <font>
      <b/>
      <sz val="16"/>
      <color theme="0"/>
      <name val="Calibri"/>
      <family val="2"/>
      <scheme val="minor"/>
    </font>
    <font>
      <b/>
      <sz val="11"/>
      <color rgb="FF000000"/>
      <name val="Calibri"/>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2060"/>
        <bgColor indexed="64"/>
      </patternFill>
    </fill>
    <fill>
      <patternFill patternType="solid">
        <fgColor theme="0"/>
        <bgColor indexed="64"/>
      </patternFill>
    </fill>
    <fill>
      <patternFill patternType="solid">
        <fgColor theme="4"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14" fontId="0" fillId="0" borderId="0" xfId="0" applyNumberFormat="1"/>
    <xf numFmtId="21" fontId="0" fillId="0" borderId="0" xfId="0" applyNumberFormat="1"/>
    <xf numFmtId="0" fontId="16" fillId="0" borderId="0" xfId="0" applyFont="1"/>
    <xf numFmtId="16"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NumberFormat="1"/>
    <xf numFmtId="0" fontId="0" fillId="0" borderId="0" xfId="0" applyAlignment="1">
      <alignment horizontal="center"/>
    </xf>
    <xf numFmtId="0" fontId="18" fillId="0" borderId="0" xfId="0" applyFont="1" applyAlignment="1">
      <alignment horizontal="center"/>
    </xf>
    <xf numFmtId="0" fontId="16" fillId="0" borderId="10" xfId="0" applyFont="1" applyBorder="1"/>
    <xf numFmtId="0" fontId="0" fillId="33" borderId="11" xfId="0" applyFill="1" applyBorder="1"/>
    <xf numFmtId="0" fontId="0" fillId="0" borderId="12" xfId="0" applyBorder="1"/>
    <xf numFmtId="165" fontId="0" fillId="0" borderId="13" xfId="0" applyNumberFormat="1" applyBorder="1"/>
    <xf numFmtId="0" fontId="0" fillId="0" borderId="14" xfId="0" applyBorder="1"/>
    <xf numFmtId="14" fontId="0" fillId="0" borderId="15" xfId="0" applyNumberFormat="1" applyBorder="1"/>
    <xf numFmtId="0" fontId="0" fillId="0" borderId="15" xfId="0" applyBorder="1"/>
    <xf numFmtId="0" fontId="0" fillId="0" borderId="16" xfId="0" applyBorder="1"/>
    <xf numFmtId="0" fontId="0" fillId="0" borderId="17" xfId="0" applyBorder="1"/>
    <xf numFmtId="0" fontId="13" fillId="34" borderId="0" xfId="0" applyFont="1" applyFill="1" applyAlignment="1">
      <alignment horizontal="center"/>
    </xf>
    <xf numFmtId="10" fontId="0" fillId="0" borderId="0" xfId="0" applyNumberFormat="1" applyAlignment="1">
      <alignment horizontal="center"/>
    </xf>
    <xf numFmtId="0" fontId="19" fillId="34" borderId="0" xfId="0" applyFont="1" applyFill="1" applyAlignment="1">
      <alignment horizontal="center"/>
    </xf>
    <xf numFmtId="0" fontId="20" fillId="0" borderId="16" xfId="0" applyFont="1" applyBorder="1" applyAlignment="1">
      <alignment horizontal="left" vertical="center" wrapText="1"/>
    </xf>
    <xf numFmtId="0" fontId="20" fillId="0" borderId="19" xfId="0" applyFont="1" applyBorder="1" applyAlignment="1">
      <alignment horizontal="left" vertical="center" wrapText="1"/>
    </xf>
    <xf numFmtId="0" fontId="20" fillId="0" borderId="17" xfId="0" applyFont="1" applyBorder="1" applyAlignment="1">
      <alignment horizontal="left" vertical="center" wrapText="1"/>
    </xf>
    <xf numFmtId="0" fontId="20" fillId="0" borderId="0" xfId="0" applyFont="1"/>
    <xf numFmtId="0" fontId="21" fillId="0" borderId="12" xfId="0" applyFont="1" applyBorder="1" applyAlignment="1">
      <alignment horizontal="left" vertical="center" wrapText="1"/>
    </xf>
    <xf numFmtId="0" fontId="21" fillId="0" borderId="18" xfId="0" applyFont="1" applyBorder="1" applyAlignment="1">
      <alignment horizontal="left" vertical="center" wrapText="1"/>
    </xf>
    <xf numFmtId="0" fontId="21" fillId="0" borderId="13" xfId="0" applyFont="1" applyBorder="1" applyAlignment="1">
      <alignment horizontal="left" vertical="center" wrapText="1"/>
    </xf>
    <xf numFmtId="0" fontId="21" fillId="0" borderId="14" xfId="0" applyFont="1" applyBorder="1" applyAlignment="1">
      <alignment horizontal="left" vertical="center" wrapText="1"/>
    </xf>
    <xf numFmtId="0" fontId="21" fillId="0" borderId="0" xfId="0" applyFont="1" applyBorder="1" applyAlignment="1">
      <alignment horizontal="left" vertical="center" wrapText="1"/>
    </xf>
    <xf numFmtId="0" fontId="21" fillId="0" borderId="15" xfId="0" applyFont="1" applyBorder="1" applyAlignment="1">
      <alignment horizontal="left" vertical="center" wrapText="1"/>
    </xf>
    <xf numFmtId="0" fontId="22" fillId="34" borderId="0" xfId="0" applyFont="1" applyFill="1" applyAlignment="1">
      <alignment horizontal="center"/>
    </xf>
    <xf numFmtId="0" fontId="0" fillId="0" borderId="18"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6" xfId="0" applyBorder="1" applyAlignment="1">
      <alignment horizontal="center" wrapText="1"/>
    </xf>
    <xf numFmtId="0" fontId="0" fillId="0" borderId="19" xfId="0" applyBorder="1" applyAlignment="1">
      <alignment horizontal="center" wrapText="1"/>
    </xf>
    <xf numFmtId="0" fontId="0" fillId="0" borderId="17" xfId="0" applyBorder="1" applyAlignment="1">
      <alignment horizontal="center" wrapText="1"/>
    </xf>
    <xf numFmtId="0" fontId="16" fillId="35" borderId="18" xfId="0" applyFont="1" applyFill="1" applyBorder="1" applyAlignment="1">
      <alignment horizontal="center"/>
    </xf>
    <xf numFmtId="0" fontId="16" fillId="35" borderId="13" xfId="0" applyFont="1" applyFill="1" applyBorder="1" applyAlignment="1">
      <alignment horizontal="center"/>
    </xf>
    <xf numFmtId="0" fontId="16" fillId="35" borderId="12" xfId="0" applyFont="1" applyFill="1" applyBorder="1" applyAlignment="1">
      <alignment horizontal="center"/>
    </xf>
    <xf numFmtId="0" fontId="23" fillId="36" borderId="12" xfId="0" applyFont="1" applyFill="1" applyBorder="1" applyAlignment="1">
      <alignment horizontal="center"/>
    </xf>
    <xf numFmtId="0" fontId="0" fillId="36" borderId="13" xfId="0" applyFill="1" applyBorder="1" applyAlignment="1">
      <alignment horizontal="center"/>
    </xf>
    <xf numFmtId="0" fontId="0" fillId="36" borderId="16" xfId="0" applyFill="1" applyBorder="1" applyAlignment="1">
      <alignment horizontal="center"/>
    </xf>
    <xf numFmtId="0" fontId="0" fillId="36" borderId="14" xfId="0" applyFill="1" applyBorder="1" applyAlignment="1">
      <alignment horizontal="center"/>
    </xf>
    <xf numFmtId="0" fontId="0" fillId="36" borderId="15" xfId="0" applyFill="1" applyBorder="1" applyAlignment="1">
      <alignment horizontal="center"/>
    </xf>
    <xf numFmtId="0" fontId="0" fillId="0" borderId="14" xfId="0" applyBorder="1" applyAlignment="1">
      <alignment horizontal="center" wrapText="1"/>
    </xf>
    <xf numFmtId="0" fontId="0" fillId="0" borderId="0" xfId="0" applyBorder="1" applyAlignment="1">
      <alignment horizontal="center" wrapText="1"/>
    </xf>
    <xf numFmtId="0" fontId="0" fillId="0" borderId="15" xfId="0" applyBorder="1" applyAlignment="1">
      <alignment horizontal="center" wrapText="1"/>
    </xf>
    <xf numFmtId="0" fontId="0" fillId="36" borderId="18" xfId="0" applyFill="1" applyBorder="1" applyAlignment="1">
      <alignment horizontal="center"/>
    </xf>
    <xf numFmtId="0" fontId="0" fillId="36" borderId="19"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2" formatCode="0.00"/>
    </dxf>
    <dxf>
      <numFmt numFmtId="164" formatCode="[$-F400]h:mm:ss\ AM/PM"/>
    </dxf>
    <dxf>
      <numFmt numFmtId="19" formatCode="m/d/yyyy"/>
    </dxf>
    <dxf>
      <numFmt numFmtId="0" formatCode="Genera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 Retail Sales Analysis_utf .xlsx]PivotTables!PivotTable3</c:name>
    <c:fmtId val="4"/>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a:t>Revenue and Profit by Category</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Sum of total_sale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PivotTables!$A$4:$A$7</c:f>
              <c:strCache>
                <c:ptCount val="3"/>
                <c:pt idx="0">
                  <c:v>Beauty</c:v>
                </c:pt>
                <c:pt idx="1">
                  <c:v>Clothing</c:v>
                </c:pt>
                <c:pt idx="2">
                  <c:v>Electronics</c:v>
                </c:pt>
              </c:strCache>
            </c:strRef>
          </c:cat>
          <c:val>
            <c:numRef>
              <c:f>PivotTables!$B$4:$B$7</c:f>
              <c:numCache>
                <c:formatCode>General</c:formatCode>
                <c:ptCount val="3"/>
                <c:pt idx="0">
                  <c:v>286840</c:v>
                </c:pt>
                <c:pt idx="1">
                  <c:v>311070</c:v>
                </c:pt>
                <c:pt idx="2">
                  <c:v>313810</c:v>
                </c:pt>
              </c:numCache>
            </c:numRef>
          </c:val>
          <c:extLst>
            <c:ext xmlns:c16="http://schemas.microsoft.com/office/drawing/2014/chart" uri="{C3380CC4-5D6E-409C-BE32-E72D297353CC}">
              <c16:uniqueId val="{00000000-5FC9-4D4F-A846-D715F6C1AD12}"/>
            </c:ext>
          </c:extLst>
        </c:ser>
        <c:ser>
          <c:idx val="1"/>
          <c:order val="1"/>
          <c:tx>
            <c:strRef>
              <c:f>PivotTables!$C$3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PivotTables!$A$4:$A$7</c:f>
              <c:strCache>
                <c:ptCount val="3"/>
                <c:pt idx="0">
                  <c:v>Beauty</c:v>
                </c:pt>
                <c:pt idx="1">
                  <c:v>Clothing</c:v>
                </c:pt>
                <c:pt idx="2">
                  <c:v>Electronics</c:v>
                </c:pt>
              </c:strCache>
            </c:strRef>
          </c:cat>
          <c:val>
            <c:numRef>
              <c:f>PivotTables!$C$4:$C$7</c:f>
              <c:numCache>
                <c:formatCode>General</c:formatCode>
                <c:ptCount val="3"/>
                <c:pt idx="0">
                  <c:v>228630.15</c:v>
                </c:pt>
                <c:pt idx="1">
                  <c:v>246679.5</c:v>
                </c:pt>
                <c:pt idx="2">
                  <c:v>246647.65</c:v>
                </c:pt>
              </c:numCache>
            </c:numRef>
          </c:val>
          <c:extLst>
            <c:ext xmlns:c16="http://schemas.microsoft.com/office/drawing/2014/chart" uri="{C3380CC4-5D6E-409C-BE32-E72D297353CC}">
              <c16:uniqueId val="{00000001-5FC9-4D4F-A846-D715F6C1AD12}"/>
            </c:ext>
          </c:extLst>
        </c:ser>
        <c:dLbls>
          <c:dLblPos val="outEnd"/>
          <c:showLegendKey val="0"/>
          <c:showVal val="1"/>
          <c:showCatName val="0"/>
          <c:showSerName val="0"/>
          <c:showPercent val="0"/>
          <c:showBubbleSize val="0"/>
        </c:dLbls>
        <c:gapWidth val="219"/>
        <c:overlap val="-27"/>
        <c:axId val="172821511"/>
        <c:axId val="360502279"/>
      </c:barChart>
      <c:catAx>
        <c:axId val="172821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02279"/>
        <c:crosses val="autoZero"/>
        <c:auto val="1"/>
        <c:lblAlgn val="ctr"/>
        <c:lblOffset val="100"/>
        <c:noMultiLvlLbl val="0"/>
      </c:catAx>
      <c:valAx>
        <c:axId val="360502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21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 Retail Sales Analysis_utf .xlsx]Monthly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Analysis'!$A$4:$A$28</c:f>
              <c:strCache>
                <c:ptCount val="24"/>
                <c:pt idx="0">
                  <c:v>2022-02</c:v>
                </c:pt>
                <c:pt idx="1">
                  <c:v>2023-03</c:v>
                </c:pt>
                <c:pt idx="2">
                  <c:v>2022-06</c:v>
                </c:pt>
                <c:pt idx="3">
                  <c:v>2022-08</c:v>
                </c:pt>
                <c:pt idx="4">
                  <c:v>2023-04</c:v>
                </c:pt>
                <c:pt idx="5">
                  <c:v>2022-07</c:v>
                </c:pt>
                <c:pt idx="6">
                  <c:v>2022-01</c:v>
                </c:pt>
                <c:pt idx="7">
                  <c:v>2023-01</c:v>
                </c:pt>
                <c:pt idx="8">
                  <c:v>2022-03</c:v>
                </c:pt>
                <c:pt idx="9">
                  <c:v>2023-06</c:v>
                </c:pt>
                <c:pt idx="10">
                  <c:v>2022-05</c:v>
                </c:pt>
                <c:pt idx="11">
                  <c:v>2023-02</c:v>
                </c:pt>
                <c:pt idx="12">
                  <c:v>2023-05</c:v>
                </c:pt>
                <c:pt idx="13">
                  <c:v>2023-08</c:v>
                </c:pt>
                <c:pt idx="14">
                  <c:v>2022-04</c:v>
                </c:pt>
                <c:pt idx="15">
                  <c:v>2023-07</c:v>
                </c:pt>
                <c:pt idx="16">
                  <c:v>2023-11</c:v>
                </c:pt>
                <c:pt idx="17">
                  <c:v>2023-10</c:v>
                </c:pt>
                <c:pt idx="18">
                  <c:v>2022-09</c:v>
                </c:pt>
                <c:pt idx="19">
                  <c:v>2023-09</c:v>
                </c:pt>
                <c:pt idx="20">
                  <c:v>2022-10</c:v>
                </c:pt>
                <c:pt idx="21">
                  <c:v>2022-11</c:v>
                </c:pt>
                <c:pt idx="22">
                  <c:v>2023-12</c:v>
                </c:pt>
                <c:pt idx="23">
                  <c:v>2022-12</c:v>
                </c:pt>
              </c:strCache>
            </c:strRef>
          </c:cat>
          <c:val>
            <c:numRef>
              <c:f>'Monthly Analysis'!$B$4:$B$28</c:f>
              <c:numCache>
                <c:formatCode>General</c:formatCode>
                <c:ptCount val="24"/>
                <c:pt idx="0">
                  <c:v>16110</c:v>
                </c:pt>
                <c:pt idx="1">
                  <c:v>20530</c:v>
                </c:pt>
                <c:pt idx="2">
                  <c:v>20700</c:v>
                </c:pt>
                <c:pt idx="3">
                  <c:v>21195</c:v>
                </c:pt>
                <c:pt idx="4">
                  <c:v>21925</c:v>
                </c:pt>
                <c:pt idx="5">
                  <c:v>22195</c:v>
                </c:pt>
                <c:pt idx="6">
                  <c:v>22635</c:v>
                </c:pt>
                <c:pt idx="7">
                  <c:v>23790</c:v>
                </c:pt>
                <c:pt idx="8">
                  <c:v>24505</c:v>
                </c:pt>
                <c:pt idx="9">
                  <c:v>24555</c:v>
                </c:pt>
                <c:pt idx="10">
                  <c:v>24980</c:v>
                </c:pt>
                <c:pt idx="11">
                  <c:v>25170</c:v>
                </c:pt>
                <c:pt idx="12">
                  <c:v>27010</c:v>
                </c:pt>
                <c:pt idx="13">
                  <c:v>28270</c:v>
                </c:pt>
                <c:pt idx="14">
                  <c:v>28705</c:v>
                </c:pt>
                <c:pt idx="15">
                  <c:v>35925</c:v>
                </c:pt>
                <c:pt idx="16">
                  <c:v>57135</c:v>
                </c:pt>
                <c:pt idx="17">
                  <c:v>57880</c:v>
                </c:pt>
                <c:pt idx="18">
                  <c:v>61770</c:v>
                </c:pt>
                <c:pt idx="19">
                  <c:v>67560</c:v>
                </c:pt>
                <c:pt idx="20">
                  <c:v>68235</c:v>
                </c:pt>
                <c:pt idx="21">
                  <c:v>68915</c:v>
                </c:pt>
                <c:pt idx="22">
                  <c:v>69145</c:v>
                </c:pt>
                <c:pt idx="23">
                  <c:v>72880</c:v>
                </c:pt>
              </c:numCache>
            </c:numRef>
          </c:val>
          <c:smooth val="0"/>
          <c:extLst>
            <c:ext xmlns:c16="http://schemas.microsoft.com/office/drawing/2014/chart" uri="{C3380CC4-5D6E-409C-BE32-E72D297353CC}">
              <c16:uniqueId val="{00000000-4036-4E0F-9BF9-7DC5292F087D}"/>
            </c:ext>
          </c:extLst>
        </c:ser>
        <c:dLbls>
          <c:showLegendKey val="0"/>
          <c:showVal val="0"/>
          <c:showCatName val="0"/>
          <c:showSerName val="0"/>
          <c:showPercent val="0"/>
          <c:showBubbleSize val="0"/>
        </c:dLbls>
        <c:marker val="1"/>
        <c:smooth val="0"/>
        <c:axId val="1974307848"/>
        <c:axId val="37000711"/>
      </c:lineChart>
      <c:catAx>
        <c:axId val="1974307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00711"/>
        <c:crosses val="autoZero"/>
        <c:auto val="1"/>
        <c:lblAlgn val="ctr"/>
        <c:lblOffset val="100"/>
        <c:noMultiLvlLbl val="0"/>
      </c:catAx>
      <c:valAx>
        <c:axId val="37000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07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114300</xdr:rowOff>
    </xdr:from>
    <xdr:to>
      <xdr:col>7</xdr:col>
      <xdr:colOff>304800</xdr:colOff>
      <xdr:row>23</xdr:row>
      <xdr:rowOff>0</xdr:rowOff>
    </xdr:to>
    <xdr:graphicFrame macro="">
      <xdr:nvGraphicFramePr>
        <xdr:cNvPr id="2" name="Chart 1">
          <a:extLst>
            <a:ext uri="{FF2B5EF4-FFF2-40B4-BE49-F238E27FC236}">
              <a16:creationId xmlns:a16="http://schemas.microsoft.com/office/drawing/2014/main" id="{BDB2CFD9-5379-4560-8024-E9E60C94B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0</xdr:rowOff>
    </xdr:from>
    <xdr:to>
      <xdr:col>7</xdr:col>
      <xdr:colOff>304800</xdr:colOff>
      <xdr:row>40</xdr:row>
      <xdr:rowOff>76200</xdr:rowOff>
    </xdr:to>
    <xdr:graphicFrame macro="">
      <xdr:nvGraphicFramePr>
        <xdr:cNvPr id="3" name="Chart 2">
          <a:extLst>
            <a:ext uri="{FF2B5EF4-FFF2-40B4-BE49-F238E27FC236}">
              <a16:creationId xmlns:a16="http://schemas.microsoft.com/office/drawing/2014/main" id="{0FD08F3C-8FC7-4C85-A89A-CF49C472B5C0}"/>
            </a:ext>
            <a:ext uri="{147F2762-F138-4A5C-976F-8EAC2B608ADB}">
              <a16:predDERef xmlns:a16="http://schemas.microsoft.com/office/drawing/2014/main" pred="{BDB2CFD9-5379-4560-8024-E9E60C94B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447675</xdr:colOff>
      <xdr:row>4</xdr:row>
      <xdr:rowOff>85725</xdr:rowOff>
    </xdr:from>
    <xdr:to>
      <xdr:col>6</xdr:col>
      <xdr:colOff>447675</xdr:colOff>
      <xdr:row>18</xdr:row>
      <xdr:rowOff>57150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F1D7CF9B-13BF-C7D9-D296-DF772FB13C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33850" y="8477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3.596101157411" createdVersion="8" refreshedVersion="8" minRefreshableVersion="3" recordCount="2000" xr:uid="{13CBF3EB-89DD-40E3-9617-9240DC7F0650}">
  <cacheSource type="worksheet">
    <worksheetSource name="Table1"/>
  </cacheSource>
  <cacheFields count="15">
    <cacheField name="transactions_id" numFmtId="0">
      <sharedItems containsSemiMixedTypes="0" containsString="0" containsNumber="1" containsInteger="1" minValue="1" maxValue="2000"/>
    </cacheField>
    <cacheField name="Year_Month helper column" numFmtId="0">
      <sharedItems count="24">
        <s v="2022-05"/>
        <s v="2022-08"/>
        <s v="2022-03"/>
        <s v="2022-09"/>
        <s v="2022-04"/>
        <s v="2022-02"/>
        <s v="2022-11"/>
        <s v="2022-06"/>
        <s v="2022-10"/>
        <s v="2022-07"/>
        <s v="2022-12"/>
        <s v="2022-01"/>
        <s v="2023-10"/>
        <s v="2023-01"/>
        <s v="2023-04"/>
        <s v="2023-07"/>
        <s v="2023-12"/>
        <s v="2023-06"/>
        <s v="2023-05"/>
        <s v="2023-02"/>
        <s v="2023-11"/>
        <s v="2023-08"/>
        <s v="2023-09"/>
        <s v="2023-03"/>
      </sharedItems>
    </cacheField>
    <cacheField name="sale_date" numFmtId="14">
      <sharedItems containsSemiMixedTypes="0" containsNonDate="0" containsDate="1" containsString="0" minDate="2022-01-01T00:00:00" maxDate="2024-01-01T00:00:00"/>
    </cacheField>
    <cacheField name="sale_time" numFmtId="164">
      <sharedItems containsSemiMixedTypes="0" containsNonDate="0" containsDate="1" containsString="0" minDate="1899-12-30T06:01:00" maxDate="1899-12-30T23:00:00"/>
    </cacheField>
    <cacheField name="customer_id" numFmtId="0">
      <sharedItems containsSemiMixedTypes="0" containsString="0" containsNumber="1" containsInteger="1" minValue="1" maxValue="155"/>
    </cacheField>
    <cacheField name="gender" numFmtId="0">
      <sharedItems/>
    </cacheField>
    <cacheField name="age" numFmtId="0">
      <sharedItems containsString="0" containsBlank="1" containsNumber="1" containsInteger="1" minValue="18" maxValue="64"/>
    </cacheField>
    <cacheField name="category" numFmtId="0">
      <sharedItems count="3">
        <s v="Beauty"/>
        <s v="Clothing"/>
        <s v="Electronics"/>
      </sharedItems>
    </cacheField>
    <cacheField name="quantiy" numFmtId="0">
      <sharedItems containsString="0" containsBlank="1" containsNumber="1" containsInteger="1" minValue="1" maxValue="4"/>
    </cacheField>
    <cacheField name="price_per_unit" numFmtId="2">
      <sharedItems containsString="0" containsBlank="1" containsNumber="1" containsInteger="1" minValue="25" maxValue="500"/>
    </cacheField>
    <cacheField name="cogs" numFmtId="0">
      <sharedItems containsString="0" containsBlank="1" containsNumber="1" minValue="6.25" maxValue="620"/>
    </cacheField>
    <cacheField name="total_sale" numFmtId="0">
      <sharedItems containsString="0" containsBlank="1" containsNumber="1" containsInteger="1" minValue="25" maxValue="2000"/>
    </cacheField>
    <cacheField name="Sales_Data_status" numFmtId="0">
      <sharedItems count="2">
        <s v="Complete"/>
        <s v="Incomplete"/>
      </sharedItems>
    </cacheField>
    <cacheField name="Sales_Calculation_check" numFmtId="0">
      <sharedItems/>
    </cacheField>
    <cacheField name="Profit" numFmtId="0">
      <sharedItems containsMixedTypes="1" containsNumber="1" minValue="-120" maxValue="1875"/>
    </cacheField>
  </cacheFields>
  <extLst>
    <ext xmlns:x14="http://schemas.microsoft.com/office/spreadsheetml/2009/9/main" uri="{725AE2AE-9491-48be-B2B4-4EB974FC3084}">
      <x14:pivotCacheDefinition pivotCacheId="1096720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979"/>
    <x v="0"/>
    <d v="2022-05-18T00:00:00"/>
    <d v="1899-12-30T10:18:00"/>
    <n v="6"/>
    <s v="Female"/>
    <n v="19"/>
    <x v="0"/>
    <n v="1"/>
    <n v="25"/>
    <n v="10.5"/>
    <n v="25"/>
    <x v="0"/>
    <s v="Valid"/>
    <n v="14.5"/>
  </r>
  <r>
    <n v="1979"/>
    <x v="1"/>
    <d v="2022-08-17T00:00:00"/>
    <d v="1899-12-30T11:34:00"/>
    <n v="102"/>
    <s v="Female"/>
    <n v="19"/>
    <x v="0"/>
    <n v="1"/>
    <n v="25"/>
    <n v="7.75"/>
    <n v="25"/>
    <x v="0"/>
    <s v="Valid"/>
    <n v="17.25"/>
  </r>
  <r>
    <n v="391"/>
    <x v="2"/>
    <d v="2022-03-25T00:00:00"/>
    <d v="1899-12-30T07:37:00"/>
    <n v="68"/>
    <s v="Male"/>
    <n v="19"/>
    <x v="0"/>
    <n v="2"/>
    <n v="25"/>
    <n v="6.25"/>
    <n v="50"/>
    <x v="0"/>
    <s v="Valid"/>
    <n v="43.75"/>
  </r>
  <r>
    <n v="1391"/>
    <x v="2"/>
    <d v="2022-03-01T00:00:00"/>
    <d v="1899-12-30T11:29:00"/>
    <n v="130"/>
    <s v="Male"/>
    <m/>
    <x v="0"/>
    <n v="2"/>
    <n v="25"/>
    <n v="9.25"/>
    <n v="50"/>
    <x v="0"/>
    <s v="Valid"/>
    <n v="40.75"/>
  </r>
  <r>
    <n v="797"/>
    <x v="3"/>
    <d v="2022-09-16T00:00:00"/>
    <d v="1899-12-30T06:38:00"/>
    <n v="116"/>
    <s v="Male"/>
    <m/>
    <x v="1"/>
    <n v="3"/>
    <n v="25"/>
    <n v="10.75"/>
    <n v="75"/>
    <x v="0"/>
    <s v="Valid"/>
    <n v="64.25"/>
  </r>
  <r>
    <n v="921"/>
    <x v="3"/>
    <d v="2022-09-28T00:00:00"/>
    <d v="1899-12-30T09:34:00"/>
    <n v="101"/>
    <s v="Male"/>
    <m/>
    <x v="2"/>
    <n v="3"/>
    <n v="25"/>
    <n v="8"/>
    <n v="75"/>
    <x v="0"/>
    <s v="Valid"/>
    <n v="67"/>
  </r>
  <r>
    <n v="1797"/>
    <x v="4"/>
    <d v="2022-04-16T00:00:00"/>
    <d v="1899-12-30T11:47:00"/>
    <n v="147"/>
    <s v="Male"/>
    <n v="40"/>
    <x v="1"/>
    <n v="3"/>
    <n v="25"/>
    <n v="12.25"/>
    <n v="75"/>
    <x v="0"/>
    <s v="Valid"/>
    <n v="62.75"/>
  </r>
  <r>
    <n v="1921"/>
    <x v="5"/>
    <d v="2022-02-08T00:00:00"/>
    <d v="1899-12-30T07:01:00"/>
    <n v="77"/>
    <s v="Male"/>
    <n v="51"/>
    <x v="2"/>
    <n v="3"/>
    <n v="25"/>
    <n v="7.5"/>
    <n v="75"/>
    <x v="0"/>
    <s v="Valid"/>
    <n v="67.5"/>
  </r>
  <r>
    <n v="907"/>
    <x v="3"/>
    <d v="2022-09-02T00:00:00"/>
    <d v="1899-12-30T06:16:00"/>
    <n v="145"/>
    <s v="Female"/>
    <n v="45"/>
    <x v="2"/>
    <n v="1"/>
    <n v="25"/>
    <n v="8.5"/>
    <n v="25"/>
    <x v="0"/>
    <s v="Valid"/>
    <n v="16.5"/>
  </r>
  <r>
    <n v="1907"/>
    <x v="6"/>
    <d v="2022-11-17T00:00:00"/>
    <d v="1899-12-30T11:21:00"/>
    <n v="115"/>
    <s v="Female"/>
    <n v="45"/>
    <x v="2"/>
    <n v="1"/>
    <n v="25"/>
    <n v="9"/>
    <n v="25"/>
    <x v="0"/>
    <s v="Valid"/>
    <n v="16"/>
  </r>
  <r>
    <n v="225"/>
    <x v="2"/>
    <d v="2022-03-05T00:00:00"/>
    <d v="1899-12-30T07:37:00"/>
    <n v="85"/>
    <s v="Female"/>
    <n v="57"/>
    <x v="0"/>
    <n v="4"/>
    <n v="25"/>
    <n v="12.75"/>
    <n v="100"/>
    <x v="0"/>
    <s v="Valid"/>
    <n v="87.25"/>
  </r>
  <r>
    <n v="591"/>
    <x v="2"/>
    <d v="2022-03-21T00:00:00"/>
    <d v="1899-12-30T08:38:00"/>
    <n v="94"/>
    <s v="Male"/>
    <n v="53"/>
    <x v="2"/>
    <n v="4"/>
    <n v="25"/>
    <n v="6.5"/>
    <n v="100"/>
    <x v="0"/>
    <s v="Valid"/>
    <n v="93.5"/>
  </r>
  <r>
    <n v="1591"/>
    <x v="3"/>
    <d v="2022-09-29T00:00:00"/>
    <d v="1899-12-30T11:00:00"/>
    <n v="62"/>
    <s v="Male"/>
    <n v="53"/>
    <x v="2"/>
    <n v="4"/>
    <n v="25"/>
    <n v="7"/>
    <n v="100"/>
    <x v="0"/>
    <s v="Valid"/>
    <n v="93"/>
  </r>
  <r>
    <n v="713"/>
    <x v="4"/>
    <d v="2022-04-16T00:00:00"/>
    <d v="1899-12-30T11:43:00"/>
    <n v="39"/>
    <s v="Male"/>
    <n v="34"/>
    <x v="0"/>
    <n v="3"/>
    <n v="25"/>
    <n v="11.25"/>
    <n v="75"/>
    <x v="0"/>
    <s v="Valid"/>
    <n v="63.75"/>
  </r>
  <r>
    <n v="768"/>
    <x v="7"/>
    <d v="2022-06-27T00:00:00"/>
    <d v="1899-12-30T06:50:00"/>
    <n v="58"/>
    <s v="Female"/>
    <n v="24"/>
    <x v="0"/>
    <n v="3"/>
    <n v="25"/>
    <n v="10.5"/>
    <n v="75"/>
    <x v="0"/>
    <s v="Valid"/>
    <n v="64.5"/>
  </r>
  <r>
    <n v="1713"/>
    <x v="8"/>
    <d v="2022-10-03T00:00:00"/>
    <d v="1899-12-30T10:10:00"/>
    <n v="90"/>
    <s v="Male"/>
    <n v="34"/>
    <x v="0"/>
    <n v="3"/>
    <n v="25"/>
    <n v="10.75"/>
    <n v="75"/>
    <x v="0"/>
    <s v="Valid"/>
    <n v="64.25"/>
  </r>
  <r>
    <n v="1768"/>
    <x v="9"/>
    <d v="2022-07-31T00:00:00"/>
    <d v="1899-12-30T09:52:00"/>
    <n v="85"/>
    <s v="Female"/>
    <n v="24"/>
    <x v="0"/>
    <n v="3"/>
    <n v="25"/>
    <n v="8.75"/>
    <n v="75"/>
    <x v="0"/>
    <s v="Valid"/>
    <n v="66.25"/>
  </r>
  <r>
    <n v="831"/>
    <x v="6"/>
    <d v="2022-11-30T00:00:00"/>
    <d v="1899-12-30T11:49:00"/>
    <n v="149"/>
    <s v="Male"/>
    <n v="27"/>
    <x v="2"/>
    <n v="4"/>
    <n v="25"/>
    <n v="13.75"/>
    <n v="100"/>
    <x v="0"/>
    <s v="Valid"/>
    <n v="86.25"/>
  </r>
  <r>
    <n v="1831"/>
    <x v="2"/>
    <d v="2022-03-26T00:00:00"/>
    <d v="1899-12-30T10:54:00"/>
    <n v="80"/>
    <s v="Male"/>
    <n v="27"/>
    <x v="2"/>
    <n v="4"/>
    <n v="25"/>
    <n v="6.5"/>
    <n v="100"/>
    <x v="0"/>
    <s v="Valid"/>
    <n v="93.5"/>
  </r>
  <r>
    <n v="103"/>
    <x v="6"/>
    <d v="2022-11-12T00:00:00"/>
    <d v="1899-12-30T10:05:00"/>
    <n v="33"/>
    <s v="Female"/>
    <n v="59"/>
    <x v="1"/>
    <n v="1"/>
    <n v="25"/>
    <n v="10.75"/>
    <n v="25"/>
    <x v="0"/>
    <s v="Valid"/>
    <n v="14.25"/>
  </r>
  <r>
    <n v="1103"/>
    <x v="5"/>
    <d v="2022-02-14T00:00:00"/>
    <d v="1899-12-30T07:11:00"/>
    <n v="61"/>
    <s v="Female"/>
    <n v="59"/>
    <x v="1"/>
    <n v="1"/>
    <n v="25"/>
    <n v="6.75"/>
    <n v="25"/>
    <x v="0"/>
    <s v="Valid"/>
    <n v="18.25"/>
  </r>
  <r>
    <n v="475"/>
    <x v="1"/>
    <d v="2022-08-12T00:00:00"/>
    <d v="1899-12-30T10:39:00"/>
    <n v="78"/>
    <s v="Male"/>
    <n v="26"/>
    <x v="1"/>
    <n v="3"/>
    <n v="25"/>
    <n v="9"/>
    <n v="75"/>
    <x v="0"/>
    <s v="Valid"/>
    <n v="66"/>
  </r>
  <r>
    <n v="1475"/>
    <x v="8"/>
    <d v="2022-10-04T00:00:00"/>
    <d v="1899-12-30T07:03:00"/>
    <n v="132"/>
    <s v="Male"/>
    <n v="26"/>
    <x v="1"/>
    <n v="3"/>
    <n v="25"/>
    <n v="10.75"/>
    <n v="75"/>
    <x v="0"/>
    <s v="Valid"/>
    <n v="64.25"/>
  </r>
  <r>
    <n v="787"/>
    <x v="7"/>
    <d v="2022-06-10T00:00:00"/>
    <d v="1899-12-30T10:42:00"/>
    <n v="25"/>
    <s v="Male"/>
    <n v="41"/>
    <x v="2"/>
    <n v="1"/>
    <n v="25"/>
    <n v="13.75"/>
    <n v="25"/>
    <x v="0"/>
    <s v="Valid"/>
    <n v="11.25"/>
  </r>
  <r>
    <n v="1787"/>
    <x v="0"/>
    <d v="2022-05-30T00:00:00"/>
    <d v="1899-12-30T07:42:00"/>
    <n v="104"/>
    <s v="Male"/>
    <n v="41"/>
    <x v="2"/>
    <n v="1"/>
    <n v="25"/>
    <n v="10"/>
    <n v="25"/>
    <x v="0"/>
    <s v="Valid"/>
    <n v="15"/>
  </r>
  <r>
    <n v="64"/>
    <x v="6"/>
    <d v="2022-11-15T00:00:00"/>
    <d v="1899-12-30T06:34:00"/>
    <n v="7"/>
    <s v="Male"/>
    <n v="49"/>
    <x v="1"/>
    <n v="4"/>
    <n v="25"/>
    <n v="8.5"/>
    <n v="100"/>
    <x v="0"/>
    <s v="Valid"/>
    <n v="91.5"/>
  </r>
  <r>
    <n v="1064"/>
    <x v="4"/>
    <d v="2022-04-14T00:00:00"/>
    <d v="1899-12-30T10:38:00"/>
    <n v="49"/>
    <s v="Male"/>
    <n v="49"/>
    <x v="1"/>
    <n v="4"/>
    <n v="25"/>
    <n v="13.75"/>
    <n v="100"/>
    <x v="0"/>
    <s v="Valid"/>
    <n v="86.25"/>
  </r>
  <r>
    <n v="736"/>
    <x v="10"/>
    <d v="2022-12-18T00:00:00"/>
    <d v="1899-12-30T08:30:00"/>
    <n v="97"/>
    <s v="Male"/>
    <n v="29"/>
    <x v="1"/>
    <n v="4"/>
    <n v="25"/>
    <n v="9.75"/>
    <n v="100"/>
    <x v="0"/>
    <s v="Valid"/>
    <n v="90.25"/>
  </r>
  <r>
    <n v="929"/>
    <x v="2"/>
    <d v="2022-03-11T00:00:00"/>
    <d v="1899-12-30T10:18:00"/>
    <n v="40"/>
    <s v="Female"/>
    <n v="23"/>
    <x v="0"/>
    <n v="3"/>
    <n v="25"/>
    <n v="10.5"/>
    <n v="75"/>
    <x v="0"/>
    <s v="Valid"/>
    <n v="64.5"/>
  </r>
  <r>
    <n v="1736"/>
    <x v="1"/>
    <d v="2022-08-28T00:00:00"/>
    <d v="1899-12-30T08:57:00"/>
    <n v="87"/>
    <s v="Male"/>
    <n v="29"/>
    <x v="1"/>
    <n v="4"/>
    <n v="25"/>
    <n v="10.25"/>
    <n v="100"/>
    <x v="0"/>
    <s v="Valid"/>
    <n v="89.75"/>
  </r>
  <r>
    <n v="1929"/>
    <x v="3"/>
    <d v="2022-09-15T00:00:00"/>
    <d v="1899-12-30T06:50:00"/>
    <n v="62"/>
    <s v="Female"/>
    <n v="23"/>
    <x v="0"/>
    <n v="3"/>
    <n v="25"/>
    <n v="12.75"/>
    <n v="75"/>
    <x v="0"/>
    <s v="Valid"/>
    <n v="62.25"/>
  </r>
  <r>
    <n v="329"/>
    <x v="8"/>
    <d v="2022-10-27T00:00:00"/>
    <d v="1899-12-30T07:42:00"/>
    <n v="52"/>
    <s v="Female"/>
    <n v="46"/>
    <x v="2"/>
    <n v="4"/>
    <n v="25"/>
    <n v="8"/>
    <n v="100"/>
    <x v="0"/>
    <s v="Valid"/>
    <n v="92"/>
  </r>
  <r>
    <n v="1329"/>
    <x v="11"/>
    <d v="2022-01-27T00:00:00"/>
    <d v="1899-12-30T10:39:00"/>
    <n v="119"/>
    <s v="Female"/>
    <n v="46"/>
    <x v="2"/>
    <n v="4"/>
    <n v="25"/>
    <n v="9.25"/>
    <n v="100"/>
    <x v="0"/>
    <s v="Valid"/>
    <n v="90.75"/>
  </r>
  <r>
    <n v="223"/>
    <x v="11"/>
    <d v="2022-01-15T00:00:00"/>
    <d v="1899-12-30T11:18:00"/>
    <n v="61"/>
    <s v="Female"/>
    <n v="64"/>
    <x v="1"/>
    <n v="1"/>
    <n v="25"/>
    <n v="12"/>
    <n v="25"/>
    <x v="0"/>
    <s v="Valid"/>
    <n v="13"/>
  </r>
  <r>
    <n v="1223"/>
    <x v="5"/>
    <d v="2022-02-20T00:00:00"/>
    <d v="1899-12-30T07:40:00"/>
    <n v="106"/>
    <s v="Female"/>
    <n v="64"/>
    <x v="1"/>
    <n v="1"/>
    <n v="25"/>
    <n v="9.75"/>
    <n v="25"/>
    <x v="0"/>
    <s v="Valid"/>
    <n v="15.25"/>
  </r>
  <r>
    <n v="63"/>
    <x v="5"/>
    <d v="2022-02-03T00:00:00"/>
    <d v="1899-12-30T11:49:00"/>
    <n v="127"/>
    <s v="Male"/>
    <n v="57"/>
    <x v="2"/>
    <n v="2"/>
    <n v="25"/>
    <n v="6.25"/>
    <n v="50"/>
    <x v="0"/>
    <s v="Valid"/>
    <n v="43.75"/>
  </r>
  <r>
    <n v="379"/>
    <x v="7"/>
    <d v="2022-06-01T00:00:00"/>
    <d v="1899-12-30T07:28:00"/>
    <n v="76"/>
    <s v="Female"/>
    <n v="47"/>
    <x v="1"/>
    <n v="1"/>
    <n v="25"/>
    <n v="8.5"/>
    <n v="25"/>
    <x v="0"/>
    <s v="Valid"/>
    <n v="16.5"/>
  </r>
  <r>
    <n v="1063"/>
    <x v="1"/>
    <d v="2022-08-04T00:00:00"/>
    <d v="1899-12-30T10:26:00"/>
    <n v="56"/>
    <s v="Male"/>
    <n v="57"/>
    <x v="2"/>
    <n v="2"/>
    <n v="25"/>
    <n v="11"/>
    <n v="50"/>
    <x v="0"/>
    <s v="Valid"/>
    <n v="39"/>
  </r>
  <r>
    <n v="1379"/>
    <x v="11"/>
    <d v="2022-01-02T00:00:00"/>
    <d v="1899-12-30T06:23:00"/>
    <n v="69"/>
    <s v="Female"/>
    <n v="47"/>
    <x v="1"/>
    <n v="1"/>
    <n v="25"/>
    <n v="7.25"/>
    <n v="25"/>
    <x v="0"/>
    <s v="Valid"/>
    <n v="17.75"/>
  </r>
  <r>
    <n v="232"/>
    <x v="1"/>
    <d v="2022-08-12T00:00:00"/>
    <d v="1899-12-30T07:14:00"/>
    <n v="150"/>
    <s v="Female"/>
    <n v="43"/>
    <x v="0"/>
    <n v="1"/>
    <n v="25"/>
    <n v="12.75"/>
    <n v="25"/>
    <x v="0"/>
    <s v="Valid"/>
    <n v="12.25"/>
  </r>
  <r>
    <n v="1232"/>
    <x v="0"/>
    <d v="2022-05-23T00:00:00"/>
    <d v="1899-12-30T08:05:00"/>
    <n v="146"/>
    <s v="Female"/>
    <n v="43"/>
    <x v="0"/>
    <n v="1"/>
    <n v="25"/>
    <n v="6.25"/>
    <n v="25"/>
    <x v="0"/>
    <s v="Valid"/>
    <n v="18.75"/>
  </r>
  <r>
    <n v="434"/>
    <x v="8"/>
    <d v="2022-10-26T00:00:00"/>
    <d v="1899-12-30T06:09:00"/>
    <n v="50"/>
    <s v="Female"/>
    <n v="43"/>
    <x v="2"/>
    <n v="2"/>
    <n v="25"/>
    <n v="8.25"/>
    <n v="50"/>
    <x v="0"/>
    <s v="Valid"/>
    <n v="41.75"/>
  </r>
  <r>
    <n v="775"/>
    <x v="0"/>
    <d v="2022-05-06T00:00:00"/>
    <d v="1899-12-30T11:07:00"/>
    <n v="98"/>
    <s v="Female"/>
    <n v="46"/>
    <x v="2"/>
    <n v="4"/>
    <n v="25"/>
    <n v="9.5"/>
    <n v="100"/>
    <x v="0"/>
    <s v="Valid"/>
    <n v="90.5"/>
  </r>
  <r>
    <n v="977"/>
    <x v="9"/>
    <d v="2022-07-26T00:00:00"/>
    <d v="1899-12-30T08:35:00"/>
    <n v="46"/>
    <s v="Female"/>
    <n v="35"/>
    <x v="2"/>
    <n v="3"/>
    <n v="25"/>
    <n v="13.75"/>
    <n v="75"/>
    <x v="0"/>
    <s v="Valid"/>
    <n v="61.25"/>
  </r>
  <r>
    <n v="1434"/>
    <x v="5"/>
    <d v="2022-02-04T00:00:00"/>
    <d v="1899-12-30T10:02:00"/>
    <n v="147"/>
    <s v="Female"/>
    <n v="43"/>
    <x v="2"/>
    <n v="2"/>
    <n v="25"/>
    <n v="7"/>
    <n v="50"/>
    <x v="0"/>
    <s v="Valid"/>
    <n v="43"/>
  </r>
  <r>
    <n v="1775"/>
    <x v="10"/>
    <d v="2022-12-18T00:00:00"/>
    <d v="1899-12-30T08:04:00"/>
    <n v="78"/>
    <s v="Female"/>
    <n v="46"/>
    <x v="2"/>
    <n v="4"/>
    <n v="25"/>
    <n v="13.75"/>
    <n v="100"/>
    <x v="0"/>
    <s v="Valid"/>
    <n v="86.25"/>
  </r>
  <r>
    <n v="1977"/>
    <x v="1"/>
    <d v="2022-08-05T00:00:00"/>
    <d v="1899-12-30T10:46:00"/>
    <n v="63"/>
    <s v="Female"/>
    <n v="35"/>
    <x v="2"/>
    <n v="3"/>
    <n v="25"/>
    <n v="12"/>
    <n v="75"/>
    <x v="0"/>
    <s v="Valid"/>
    <n v="63"/>
  </r>
  <r>
    <n v="657"/>
    <x v="11"/>
    <d v="2022-01-29T00:00:00"/>
    <d v="1899-12-30T08:53:00"/>
    <n v="46"/>
    <s v="Male"/>
    <n v="40"/>
    <x v="1"/>
    <n v="1"/>
    <n v="25"/>
    <n v="8"/>
    <n v="25"/>
    <x v="0"/>
    <s v="Valid"/>
    <n v="17"/>
  </r>
  <r>
    <n v="972"/>
    <x v="1"/>
    <d v="2022-08-16T00:00:00"/>
    <d v="1899-12-30T11:42:00"/>
    <n v="139"/>
    <s v="Male"/>
    <n v="49"/>
    <x v="0"/>
    <n v="4"/>
    <n v="25"/>
    <n v="6.75"/>
    <n v="100"/>
    <x v="0"/>
    <s v="Valid"/>
    <n v="93.25"/>
  </r>
  <r>
    <n v="1657"/>
    <x v="1"/>
    <d v="2022-08-09T00:00:00"/>
    <d v="1899-12-30T10:05:00"/>
    <n v="61"/>
    <s v="Male"/>
    <n v="40"/>
    <x v="1"/>
    <n v="1"/>
    <n v="25"/>
    <n v="8"/>
    <n v="25"/>
    <x v="0"/>
    <s v="Valid"/>
    <n v="17"/>
  </r>
  <r>
    <n v="1972"/>
    <x v="10"/>
    <d v="2022-12-21T00:00:00"/>
    <d v="1899-12-30T06:39:00"/>
    <n v="5"/>
    <s v="Male"/>
    <n v="49"/>
    <x v="0"/>
    <n v="4"/>
    <n v="25"/>
    <n v="9.25"/>
    <n v="100"/>
    <x v="0"/>
    <s v="Valid"/>
    <n v="90.75"/>
  </r>
  <r>
    <n v="848"/>
    <x v="11"/>
    <d v="2022-01-24T00:00:00"/>
    <d v="1899-12-30T10:46:00"/>
    <n v="15"/>
    <s v="Female"/>
    <n v="63"/>
    <x v="1"/>
    <n v="3"/>
    <n v="25"/>
    <n v="9.75"/>
    <n v="75"/>
    <x v="0"/>
    <s v="Valid"/>
    <n v="65.25"/>
  </r>
  <r>
    <n v="945"/>
    <x v="8"/>
    <d v="2022-10-01T00:00:00"/>
    <d v="1899-12-30T10:01:00"/>
    <n v="120"/>
    <s v="Male"/>
    <n v="30"/>
    <x v="0"/>
    <n v="1"/>
    <n v="25"/>
    <n v="13.25"/>
    <n v="25"/>
    <x v="0"/>
    <s v="Valid"/>
    <n v="11.75"/>
  </r>
  <r>
    <n v="1848"/>
    <x v="10"/>
    <d v="2022-12-27T00:00:00"/>
    <d v="1899-12-30T10:16:00"/>
    <n v="63"/>
    <s v="Female"/>
    <n v="63"/>
    <x v="1"/>
    <n v="3"/>
    <n v="25"/>
    <n v="12.5"/>
    <n v="75"/>
    <x v="0"/>
    <s v="Valid"/>
    <n v="62.5"/>
  </r>
  <r>
    <n v="1945"/>
    <x v="4"/>
    <d v="2022-04-19T00:00:00"/>
    <d v="1899-12-30T09:55:00"/>
    <n v="33"/>
    <s v="Male"/>
    <n v="30"/>
    <x v="0"/>
    <n v="1"/>
    <n v="25"/>
    <n v="10.75"/>
    <n v="25"/>
    <x v="0"/>
    <s v="Valid"/>
    <n v="14.25"/>
  </r>
  <r>
    <n v="44"/>
    <x v="2"/>
    <d v="2022-03-03T00:00:00"/>
    <d v="1899-12-30T11:07:00"/>
    <n v="93"/>
    <s v="Female"/>
    <n v="22"/>
    <x v="1"/>
    <n v="1"/>
    <n v="25"/>
    <n v="11.75"/>
    <n v="25"/>
    <x v="0"/>
    <s v="Valid"/>
    <n v="13.25"/>
  </r>
  <r>
    <n v="1044"/>
    <x v="5"/>
    <d v="2022-02-20T00:00:00"/>
    <d v="1899-12-30T09:08:00"/>
    <n v="70"/>
    <s v="Female"/>
    <n v="22"/>
    <x v="1"/>
    <n v="1"/>
    <n v="25"/>
    <n v="7.5"/>
    <n v="25"/>
    <x v="0"/>
    <s v="Valid"/>
    <n v="17.5"/>
  </r>
  <r>
    <n v="287"/>
    <x v="1"/>
    <d v="2022-08-26T00:00:00"/>
    <d v="1899-12-30T11:07:00"/>
    <n v="88"/>
    <s v="Male"/>
    <n v="54"/>
    <x v="1"/>
    <n v="4"/>
    <n v="25"/>
    <n v="10"/>
    <n v="100"/>
    <x v="0"/>
    <s v="Valid"/>
    <n v="90"/>
  </r>
  <r>
    <n v="1287"/>
    <x v="3"/>
    <d v="2022-09-13T00:00:00"/>
    <d v="1899-12-30T08:03:00"/>
    <n v="120"/>
    <s v="Male"/>
    <n v="54"/>
    <x v="1"/>
    <n v="4"/>
    <n v="25"/>
    <n v="7"/>
    <n v="100"/>
    <x v="0"/>
    <s v="Valid"/>
    <n v="93"/>
  </r>
  <r>
    <n v="371"/>
    <x v="10"/>
    <d v="2022-12-18T00:00:00"/>
    <d v="1899-12-30T10:01:00"/>
    <n v="32"/>
    <s v="Female"/>
    <n v="20"/>
    <x v="0"/>
    <n v="1"/>
    <n v="25"/>
    <n v="13"/>
    <n v="25"/>
    <x v="0"/>
    <s v="Valid"/>
    <n v="12"/>
  </r>
  <r>
    <n v="1371"/>
    <x v="0"/>
    <d v="2022-05-06T00:00:00"/>
    <d v="1899-12-30T06:52:00"/>
    <n v="41"/>
    <s v="Female"/>
    <n v="20"/>
    <x v="0"/>
    <n v="1"/>
    <n v="25"/>
    <n v="13.5"/>
    <n v="25"/>
    <x v="0"/>
    <s v="Valid"/>
    <n v="11.5"/>
  </r>
  <r>
    <n v="8"/>
    <x v="10"/>
    <d v="2022-12-27T00:00:00"/>
    <d v="1899-12-30T11:19:00"/>
    <n v="148"/>
    <s v="Male"/>
    <n v="30"/>
    <x v="2"/>
    <n v="4"/>
    <n v="25"/>
    <n v="11"/>
    <n v="100"/>
    <x v="0"/>
    <s v="Valid"/>
    <n v="89"/>
  </r>
  <r>
    <n v="41"/>
    <x v="8"/>
    <d v="2022-10-11T00:00:00"/>
    <d v="1899-12-30T10:36:00"/>
    <n v="88"/>
    <s v="Male"/>
    <n v="34"/>
    <x v="1"/>
    <n v="2"/>
    <n v="25"/>
    <n v="13.25"/>
    <n v="50"/>
    <x v="0"/>
    <s v="Valid"/>
    <n v="36.75"/>
  </r>
  <r>
    <n v="454"/>
    <x v="2"/>
    <d v="2022-03-12T00:00:00"/>
    <d v="1899-12-30T07:20:00"/>
    <n v="13"/>
    <s v="Female"/>
    <n v="46"/>
    <x v="0"/>
    <n v="1"/>
    <n v="25"/>
    <n v="13"/>
    <n v="25"/>
    <x v="0"/>
    <s v="Valid"/>
    <n v="12"/>
  </r>
  <r>
    <n v="780"/>
    <x v="9"/>
    <d v="2022-07-06T00:00:00"/>
    <d v="1899-12-30T11:30:00"/>
    <n v="107"/>
    <s v="Male"/>
    <n v="52"/>
    <x v="2"/>
    <n v="2"/>
    <n v="25"/>
    <n v="13.25"/>
    <n v="50"/>
    <x v="0"/>
    <s v="Valid"/>
    <n v="36.75"/>
  </r>
  <r>
    <n v="920"/>
    <x v="1"/>
    <d v="2022-08-20T00:00:00"/>
    <d v="1899-12-30T10:25:00"/>
    <n v="99"/>
    <s v="Female"/>
    <n v="28"/>
    <x v="0"/>
    <n v="3"/>
    <n v="25"/>
    <n v="6.75"/>
    <n v="75"/>
    <x v="0"/>
    <s v="Valid"/>
    <n v="68.25"/>
  </r>
  <r>
    <n v="1008"/>
    <x v="11"/>
    <d v="2022-01-10T00:00:00"/>
    <d v="1899-12-30T08:51:00"/>
    <n v="116"/>
    <s v="Male"/>
    <n v="30"/>
    <x v="2"/>
    <n v="4"/>
    <n v="25"/>
    <n v="13"/>
    <n v="100"/>
    <x v="0"/>
    <s v="Valid"/>
    <n v="87"/>
  </r>
  <r>
    <n v="1041"/>
    <x v="0"/>
    <d v="2022-05-10T00:00:00"/>
    <d v="1899-12-30T07:27:00"/>
    <n v="74"/>
    <s v="Male"/>
    <n v="34"/>
    <x v="1"/>
    <n v="2"/>
    <n v="25"/>
    <n v="11"/>
    <n v="50"/>
    <x v="0"/>
    <s v="Valid"/>
    <n v="39"/>
  </r>
  <r>
    <n v="1454"/>
    <x v="7"/>
    <d v="2022-06-25T00:00:00"/>
    <d v="1899-12-30T11:18:00"/>
    <n v="22"/>
    <s v="Female"/>
    <n v="46"/>
    <x v="0"/>
    <n v="1"/>
    <n v="25"/>
    <n v="6.75"/>
    <n v="25"/>
    <x v="0"/>
    <s v="Valid"/>
    <n v="18.25"/>
  </r>
  <r>
    <n v="1780"/>
    <x v="10"/>
    <d v="2022-12-11T00:00:00"/>
    <d v="1899-12-30T10:00:00"/>
    <n v="32"/>
    <s v="Male"/>
    <n v="52"/>
    <x v="2"/>
    <n v="2"/>
    <n v="25"/>
    <n v="10.5"/>
    <n v="50"/>
    <x v="0"/>
    <s v="Valid"/>
    <n v="39.5"/>
  </r>
  <r>
    <n v="1920"/>
    <x v="8"/>
    <d v="2022-10-24T00:00:00"/>
    <d v="1899-12-30T08:33:00"/>
    <n v="23"/>
    <s v="Female"/>
    <n v="28"/>
    <x v="0"/>
    <n v="3"/>
    <n v="25"/>
    <n v="9.25"/>
    <n v="75"/>
    <x v="0"/>
    <s v="Valid"/>
    <n v="65.75"/>
  </r>
  <r>
    <n v="135"/>
    <x v="4"/>
    <d v="2022-04-18T00:00:00"/>
    <d v="1899-12-30T07:22:00"/>
    <n v="104"/>
    <s v="Male"/>
    <n v="20"/>
    <x v="1"/>
    <n v="2"/>
    <n v="25"/>
    <n v="13"/>
    <n v="50"/>
    <x v="0"/>
    <s v="Valid"/>
    <n v="37"/>
  </r>
  <r>
    <n v="1135"/>
    <x v="11"/>
    <d v="2022-01-14T00:00:00"/>
    <d v="1899-12-30T08:16:00"/>
    <n v="124"/>
    <s v="Male"/>
    <n v="20"/>
    <x v="1"/>
    <n v="2"/>
    <n v="25"/>
    <n v="12.5"/>
    <n v="50"/>
    <x v="0"/>
    <s v="Valid"/>
    <n v="37.5"/>
  </r>
  <r>
    <n v="185"/>
    <x v="7"/>
    <d v="2022-06-27T00:00:00"/>
    <d v="1899-12-30T09:48:00"/>
    <n v="57"/>
    <s v="Male"/>
    <n v="24"/>
    <x v="1"/>
    <n v="1"/>
    <n v="25"/>
    <n v="7"/>
    <n v="25"/>
    <x v="0"/>
    <s v="Valid"/>
    <n v="18"/>
  </r>
  <r>
    <n v="1185"/>
    <x v="8"/>
    <d v="2022-10-04T00:00:00"/>
    <d v="1899-12-30T10:28:00"/>
    <n v="153"/>
    <s v="Male"/>
    <n v="24"/>
    <x v="1"/>
    <n v="1"/>
    <n v="25"/>
    <n v="10.25"/>
    <n v="25"/>
    <x v="0"/>
    <s v="Valid"/>
    <n v="14.75"/>
  </r>
  <r>
    <n v="763"/>
    <x v="4"/>
    <d v="2022-04-23T00:00:00"/>
    <d v="1899-12-30T09:43:00"/>
    <n v="58"/>
    <s v="Male"/>
    <n v="34"/>
    <x v="1"/>
    <n v="2"/>
    <n v="25"/>
    <n v="11.5"/>
    <n v="50"/>
    <x v="0"/>
    <s v="Valid"/>
    <n v="38.5"/>
  </r>
  <r>
    <n v="932"/>
    <x v="8"/>
    <d v="2022-10-08T00:00:00"/>
    <d v="1899-12-30T08:33:00"/>
    <n v="120"/>
    <s v="Female"/>
    <n v="45"/>
    <x v="0"/>
    <n v="4"/>
    <n v="25"/>
    <n v="7.75"/>
    <n v="100"/>
    <x v="0"/>
    <s v="Valid"/>
    <n v="92.25"/>
  </r>
  <r>
    <n v="1763"/>
    <x v="7"/>
    <d v="2022-06-30T00:00:00"/>
    <d v="1899-12-30T11:37:00"/>
    <n v="93"/>
    <s v="Male"/>
    <n v="34"/>
    <x v="1"/>
    <n v="2"/>
    <n v="25"/>
    <n v="13.5"/>
    <n v="50"/>
    <x v="0"/>
    <s v="Valid"/>
    <n v="36.5"/>
  </r>
  <r>
    <n v="1932"/>
    <x v="6"/>
    <d v="2022-11-08T00:00:00"/>
    <d v="1899-12-30T07:07:00"/>
    <n v="96"/>
    <s v="Female"/>
    <n v="45"/>
    <x v="0"/>
    <n v="4"/>
    <n v="25"/>
    <n v="6.25"/>
    <n v="100"/>
    <x v="0"/>
    <s v="Valid"/>
    <n v="93.75"/>
  </r>
  <r>
    <n v="500"/>
    <x v="8"/>
    <d v="2022-10-14T00:00:00"/>
    <d v="1899-12-30T06:11:00"/>
    <n v="120"/>
    <s v="Female"/>
    <n v="60"/>
    <x v="0"/>
    <n v="4"/>
    <n v="25"/>
    <n v="11.5"/>
    <n v="100"/>
    <x v="0"/>
    <s v="Valid"/>
    <n v="88.5"/>
  </r>
  <r>
    <n v="1500"/>
    <x v="4"/>
    <d v="2022-04-20T00:00:00"/>
    <d v="1899-12-30T08:36:00"/>
    <n v="53"/>
    <s v="Female"/>
    <n v="60"/>
    <x v="0"/>
    <n v="4"/>
    <n v="25"/>
    <n v="8.5"/>
    <n v="100"/>
    <x v="0"/>
    <s v="Valid"/>
    <n v="91.5"/>
  </r>
  <r>
    <n v="339"/>
    <x v="1"/>
    <d v="2022-08-18T00:00:00"/>
    <d v="1899-12-30T10:27:00"/>
    <n v="33"/>
    <s v="Female"/>
    <n v="22"/>
    <x v="2"/>
    <n v="2"/>
    <n v="25"/>
    <n v="10.25"/>
    <n v="50"/>
    <x v="0"/>
    <s v="Valid"/>
    <n v="39.75"/>
  </r>
  <r>
    <n v="888"/>
    <x v="10"/>
    <d v="2022-12-01T00:00:00"/>
    <d v="1899-12-30T06:03:00"/>
    <n v="63"/>
    <s v="Female"/>
    <n v="52"/>
    <x v="2"/>
    <n v="4"/>
    <n v="25"/>
    <n v="12.75"/>
    <n v="100"/>
    <x v="0"/>
    <s v="Valid"/>
    <n v="87.25"/>
  </r>
  <r>
    <n v="1339"/>
    <x v="6"/>
    <d v="2022-11-10T00:00:00"/>
    <d v="1899-12-30T10:34:00"/>
    <n v="132"/>
    <s v="Female"/>
    <n v="22"/>
    <x v="2"/>
    <n v="2"/>
    <n v="25"/>
    <n v="7.5"/>
    <n v="50"/>
    <x v="0"/>
    <s v="Valid"/>
    <n v="42.5"/>
  </r>
  <r>
    <n v="1888"/>
    <x v="7"/>
    <d v="2022-06-14T00:00:00"/>
    <d v="1899-12-30T08:10:00"/>
    <n v="49"/>
    <s v="Female"/>
    <n v="52"/>
    <x v="2"/>
    <n v="4"/>
    <n v="25"/>
    <n v="12.5"/>
    <n v="100"/>
    <x v="0"/>
    <s v="Valid"/>
    <n v="87.5"/>
  </r>
  <r>
    <n v="750"/>
    <x v="6"/>
    <d v="2022-11-13T00:00:00"/>
    <d v="1899-12-30T07:33:00"/>
    <n v="69"/>
    <s v="Female"/>
    <n v="35"/>
    <x v="1"/>
    <n v="3"/>
    <n v="25"/>
    <n v="8.75"/>
    <n v="75"/>
    <x v="0"/>
    <s v="Valid"/>
    <n v="66.25"/>
  </r>
  <r>
    <n v="1750"/>
    <x v="11"/>
    <d v="2022-01-20T00:00:00"/>
    <d v="1899-12-30T10:10:00"/>
    <n v="138"/>
    <s v="Female"/>
    <n v="35"/>
    <x v="1"/>
    <n v="3"/>
    <n v="25"/>
    <n v="7.25"/>
    <n v="75"/>
    <x v="0"/>
    <s v="Valid"/>
    <n v="67.75"/>
  </r>
  <r>
    <n v="705"/>
    <x v="3"/>
    <d v="2022-09-30T00:00:00"/>
    <d v="1899-12-30T07:28:00"/>
    <n v="37"/>
    <s v="Male"/>
    <n v="60"/>
    <x v="2"/>
    <n v="2"/>
    <n v="25"/>
    <n v="6.25"/>
    <n v="50"/>
    <x v="0"/>
    <s v="Valid"/>
    <n v="43.75"/>
  </r>
  <r>
    <n v="1705"/>
    <x v="1"/>
    <d v="2022-08-14T00:00:00"/>
    <d v="1899-12-30T08:32:00"/>
    <n v="94"/>
    <s v="Male"/>
    <n v="60"/>
    <x v="2"/>
    <n v="2"/>
    <n v="25"/>
    <n v="8.75"/>
    <n v="50"/>
    <x v="0"/>
    <s v="Valid"/>
    <n v="41.25"/>
  </r>
  <r>
    <n v="423"/>
    <x v="9"/>
    <d v="2022-07-18T00:00:00"/>
    <d v="1899-12-30T06:06:00"/>
    <n v="41"/>
    <s v="Female"/>
    <n v="27"/>
    <x v="1"/>
    <n v="1"/>
    <n v="25"/>
    <n v="11.75"/>
    <n v="25"/>
    <x v="0"/>
    <s v="Valid"/>
    <n v="13.25"/>
  </r>
  <r>
    <n v="1423"/>
    <x v="7"/>
    <d v="2022-06-15T00:00:00"/>
    <d v="1899-12-30T07:56:00"/>
    <n v="131"/>
    <s v="Female"/>
    <n v="27"/>
    <x v="1"/>
    <n v="1"/>
    <n v="25"/>
    <n v="11"/>
    <n v="25"/>
    <x v="0"/>
    <s v="Valid"/>
    <n v="14"/>
  </r>
  <r>
    <n v="360"/>
    <x v="3"/>
    <d v="2022-09-09T00:00:00"/>
    <d v="1899-12-30T09:04:00"/>
    <n v="26"/>
    <s v="Male"/>
    <n v="42"/>
    <x v="1"/>
    <n v="4"/>
    <n v="25"/>
    <n v="10.5"/>
    <n v="100"/>
    <x v="0"/>
    <s v="Valid"/>
    <n v="89.5"/>
  </r>
  <r>
    <n v="1360"/>
    <x v="7"/>
    <d v="2022-06-18T00:00:00"/>
    <d v="1899-12-30T09:31:00"/>
    <n v="93"/>
    <s v="Male"/>
    <n v="42"/>
    <x v="1"/>
    <n v="4"/>
    <n v="25"/>
    <n v="6.25"/>
    <n v="100"/>
    <x v="0"/>
    <s v="Valid"/>
    <n v="93.75"/>
  </r>
  <r>
    <n v="397"/>
    <x v="12"/>
    <d v="2023-10-26T00:00:00"/>
    <d v="1899-12-30T08:06:00"/>
    <n v="59"/>
    <s v="Female"/>
    <n v="30"/>
    <x v="0"/>
    <n v="1"/>
    <n v="25"/>
    <n v="10.5"/>
    <n v="25"/>
    <x v="0"/>
    <s v="Valid"/>
    <n v="14.5"/>
  </r>
  <r>
    <n v="1397"/>
    <x v="13"/>
    <d v="2023-01-01T00:00:00"/>
    <d v="1899-12-30T11:05:00"/>
    <n v="6"/>
    <s v="Female"/>
    <n v="30"/>
    <x v="0"/>
    <n v="1"/>
    <n v="25"/>
    <n v="11.75"/>
    <n v="25"/>
    <x v="0"/>
    <s v="Valid"/>
    <n v="13.25"/>
  </r>
  <r>
    <n v="658"/>
    <x v="12"/>
    <d v="2023-10-30T00:00:00"/>
    <d v="1899-12-30T07:47:00"/>
    <n v="93"/>
    <s v="Male"/>
    <n v="59"/>
    <x v="1"/>
    <n v="1"/>
    <n v="25"/>
    <n v="6.5"/>
    <n v="25"/>
    <x v="0"/>
    <s v="Valid"/>
    <n v="18.5"/>
  </r>
  <r>
    <n v="1658"/>
    <x v="14"/>
    <d v="2023-04-10T00:00:00"/>
    <d v="1899-12-30T06:08:00"/>
    <n v="148"/>
    <s v="Male"/>
    <n v="59"/>
    <x v="1"/>
    <n v="1"/>
    <n v="25"/>
    <n v="12.25"/>
    <n v="25"/>
    <x v="0"/>
    <s v="Valid"/>
    <n v="12.75"/>
  </r>
  <r>
    <n v="7"/>
    <x v="15"/>
    <d v="2023-07-06T00:00:00"/>
    <d v="1899-12-30T06:24:00"/>
    <n v="38"/>
    <s v="Male"/>
    <n v="46"/>
    <x v="1"/>
    <n v="2"/>
    <n v="25"/>
    <n v="13.25"/>
    <n v="50"/>
    <x v="0"/>
    <s v="Valid"/>
    <n v="36.75"/>
  </r>
  <r>
    <n v="278"/>
    <x v="16"/>
    <d v="2023-12-22T00:00:00"/>
    <d v="1899-12-30T11:42:00"/>
    <n v="71"/>
    <s v="Female"/>
    <n v="37"/>
    <x v="1"/>
    <n v="4"/>
    <n v="25"/>
    <n v="13.5"/>
    <n v="100"/>
    <x v="0"/>
    <s v="Valid"/>
    <n v="86.5"/>
  </r>
  <r>
    <n v="1007"/>
    <x v="17"/>
    <d v="2023-06-09T00:00:00"/>
    <d v="1899-12-30T10:09:00"/>
    <n v="15"/>
    <s v="Male"/>
    <n v="46"/>
    <x v="1"/>
    <n v="2"/>
    <n v="25"/>
    <n v="11.5"/>
    <n v="50"/>
    <x v="0"/>
    <s v="Valid"/>
    <n v="38.5"/>
  </r>
  <r>
    <n v="1278"/>
    <x v="15"/>
    <d v="2023-07-19T00:00:00"/>
    <d v="1899-12-30T06:19:00"/>
    <n v="28"/>
    <s v="Female"/>
    <n v="37"/>
    <x v="1"/>
    <n v="4"/>
    <n v="25"/>
    <n v="6.75"/>
    <n v="100"/>
    <x v="0"/>
    <s v="Valid"/>
    <n v="93.25"/>
  </r>
  <r>
    <n v="442"/>
    <x v="17"/>
    <d v="2023-06-30T00:00:00"/>
    <d v="1899-12-30T11:07:00"/>
    <n v="24"/>
    <s v="Female"/>
    <n v="60"/>
    <x v="1"/>
    <n v="4"/>
    <n v="25"/>
    <n v="13.25"/>
    <n v="100"/>
    <x v="0"/>
    <s v="Valid"/>
    <n v="86.75"/>
  </r>
  <r>
    <n v="607"/>
    <x v="18"/>
    <d v="2023-05-05T00:00:00"/>
    <d v="1899-12-30T09:33:00"/>
    <n v="109"/>
    <s v="Male"/>
    <n v="54"/>
    <x v="1"/>
    <n v="3"/>
    <n v="25"/>
    <n v="13.25"/>
    <n v="75"/>
    <x v="0"/>
    <s v="Valid"/>
    <n v="61.75"/>
  </r>
  <r>
    <n v="1442"/>
    <x v="19"/>
    <d v="2023-02-16T00:00:00"/>
    <d v="1899-12-30T11:02:00"/>
    <n v="96"/>
    <s v="Female"/>
    <n v="60"/>
    <x v="1"/>
    <n v="4"/>
    <n v="25"/>
    <n v="11.25"/>
    <n v="100"/>
    <x v="0"/>
    <s v="Valid"/>
    <n v="88.75"/>
  </r>
  <r>
    <n v="1607"/>
    <x v="13"/>
    <d v="2023-01-16T00:00:00"/>
    <d v="1899-12-30T10:18:00"/>
    <n v="53"/>
    <s v="Male"/>
    <n v="54"/>
    <x v="1"/>
    <n v="3"/>
    <n v="25"/>
    <n v="7.75"/>
    <n v="75"/>
    <x v="0"/>
    <s v="Valid"/>
    <n v="67.25"/>
  </r>
  <r>
    <n v="941"/>
    <x v="14"/>
    <d v="2023-04-28T00:00:00"/>
    <d v="1899-12-30T09:58:00"/>
    <n v="39"/>
    <s v="Female"/>
    <n v="57"/>
    <x v="1"/>
    <n v="2"/>
    <n v="25"/>
    <n v="6.5"/>
    <n v="50"/>
    <x v="0"/>
    <s v="Valid"/>
    <n v="43.5"/>
  </r>
  <r>
    <n v="1941"/>
    <x v="13"/>
    <d v="2023-01-06T00:00:00"/>
    <d v="1899-12-30T06:14:00"/>
    <n v="48"/>
    <s v="Female"/>
    <n v="57"/>
    <x v="1"/>
    <n v="2"/>
    <n v="25"/>
    <n v="12"/>
    <n v="50"/>
    <x v="0"/>
    <s v="Valid"/>
    <n v="38"/>
  </r>
  <r>
    <n v="175"/>
    <x v="13"/>
    <d v="2023-01-25T00:00:00"/>
    <d v="1899-12-30T10:02:00"/>
    <n v="23"/>
    <s v="Female"/>
    <n v="31"/>
    <x v="2"/>
    <n v="4"/>
    <n v="25"/>
    <n v="12.5"/>
    <n v="100"/>
    <x v="0"/>
    <s v="Valid"/>
    <n v="87.5"/>
  </r>
  <r>
    <n v="1175"/>
    <x v="17"/>
    <d v="2023-06-02T00:00:00"/>
    <d v="1899-12-30T06:38:00"/>
    <n v="103"/>
    <s v="Female"/>
    <n v="31"/>
    <x v="2"/>
    <n v="4"/>
    <n v="25"/>
    <n v="11.5"/>
    <n v="100"/>
    <x v="0"/>
    <s v="Valid"/>
    <n v="88.5"/>
  </r>
  <r>
    <n v="764"/>
    <x v="20"/>
    <d v="2023-11-07T00:00:00"/>
    <d v="1899-12-30T08:46:00"/>
    <n v="47"/>
    <s v="Female"/>
    <n v="40"/>
    <x v="1"/>
    <n v="1"/>
    <n v="25"/>
    <n v="11.25"/>
    <n v="25"/>
    <x v="0"/>
    <s v="Valid"/>
    <n v="13.75"/>
  </r>
  <r>
    <n v="1764"/>
    <x v="20"/>
    <d v="2023-11-02T00:00:00"/>
    <d v="1899-12-30T11:04:00"/>
    <n v="13"/>
    <s v="Female"/>
    <n v="40"/>
    <x v="1"/>
    <n v="1"/>
    <n v="25"/>
    <n v="11.75"/>
    <n v="25"/>
    <x v="0"/>
    <s v="Valid"/>
    <n v="13.25"/>
  </r>
  <r>
    <n v="517"/>
    <x v="21"/>
    <d v="2023-08-20T00:00:00"/>
    <d v="1899-12-30T08:54:00"/>
    <n v="3"/>
    <s v="Female"/>
    <n v="47"/>
    <x v="1"/>
    <n v="4"/>
    <n v="25"/>
    <n v="9.25"/>
    <n v="100"/>
    <x v="0"/>
    <s v="Valid"/>
    <n v="90.75"/>
  </r>
  <r>
    <n v="1517"/>
    <x v="19"/>
    <d v="2023-02-21T00:00:00"/>
    <d v="1899-12-30T08:46:00"/>
    <n v="2"/>
    <s v="Female"/>
    <n v="47"/>
    <x v="1"/>
    <n v="4"/>
    <n v="25"/>
    <n v="6.75"/>
    <n v="100"/>
    <x v="0"/>
    <s v="Valid"/>
    <n v="93.25"/>
  </r>
  <r>
    <n v="486"/>
    <x v="16"/>
    <d v="2023-12-02T00:00:00"/>
    <d v="1899-12-30T09:47:00"/>
    <n v="4"/>
    <s v="Female"/>
    <n v="35"/>
    <x v="2"/>
    <n v="1"/>
    <n v="25"/>
    <n v="6.5"/>
    <n v="25"/>
    <x v="0"/>
    <s v="Valid"/>
    <n v="18.5"/>
  </r>
  <r>
    <n v="1486"/>
    <x v="20"/>
    <d v="2023-11-22T00:00:00"/>
    <d v="1899-12-30T08:58:00"/>
    <n v="4"/>
    <s v="Female"/>
    <n v="35"/>
    <x v="2"/>
    <n v="1"/>
    <n v="25"/>
    <n v="8.75"/>
    <n v="25"/>
    <x v="0"/>
    <s v="Valid"/>
    <n v="16.25"/>
  </r>
  <r>
    <n v="527"/>
    <x v="14"/>
    <d v="2023-04-21T00:00:00"/>
    <d v="1899-12-30T11:35:00"/>
    <n v="1"/>
    <s v="Male"/>
    <n v="57"/>
    <x v="1"/>
    <n v="2"/>
    <n v="25"/>
    <n v="11.5"/>
    <n v="50"/>
    <x v="0"/>
    <s v="Valid"/>
    <n v="38.5"/>
  </r>
  <r>
    <n v="1527"/>
    <x v="22"/>
    <d v="2023-09-29T00:00:00"/>
    <d v="1899-12-30T08:30:00"/>
    <n v="1"/>
    <s v="Male"/>
    <n v="57"/>
    <x v="1"/>
    <n v="2"/>
    <n v="25"/>
    <n v="11.75"/>
    <n v="50"/>
    <x v="0"/>
    <s v="Valid"/>
    <n v="38.25"/>
  </r>
  <r>
    <n v="774"/>
    <x v="20"/>
    <d v="2023-11-06T00:00:00"/>
    <d v="1899-12-30T09:04:00"/>
    <n v="2"/>
    <s v="Female"/>
    <n v="40"/>
    <x v="1"/>
    <n v="2"/>
    <n v="25"/>
    <n v="6.5"/>
    <n v="50"/>
    <x v="0"/>
    <s v="Valid"/>
    <n v="43.5"/>
  </r>
  <r>
    <n v="1774"/>
    <x v="23"/>
    <d v="2023-03-09T00:00:00"/>
    <d v="1899-12-30T06:48:00"/>
    <n v="2"/>
    <s v="Female"/>
    <n v="40"/>
    <x v="1"/>
    <n v="2"/>
    <n v="25"/>
    <n v="8"/>
    <n v="50"/>
    <x v="0"/>
    <s v="Valid"/>
    <n v="42"/>
  </r>
  <r>
    <n v="967"/>
    <x v="21"/>
    <d v="2023-08-04T00:00:00"/>
    <d v="1899-12-30T10:13:00"/>
    <n v="4"/>
    <s v="Male"/>
    <n v="62"/>
    <x v="0"/>
    <n v="1"/>
    <n v="25"/>
    <n v="13.25"/>
    <n v="25"/>
    <x v="0"/>
    <s v="Valid"/>
    <n v="11.75"/>
  </r>
  <r>
    <n v="1967"/>
    <x v="19"/>
    <d v="2023-02-23T00:00:00"/>
    <d v="1899-12-30T08:28:00"/>
    <n v="4"/>
    <s v="Male"/>
    <n v="62"/>
    <x v="0"/>
    <n v="1"/>
    <n v="25"/>
    <n v="12.25"/>
    <n v="25"/>
    <x v="0"/>
    <s v="Valid"/>
    <n v="12.75"/>
  </r>
  <r>
    <n v="406"/>
    <x v="14"/>
    <d v="2023-04-01T00:00:00"/>
    <d v="1899-12-30T11:50:00"/>
    <n v="3"/>
    <s v="Female"/>
    <n v="22"/>
    <x v="0"/>
    <n v="4"/>
    <n v="25"/>
    <n v="11"/>
    <n v="100"/>
    <x v="0"/>
    <s v="Valid"/>
    <n v="89"/>
  </r>
  <r>
    <n v="450"/>
    <x v="16"/>
    <d v="2023-12-01T00:00:00"/>
    <d v="1899-12-30T06:35:00"/>
    <n v="2"/>
    <s v="Female"/>
    <n v="59"/>
    <x v="0"/>
    <n v="2"/>
    <n v="25"/>
    <n v="11"/>
    <n v="50"/>
    <x v="0"/>
    <s v="Valid"/>
    <n v="39"/>
  </r>
  <r>
    <n v="562"/>
    <x v="20"/>
    <d v="2023-11-09T00:00:00"/>
    <d v="1899-12-30T09:26:00"/>
    <n v="3"/>
    <s v="Male"/>
    <n v="54"/>
    <x v="2"/>
    <n v="2"/>
    <n v="25"/>
    <n v="7.25"/>
    <n v="50"/>
    <x v="0"/>
    <s v="Valid"/>
    <n v="42.75"/>
  </r>
  <r>
    <n v="1406"/>
    <x v="17"/>
    <d v="2023-06-22T00:00:00"/>
    <d v="1899-12-30T08:45:00"/>
    <n v="2"/>
    <s v="Female"/>
    <n v="22"/>
    <x v="0"/>
    <n v="4"/>
    <n v="25"/>
    <n v="10"/>
    <n v="100"/>
    <x v="0"/>
    <s v="Valid"/>
    <n v="90"/>
  </r>
  <r>
    <n v="1450"/>
    <x v="15"/>
    <d v="2023-07-16T00:00:00"/>
    <d v="1899-12-30T08:52:00"/>
    <n v="1"/>
    <s v="Female"/>
    <n v="59"/>
    <x v="0"/>
    <n v="2"/>
    <n v="25"/>
    <n v="10.25"/>
    <n v="50"/>
    <x v="0"/>
    <s v="Valid"/>
    <n v="39.75"/>
  </r>
  <r>
    <n v="1562"/>
    <x v="20"/>
    <d v="2023-11-26T00:00:00"/>
    <d v="1899-12-30T10:21:00"/>
    <n v="5"/>
    <s v="Male"/>
    <n v="54"/>
    <x v="2"/>
    <n v="2"/>
    <n v="25"/>
    <n v="12.75"/>
    <n v="50"/>
    <x v="0"/>
    <s v="Valid"/>
    <n v="37.25"/>
  </r>
  <r>
    <n v="108"/>
    <x v="13"/>
    <d v="2023-01-24T00:00:00"/>
    <d v="1899-12-30T09:38:00"/>
    <n v="5"/>
    <s v="Female"/>
    <n v="27"/>
    <x v="0"/>
    <n v="3"/>
    <n v="25"/>
    <n v="13.5"/>
    <n v="75"/>
    <x v="0"/>
    <s v="Valid"/>
    <n v="61.5"/>
  </r>
  <r>
    <n v="207"/>
    <x v="21"/>
    <d v="2023-08-06T00:00:00"/>
    <d v="1899-12-30T08:34:00"/>
    <n v="3"/>
    <s v="Female"/>
    <n v="42"/>
    <x v="0"/>
    <n v="2"/>
    <n v="25"/>
    <n v="10.25"/>
    <n v="50"/>
    <x v="0"/>
    <s v="Valid"/>
    <n v="39.75"/>
  </r>
  <r>
    <n v="1108"/>
    <x v="15"/>
    <d v="2023-07-08T00:00:00"/>
    <d v="1899-12-30T10:27:00"/>
    <n v="1"/>
    <s v="Female"/>
    <n v="27"/>
    <x v="0"/>
    <n v="3"/>
    <n v="25"/>
    <n v="10"/>
    <n v="75"/>
    <x v="0"/>
    <s v="Valid"/>
    <n v="65"/>
  </r>
  <r>
    <n v="1207"/>
    <x v="17"/>
    <d v="2023-06-30T00:00:00"/>
    <d v="1899-12-30T21:48:00"/>
    <n v="3"/>
    <s v="Female"/>
    <n v="42"/>
    <x v="0"/>
    <n v="2"/>
    <n v="25"/>
    <n v="10"/>
    <n v="50"/>
    <x v="0"/>
    <s v="Valid"/>
    <n v="40"/>
  </r>
  <r>
    <n v="246"/>
    <x v="16"/>
    <d v="2023-12-07T00:00:00"/>
    <d v="1899-12-30T20:05:00"/>
    <n v="4"/>
    <s v="Female"/>
    <n v="48"/>
    <x v="2"/>
    <n v="2"/>
    <n v="25"/>
    <n v="13.25"/>
    <n v="50"/>
    <x v="0"/>
    <s v="Valid"/>
    <n v="36.75"/>
  </r>
  <r>
    <n v="374"/>
    <x v="12"/>
    <d v="2023-10-27T00:00:00"/>
    <d v="1899-12-30T17:45:00"/>
    <n v="4"/>
    <s v="Female"/>
    <n v="59"/>
    <x v="0"/>
    <n v="3"/>
    <n v="25"/>
    <n v="7.75"/>
    <n v="75"/>
    <x v="0"/>
    <s v="Valid"/>
    <n v="67.25"/>
  </r>
  <r>
    <n v="1246"/>
    <x v="14"/>
    <d v="2023-04-26T00:00:00"/>
    <d v="1899-12-30T22:54:00"/>
    <n v="3"/>
    <s v="Female"/>
    <n v="48"/>
    <x v="2"/>
    <n v="2"/>
    <n v="25"/>
    <n v="11.5"/>
    <n v="50"/>
    <x v="0"/>
    <s v="Valid"/>
    <n v="38.5"/>
  </r>
  <r>
    <n v="1374"/>
    <x v="23"/>
    <d v="2023-03-23T00:00:00"/>
    <d v="1899-12-30T22:03:00"/>
    <n v="3"/>
    <s v="Female"/>
    <n v="59"/>
    <x v="0"/>
    <n v="3"/>
    <n v="25"/>
    <n v="8.25"/>
    <n v="75"/>
    <x v="0"/>
    <s v="Valid"/>
    <n v="66.75"/>
  </r>
  <r>
    <n v="17"/>
    <x v="19"/>
    <d v="2023-02-25T00:00:00"/>
    <d v="1899-12-30T21:08:00"/>
    <n v="3"/>
    <s v="Female"/>
    <n v="27"/>
    <x v="1"/>
    <n v="4"/>
    <n v="25"/>
    <n v="13"/>
    <n v="100"/>
    <x v="0"/>
    <s v="Valid"/>
    <n v="87"/>
  </r>
  <r>
    <n v="316"/>
    <x v="19"/>
    <d v="2023-02-01T00:00:00"/>
    <d v="1899-12-30T17:25:00"/>
    <n v="3"/>
    <s v="Female"/>
    <n v="48"/>
    <x v="1"/>
    <n v="2"/>
    <n v="25"/>
    <n v="13.75"/>
    <n v="50"/>
    <x v="0"/>
    <s v="Valid"/>
    <n v="36.25"/>
  </r>
  <r>
    <n v="755"/>
    <x v="20"/>
    <d v="2023-11-27T00:00:00"/>
    <d v="1899-12-30T20:07:00"/>
    <n v="1"/>
    <s v="Female"/>
    <n v="58"/>
    <x v="1"/>
    <n v="3"/>
    <n v="25"/>
    <n v="6.75"/>
    <n v="75"/>
    <x v="0"/>
    <s v="Valid"/>
    <n v="68.25"/>
  </r>
  <r>
    <n v="1017"/>
    <x v="22"/>
    <d v="2023-09-05T00:00:00"/>
    <d v="1899-12-30T18:41:00"/>
    <n v="2"/>
    <s v="Female"/>
    <n v="27"/>
    <x v="1"/>
    <n v="4"/>
    <n v="25"/>
    <n v="12"/>
    <n v="100"/>
    <x v="0"/>
    <s v="Valid"/>
    <n v="88"/>
  </r>
  <r>
    <n v="1316"/>
    <x v="15"/>
    <d v="2023-07-21T00:00:00"/>
    <d v="1899-12-30T17:11:00"/>
    <n v="1"/>
    <s v="Female"/>
    <n v="48"/>
    <x v="1"/>
    <n v="2"/>
    <n v="25"/>
    <n v="11.75"/>
    <n v="50"/>
    <x v="0"/>
    <s v="Valid"/>
    <n v="38.25"/>
  </r>
  <r>
    <n v="1755"/>
    <x v="18"/>
    <d v="2023-05-23T00:00:00"/>
    <d v="1899-12-30T21:47:00"/>
    <n v="2"/>
    <s v="Female"/>
    <n v="58"/>
    <x v="1"/>
    <n v="3"/>
    <n v="25"/>
    <n v="8"/>
    <n v="75"/>
    <x v="0"/>
    <s v="Valid"/>
    <n v="67"/>
  </r>
  <r>
    <n v="230"/>
    <x v="23"/>
    <d v="2023-03-26T00:00:00"/>
    <d v="1899-12-30T17:44:00"/>
    <n v="5"/>
    <s v="Male"/>
    <n v="54"/>
    <x v="0"/>
    <n v="1"/>
    <n v="25"/>
    <n v="12.5"/>
    <n v="25"/>
    <x v="0"/>
    <s v="Valid"/>
    <n v="12.5"/>
  </r>
  <r>
    <n v="1230"/>
    <x v="16"/>
    <d v="2023-12-04T00:00:00"/>
    <d v="1899-12-30T21:24:00"/>
    <n v="1"/>
    <s v="Male"/>
    <n v="54"/>
    <x v="0"/>
    <n v="1"/>
    <n v="25"/>
    <n v="13.25"/>
    <n v="25"/>
    <x v="0"/>
    <s v="Valid"/>
    <n v="11.75"/>
  </r>
  <r>
    <n v="863"/>
    <x v="20"/>
    <d v="2023-11-12T00:00:00"/>
    <d v="1899-12-30T22:40:00"/>
    <n v="4"/>
    <s v="Female"/>
    <n v="30"/>
    <x v="2"/>
    <n v="2"/>
    <n v="25"/>
    <n v="11.25"/>
    <n v="50"/>
    <x v="0"/>
    <s v="Valid"/>
    <n v="38.75"/>
  </r>
  <r>
    <n v="1863"/>
    <x v="18"/>
    <d v="2023-05-26T00:00:00"/>
    <d v="1899-12-30T22:33:00"/>
    <n v="4"/>
    <s v="Female"/>
    <n v="30"/>
    <x v="2"/>
    <n v="2"/>
    <n v="25"/>
    <n v="10"/>
    <n v="50"/>
    <x v="0"/>
    <s v="Valid"/>
    <n v="40"/>
  </r>
  <r>
    <n v="102"/>
    <x v="14"/>
    <d v="2023-04-17T00:00:00"/>
    <d v="1899-12-30T21:34:00"/>
    <n v="5"/>
    <s v="Female"/>
    <n v="47"/>
    <x v="0"/>
    <n v="2"/>
    <n v="25"/>
    <n v="7.25"/>
    <n v="50"/>
    <x v="0"/>
    <s v="Valid"/>
    <n v="42.75"/>
  </r>
  <r>
    <n v="236"/>
    <x v="14"/>
    <d v="2023-04-01T00:00:00"/>
    <d v="1899-12-30T22:18:00"/>
    <n v="5"/>
    <s v="Female"/>
    <n v="54"/>
    <x v="1"/>
    <n v="1"/>
    <n v="25"/>
    <n v="6.5"/>
    <n v="25"/>
    <x v="0"/>
    <s v="Valid"/>
    <n v="18.5"/>
  </r>
  <r>
    <n v="1102"/>
    <x v="21"/>
    <d v="2023-08-21T00:00:00"/>
    <d v="1899-12-30T18:04:00"/>
    <n v="5"/>
    <s v="Female"/>
    <n v="47"/>
    <x v="0"/>
    <n v="2"/>
    <n v="25"/>
    <n v="6.5"/>
    <n v="50"/>
    <x v="0"/>
    <s v="Valid"/>
    <n v="43.5"/>
  </r>
  <r>
    <n v="1236"/>
    <x v="21"/>
    <d v="2023-08-09T00:00:00"/>
    <d v="1899-12-30T18:19:00"/>
    <n v="4"/>
    <s v="Female"/>
    <n v="54"/>
    <x v="1"/>
    <n v="1"/>
    <n v="25"/>
    <n v="8.75"/>
    <n v="25"/>
    <x v="0"/>
    <s v="Valid"/>
    <n v="16.25"/>
  </r>
  <r>
    <n v="18"/>
    <x v="22"/>
    <d v="2023-09-06T00:00:00"/>
    <d v="1899-12-30T19:13:00"/>
    <n v="5"/>
    <s v="Female"/>
    <n v="47"/>
    <x v="2"/>
    <n v="2"/>
    <n v="25"/>
    <n v="12.5"/>
    <n v="50"/>
    <x v="0"/>
    <s v="Valid"/>
    <n v="37.5"/>
  </r>
  <r>
    <n v="69"/>
    <x v="20"/>
    <d v="2023-11-14T00:00:00"/>
    <d v="1899-12-30T22:44:00"/>
    <n v="1"/>
    <s v="Female"/>
    <n v="56"/>
    <x v="0"/>
    <n v="3"/>
    <n v="25"/>
    <n v="8.5"/>
    <n v="75"/>
    <x v="0"/>
    <s v="Valid"/>
    <n v="66.5"/>
  </r>
  <r>
    <n v="1018"/>
    <x v="15"/>
    <d v="2023-07-06T00:00:00"/>
    <d v="1899-12-30T19:13:00"/>
    <n v="4"/>
    <s v="Female"/>
    <n v="47"/>
    <x v="2"/>
    <n v="2"/>
    <n v="25"/>
    <n v="13"/>
    <n v="50"/>
    <x v="0"/>
    <s v="Valid"/>
    <n v="37"/>
  </r>
  <r>
    <n v="1069"/>
    <x v="12"/>
    <d v="2023-10-13T00:00:00"/>
    <d v="1899-12-30T19:05:00"/>
    <n v="2"/>
    <s v="Female"/>
    <n v="56"/>
    <x v="0"/>
    <n v="3"/>
    <n v="25"/>
    <n v="6.75"/>
    <n v="75"/>
    <x v="0"/>
    <s v="Valid"/>
    <n v="68.25"/>
  </r>
  <r>
    <n v="585"/>
    <x v="17"/>
    <d v="2023-06-06T00:00:00"/>
    <d v="1899-12-30T21:49:00"/>
    <n v="3"/>
    <s v="Female"/>
    <n v="24"/>
    <x v="1"/>
    <n v="1"/>
    <n v="25"/>
    <n v="13.75"/>
    <n v="25"/>
    <x v="0"/>
    <s v="Valid"/>
    <n v="11.25"/>
  </r>
  <r>
    <n v="1585"/>
    <x v="12"/>
    <d v="2023-10-05T00:00:00"/>
    <d v="1899-12-30T20:00:00"/>
    <n v="2"/>
    <s v="Female"/>
    <n v="24"/>
    <x v="1"/>
    <n v="1"/>
    <n v="25"/>
    <n v="7.25"/>
    <n v="25"/>
    <x v="0"/>
    <s v="Valid"/>
    <n v="17.75"/>
  </r>
  <r>
    <n v="242"/>
    <x v="12"/>
    <d v="2023-10-01T00:00:00"/>
    <d v="1899-12-30T18:28:00"/>
    <n v="1"/>
    <s v="Male"/>
    <n v="21"/>
    <x v="1"/>
    <n v="1"/>
    <n v="25"/>
    <n v="8"/>
    <n v="25"/>
    <x v="0"/>
    <s v="Valid"/>
    <n v="17"/>
  </r>
  <r>
    <n v="1242"/>
    <x v="20"/>
    <d v="2023-11-27T00:00:00"/>
    <d v="1899-12-30T18:32:00"/>
    <n v="5"/>
    <s v="Male"/>
    <n v="21"/>
    <x v="1"/>
    <n v="1"/>
    <n v="25"/>
    <n v="11.25"/>
    <n v="25"/>
    <x v="0"/>
    <s v="Valid"/>
    <n v="13.75"/>
  </r>
  <r>
    <n v="188"/>
    <x v="21"/>
    <d v="2023-08-31T00:00:00"/>
    <d v="1899-12-30T18:50:00"/>
    <n v="3"/>
    <s v="Male"/>
    <n v="40"/>
    <x v="1"/>
    <n v="3"/>
    <n v="25"/>
    <n v="8.5"/>
    <n v="75"/>
    <x v="0"/>
    <s v="Valid"/>
    <n v="66.5"/>
  </r>
  <r>
    <n v="357"/>
    <x v="18"/>
    <d v="2023-05-18T00:00:00"/>
    <d v="1899-12-30T18:57:00"/>
    <n v="4"/>
    <s v="Female"/>
    <n v="40"/>
    <x v="2"/>
    <n v="3"/>
    <n v="25"/>
    <n v="7.5"/>
    <n v="75"/>
    <x v="0"/>
    <s v="Valid"/>
    <n v="67.5"/>
  </r>
  <r>
    <n v="1188"/>
    <x v="17"/>
    <d v="2023-06-04T00:00:00"/>
    <d v="1899-12-30T22:43:00"/>
    <n v="2"/>
    <s v="Male"/>
    <n v="40"/>
    <x v="1"/>
    <n v="3"/>
    <n v="25"/>
    <n v="10.75"/>
    <n v="75"/>
    <x v="0"/>
    <s v="Valid"/>
    <n v="64.25"/>
  </r>
  <r>
    <n v="1357"/>
    <x v="23"/>
    <d v="2023-03-20T00:00:00"/>
    <d v="1899-12-30T19:14:00"/>
    <n v="3"/>
    <s v="Female"/>
    <n v="40"/>
    <x v="2"/>
    <n v="3"/>
    <n v="25"/>
    <n v="11.5"/>
    <n v="75"/>
    <x v="0"/>
    <s v="Valid"/>
    <n v="63.5"/>
  </r>
  <r>
    <n v="849"/>
    <x v="17"/>
    <d v="2023-06-25T00:00:00"/>
    <d v="1899-12-30T19:33:00"/>
    <n v="5"/>
    <s v="Male"/>
    <n v="32"/>
    <x v="1"/>
    <n v="2"/>
    <n v="25"/>
    <n v="12.5"/>
    <n v="50"/>
    <x v="0"/>
    <s v="Valid"/>
    <n v="37.5"/>
  </r>
  <r>
    <n v="1849"/>
    <x v="15"/>
    <d v="2023-07-21T00:00:00"/>
    <d v="1899-12-30T22:42:00"/>
    <n v="1"/>
    <s v="Male"/>
    <n v="32"/>
    <x v="1"/>
    <n v="2"/>
    <n v="25"/>
    <n v="12"/>
    <n v="50"/>
    <x v="0"/>
    <s v="Valid"/>
    <n v="38"/>
  </r>
  <r>
    <n v="744"/>
    <x v="18"/>
    <d v="2023-05-23T00:00:00"/>
    <d v="1899-12-30T18:02:00"/>
    <n v="1"/>
    <s v="Male"/>
    <n v="40"/>
    <x v="2"/>
    <n v="1"/>
    <n v="25"/>
    <n v="6.5"/>
    <n v="25"/>
    <x v="0"/>
    <s v="Valid"/>
    <n v="18.5"/>
  </r>
  <r>
    <n v="1744"/>
    <x v="15"/>
    <d v="2023-07-07T00:00:00"/>
    <d v="1899-12-30T21:49:00"/>
    <n v="4"/>
    <s v="Male"/>
    <n v="40"/>
    <x v="2"/>
    <n v="1"/>
    <n v="25"/>
    <n v="8.75"/>
    <n v="25"/>
    <x v="0"/>
    <s v="Valid"/>
    <n v="16.25"/>
  </r>
  <r>
    <n v="469"/>
    <x v="23"/>
    <d v="2023-03-21T00:00:00"/>
    <d v="1899-12-30T19:24:00"/>
    <n v="4"/>
    <s v="Male"/>
    <n v="18"/>
    <x v="0"/>
    <n v="3"/>
    <n v="25"/>
    <n v="8.75"/>
    <n v="75"/>
    <x v="0"/>
    <s v="Valid"/>
    <n v="66.25"/>
  </r>
  <r>
    <n v="620"/>
    <x v="20"/>
    <d v="2023-11-06T00:00:00"/>
    <d v="1899-12-30T20:59:00"/>
    <n v="4"/>
    <s v="Male"/>
    <n v="63"/>
    <x v="2"/>
    <n v="3"/>
    <n v="25"/>
    <n v="7"/>
    <n v="75"/>
    <x v="0"/>
    <s v="Valid"/>
    <n v="68"/>
  </r>
  <r>
    <n v="1469"/>
    <x v="16"/>
    <d v="2023-12-08T00:00:00"/>
    <d v="1899-12-30T17:22:00"/>
    <n v="3"/>
    <s v="Male"/>
    <n v="18"/>
    <x v="0"/>
    <n v="3"/>
    <n v="25"/>
    <n v="12.5"/>
    <n v="75"/>
    <x v="0"/>
    <s v="Valid"/>
    <n v="62.5"/>
  </r>
  <r>
    <n v="1620"/>
    <x v="19"/>
    <d v="2023-02-03T00:00:00"/>
    <d v="1899-12-30T22:48:00"/>
    <n v="5"/>
    <s v="Male"/>
    <n v="63"/>
    <x v="2"/>
    <n v="3"/>
    <n v="25"/>
    <n v="7.75"/>
    <n v="75"/>
    <x v="0"/>
    <s v="Valid"/>
    <n v="67.25"/>
  </r>
  <r>
    <n v="414"/>
    <x v="18"/>
    <d v="2023-05-10T00:00:00"/>
    <d v="1899-12-30T19:40:00"/>
    <n v="1"/>
    <s v="Male"/>
    <n v="48"/>
    <x v="0"/>
    <n v="4"/>
    <n v="25"/>
    <n v="9.75"/>
    <n v="100"/>
    <x v="0"/>
    <s v="Valid"/>
    <n v="90.25"/>
  </r>
  <r>
    <n v="1414"/>
    <x v="20"/>
    <d v="2023-11-22T00:00:00"/>
    <d v="1899-12-30T21:28:00"/>
    <n v="4"/>
    <s v="Male"/>
    <n v="48"/>
    <x v="0"/>
    <n v="4"/>
    <n v="25"/>
    <n v="11.25"/>
    <n v="100"/>
    <x v="0"/>
    <s v="Valid"/>
    <n v="88.75"/>
  </r>
  <r>
    <n v="758"/>
    <x v="14"/>
    <d v="2023-04-23T00:00:00"/>
    <d v="1899-12-30T18:30:00"/>
    <n v="1"/>
    <s v="Male"/>
    <n v="64"/>
    <x v="1"/>
    <n v="4"/>
    <n v="25"/>
    <n v="6.75"/>
    <n v="100"/>
    <x v="0"/>
    <s v="Valid"/>
    <n v="93.25"/>
  </r>
  <r>
    <n v="1758"/>
    <x v="15"/>
    <d v="2023-07-22T00:00:00"/>
    <d v="1899-12-30T18:19:00"/>
    <n v="3"/>
    <s v="Male"/>
    <n v="64"/>
    <x v="1"/>
    <n v="4"/>
    <n v="25"/>
    <n v="7.5"/>
    <n v="100"/>
    <x v="0"/>
    <s v="Valid"/>
    <n v="92.5"/>
  </r>
  <r>
    <n v="811"/>
    <x v="14"/>
    <d v="2023-04-15T00:00:00"/>
    <d v="1899-12-30T18:34:00"/>
    <n v="2"/>
    <s v="Male"/>
    <n v="61"/>
    <x v="0"/>
    <n v="2"/>
    <n v="25"/>
    <n v="6.75"/>
    <n v="50"/>
    <x v="0"/>
    <s v="Valid"/>
    <n v="43.25"/>
  </r>
  <r>
    <n v="1811"/>
    <x v="16"/>
    <d v="2023-12-09T00:00:00"/>
    <d v="1899-12-30T21:58:00"/>
    <n v="5"/>
    <s v="Male"/>
    <n v="61"/>
    <x v="0"/>
    <n v="2"/>
    <n v="25"/>
    <n v="8.5"/>
    <n v="50"/>
    <x v="0"/>
    <s v="Valid"/>
    <n v="41.5"/>
  </r>
  <r>
    <n v="653"/>
    <x v="20"/>
    <d v="2023-11-25T00:00:00"/>
    <d v="1899-12-30T22:53:00"/>
    <n v="3"/>
    <s v="Male"/>
    <n v="54"/>
    <x v="1"/>
    <n v="3"/>
    <n v="25"/>
    <n v="9.25"/>
    <n v="75"/>
    <x v="0"/>
    <s v="Valid"/>
    <n v="65.75"/>
  </r>
  <r>
    <n v="694"/>
    <x v="17"/>
    <d v="2023-06-30T00:00:00"/>
    <d v="1899-12-30T17:47:00"/>
    <n v="3"/>
    <s v="Female"/>
    <n v="39"/>
    <x v="2"/>
    <n v="2"/>
    <n v="25"/>
    <n v="10"/>
    <n v="50"/>
    <x v="0"/>
    <s v="Valid"/>
    <n v="40"/>
  </r>
  <r>
    <n v="1653"/>
    <x v="15"/>
    <d v="2023-07-23T00:00:00"/>
    <d v="1899-12-30T19:34:00"/>
    <n v="2"/>
    <s v="Male"/>
    <n v="54"/>
    <x v="1"/>
    <n v="3"/>
    <n v="25"/>
    <n v="12.75"/>
    <n v="75"/>
    <x v="0"/>
    <s v="Valid"/>
    <n v="62.25"/>
  </r>
  <r>
    <n v="1694"/>
    <x v="13"/>
    <d v="2023-01-10T00:00:00"/>
    <d v="1899-12-30T19:22:00"/>
    <n v="4"/>
    <s v="Female"/>
    <n v="39"/>
    <x v="2"/>
    <n v="2"/>
    <n v="25"/>
    <n v="9.75"/>
    <n v="50"/>
    <x v="0"/>
    <s v="Valid"/>
    <n v="40.25"/>
  </r>
  <r>
    <n v="642"/>
    <x v="18"/>
    <d v="2023-05-04T00:00:00"/>
    <d v="1899-12-30T21:40:00"/>
    <n v="1"/>
    <s v="Female"/>
    <n v="54"/>
    <x v="1"/>
    <n v="4"/>
    <n v="25"/>
    <n v="12"/>
    <n v="100"/>
    <x v="0"/>
    <s v="Valid"/>
    <n v="88"/>
  </r>
  <r>
    <n v="1642"/>
    <x v="16"/>
    <d v="2023-12-27T00:00:00"/>
    <d v="1899-12-30T18:30:00"/>
    <n v="4"/>
    <s v="Female"/>
    <n v="54"/>
    <x v="1"/>
    <n v="4"/>
    <n v="25"/>
    <n v="11.5"/>
    <n v="100"/>
    <x v="0"/>
    <s v="Valid"/>
    <n v="88.5"/>
  </r>
  <r>
    <n v="37"/>
    <x v="18"/>
    <d v="2023-05-26T00:00:00"/>
    <d v="1899-12-30T22:42:00"/>
    <n v="2"/>
    <s v="Female"/>
    <n v="18"/>
    <x v="0"/>
    <n v="3"/>
    <n v="25"/>
    <n v="8.75"/>
    <n v="75"/>
    <x v="0"/>
    <s v="Valid"/>
    <n v="66.25"/>
  </r>
  <r>
    <n v="1037"/>
    <x v="12"/>
    <d v="2023-10-17T00:00:00"/>
    <d v="1899-12-30T17:38:00"/>
    <n v="2"/>
    <s v="Female"/>
    <n v="18"/>
    <x v="0"/>
    <n v="3"/>
    <n v="25"/>
    <n v="11.5"/>
    <n v="75"/>
    <x v="0"/>
    <s v="Valid"/>
    <n v="63.5"/>
  </r>
  <r>
    <n v="840"/>
    <x v="15"/>
    <d v="2023-07-01T00:00:00"/>
    <d v="1899-12-30T18:59:00"/>
    <n v="60"/>
    <s v="Male"/>
    <n v="62"/>
    <x v="1"/>
    <n v="2"/>
    <n v="25"/>
    <n v="11.75"/>
    <n v="50"/>
    <x v="0"/>
    <s v="Valid"/>
    <n v="38.25"/>
  </r>
  <r>
    <n v="1840"/>
    <x v="18"/>
    <d v="2023-05-12T00:00:00"/>
    <d v="1899-12-30T20:22:00"/>
    <n v="138"/>
    <s v="Male"/>
    <n v="62"/>
    <x v="1"/>
    <n v="2"/>
    <n v="25"/>
    <n v="11"/>
    <n v="50"/>
    <x v="0"/>
    <s v="Valid"/>
    <n v="39"/>
  </r>
  <r>
    <n v="307"/>
    <x v="6"/>
    <d v="2022-11-11T00:00:00"/>
    <d v="1899-12-30T22:54:00"/>
    <n v="32"/>
    <s v="Female"/>
    <n v="26"/>
    <x v="2"/>
    <n v="2"/>
    <n v="25"/>
    <n v="8.5"/>
    <n v="50"/>
    <x v="0"/>
    <s v="Valid"/>
    <n v="41.5"/>
  </r>
  <r>
    <n v="1307"/>
    <x v="11"/>
    <d v="2022-01-29T00:00:00"/>
    <d v="1899-12-30T22:11:00"/>
    <n v="68"/>
    <s v="Female"/>
    <n v="26"/>
    <x v="2"/>
    <n v="2"/>
    <n v="25"/>
    <n v="11.75"/>
    <n v="50"/>
    <x v="0"/>
    <s v="Valid"/>
    <n v="38.25"/>
  </r>
  <r>
    <n v="988"/>
    <x v="1"/>
    <d v="2022-08-05T00:00:00"/>
    <d v="1899-12-30T18:41:00"/>
    <n v="85"/>
    <s v="Female"/>
    <n v="63"/>
    <x v="1"/>
    <n v="3"/>
    <n v="25"/>
    <n v="8"/>
    <n v="75"/>
    <x v="0"/>
    <s v="Valid"/>
    <n v="67"/>
  </r>
  <r>
    <n v="1988"/>
    <x v="20"/>
    <d v="2023-11-30T00:00:00"/>
    <d v="1899-12-30T18:47:00"/>
    <n v="144"/>
    <s v="Female"/>
    <n v="63"/>
    <x v="1"/>
    <n v="3"/>
    <n v="25"/>
    <n v="7.25"/>
    <n v="75"/>
    <x v="0"/>
    <s v="Valid"/>
    <n v="67.75"/>
  </r>
  <r>
    <n v="985"/>
    <x v="17"/>
    <d v="2023-06-13T00:00:00"/>
    <d v="1899-12-30T22:33:00"/>
    <n v="113"/>
    <s v="Female"/>
    <n v="19"/>
    <x v="2"/>
    <n v="2"/>
    <n v="25"/>
    <n v="9"/>
    <n v="50"/>
    <x v="0"/>
    <s v="Valid"/>
    <n v="41"/>
  </r>
  <r>
    <n v="1985"/>
    <x v="23"/>
    <d v="2023-03-31T00:00:00"/>
    <d v="1899-12-30T20:15:00"/>
    <n v="113"/>
    <s v="Female"/>
    <n v="19"/>
    <x v="2"/>
    <n v="2"/>
    <n v="25"/>
    <n v="9.75"/>
    <n v="50"/>
    <x v="0"/>
    <s v="Valid"/>
    <n v="40.25"/>
  </r>
  <r>
    <n v="545"/>
    <x v="16"/>
    <d v="2023-12-19T00:00:00"/>
    <d v="1899-12-30T17:18:00"/>
    <n v="61"/>
    <s v="Male"/>
    <n v="27"/>
    <x v="1"/>
    <n v="2"/>
    <n v="25"/>
    <n v="8.25"/>
    <n v="50"/>
    <x v="0"/>
    <s v="Valid"/>
    <n v="41.75"/>
  </r>
  <r>
    <n v="1545"/>
    <x v="15"/>
    <d v="2023-07-15T00:00:00"/>
    <d v="1899-12-30T18:21:00"/>
    <n v="16"/>
    <s v="Male"/>
    <n v="27"/>
    <x v="1"/>
    <n v="2"/>
    <n v="25"/>
    <n v="8.25"/>
    <n v="50"/>
    <x v="0"/>
    <s v="Valid"/>
    <n v="41.75"/>
  </r>
  <r>
    <n v="170"/>
    <x v="22"/>
    <d v="2023-09-21T00:00:00"/>
    <d v="1899-12-30T20:46:00"/>
    <n v="125"/>
    <s v="Female"/>
    <n v="25"/>
    <x v="1"/>
    <n v="2"/>
    <n v="25"/>
    <n v="12.5"/>
    <n v="50"/>
    <x v="0"/>
    <s v="Valid"/>
    <n v="37.5"/>
  </r>
  <r>
    <n v="685"/>
    <x v="15"/>
    <d v="2023-07-04T00:00:00"/>
    <d v="1899-12-30T22:15:00"/>
    <n v="90"/>
    <s v="Male"/>
    <n v="57"/>
    <x v="2"/>
    <n v="2"/>
    <n v="25"/>
    <n v="7.75"/>
    <n v="50"/>
    <x v="0"/>
    <s v="Valid"/>
    <n v="42.25"/>
  </r>
  <r>
    <n v="958"/>
    <x v="11"/>
    <d v="2022-01-01T00:00:00"/>
    <d v="1899-12-30T21:14:00"/>
    <n v="116"/>
    <s v="Male"/>
    <n v="62"/>
    <x v="2"/>
    <n v="2"/>
    <n v="25"/>
    <n v="11"/>
    <n v="50"/>
    <x v="0"/>
    <s v="Valid"/>
    <n v="39"/>
  </r>
  <r>
    <n v="1170"/>
    <x v="13"/>
    <d v="2023-01-06T00:00:00"/>
    <d v="1899-12-30T17:13:00"/>
    <n v="96"/>
    <s v="Female"/>
    <n v="25"/>
    <x v="1"/>
    <n v="2"/>
    <n v="25"/>
    <n v="8"/>
    <n v="50"/>
    <x v="0"/>
    <s v="Valid"/>
    <n v="42"/>
  </r>
  <r>
    <n v="1685"/>
    <x v="4"/>
    <d v="2022-04-20T00:00:00"/>
    <d v="1899-12-30T20:32:00"/>
    <n v="76"/>
    <s v="Male"/>
    <n v="57"/>
    <x v="2"/>
    <n v="2"/>
    <n v="25"/>
    <n v="8.75"/>
    <n v="50"/>
    <x v="0"/>
    <s v="Valid"/>
    <n v="41.25"/>
  </r>
  <r>
    <n v="1958"/>
    <x v="6"/>
    <d v="2022-11-27T00:00:00"/>
    <d v="1899-12-30T19:19:00"/>
    <n v="125"/>
    <s v="Male"/>
    <n v="62"/>
    <x v="2"/>
    <n v="2"/>
    <n v="25"/>
    <n v="11.75"/>
    <n v="50"/>
    <x v="0"/>
    <s v="Valid"/>
    <n v="38.25"/>
  </r>
  <r>
    <n v="363"/>
    <x v="0"/>
    <d v="2022-05-23T00:00:00"/>
    <d v="1899-12-30T22:51:00"/>
    <n v="92"/>
    <s v="Male"/>
    <n v="64"/>
    <x v="0"/>
    <n v="1"/>
    <n v="25"/>
    <n v="13.5"/>
    <n v="25"/>
    <x v="0"/>
    <s v="Valid"/>
    <n v="11.5"/>
  </r>
  <r>
    <n v="1363"/>
    <x v="15"/>
    <d v="2023-07-04T00:00:00"/>
    <d v="1899-12-30T20:27:00"/>
    <n v="33"/>
    <s v="Male"/>
    <n v="64"/>
    <x v="0"/>
    <n v="1"/>
    <n v="25"/>
    <n v="7.75"/>
    <n v="25"/>
    <x v="0"/>
    <s v="Valid"/>
    <n v="17.25"/>
  </r>
  <r>
    <n v="944"/>
    <x v="1"/>
    <d v="2022-08-23T00:00:00"/>
    <d v="1899-12-30T20:22:00"/>
    <n v="136"/>
    <s v="Male"/>
    <n v="44"/>
    <x v="1"/>
    <n v="2"/>
    <n v="25"/>
    <n v="12"/>
    <n v="50"/>
    <x v="0"/>
    <s v="Valid"/>
    <n v="38"/>
  </r>
  <r>
    <n v="1944"/>
    <x v="15"/>
    <d v="2023-07-18T00:00:00"/>
    <d v="1899-12-30T21:08:00"/>
    <n v="63"/>
    <s v="Male"/>
    <n v="44"/>
    <x v="1"/>
    <n v="2"/>
    <n v="25"/>
    <n v="6.5"/>
    <n v="50"/>
    <x v="0"/>
    <s v="Valid"/>
    <n v="43.5"/>
  </r>
  <r>
    <n v="882"/>
    <x v="12"/>
    <d v="2023-10-22T00:00:00"/>
    <d v="1899-12-30T21:41:00"/>
    <n v="144"/>
    <s v="Female"/>
    <n v="64"/>
    <x v="2"/>
    <n v="2"/>
    <n v="25"/>
    <n v="13.25"/>
    <n v="50"/>
    <x v="0"/>
    <s v="Valid"/>
    <n v="36.75"/>
  </r>
  <r>
    <n v="1882"/>
    <x v="17"/>
    <d v="2023-06-21T00:00:00"/>
    <d v="1899-12-30T20:56:00"/>
    <n v="15"/>
    <s v="Female"/>
    <n v="64"/>
    <x v="2"/>
    <n v="2"/>
    <n v="25"/>
    <n v="9"/>
    <n v="50"/>
    <x v="0"/>
    <s v="Valid"/>
    <n v="41"/>
  </r>
  <r>
    <n v="321"/>
    <x v="22"/>
    <d v="2023-09-24T00:00:00"/>
    <d v="1899-12-30T19:53:00"/>
    <n v="30"/>
    <s v="Female"/>
    <n v="26"/>
    <x v="2"/>
    <n v="2"/>
    <n v="25"/>
    <n v="9.5"/>
    <n v="50"/>
    <x v="0"/>
    <s v="Valid"/>
    <n v="40.5"/>
  </r>
  <r>
    <n v="1321"/>
    <x v="14"/>
    <d v="2023-04-23T00:00:00"/>
    <d v="1899-12-30T22:54:00"/>
    <n v="155"/>
    <s v="Female"/>
    <n v="26"/>
    <x v="2"/>
    <n v="2"/>
    <n v="25"/>
    <n v="10.5"/>
    <n v="50"/>
    <x v="0"/>
    <s v="Valid"/>
    <n v="39.5"/>
  </r>
  <r>
    <n v="887"/>
    <x v="5"/>
    <d v="2022-02-24T00:00:00"/>
    <d v="1899-12-30T19:20:00"/>
    <n v="44"/>
    <s v="Male"/>
    <n v="59"/>
    <x v="1"/>
    <n v="4"/>
    <n v="25"/>
    <n v="10"/>
    <n v="100"/>
    <x v="0"/>
    <s v="Valid"/>
    <n v="90"/>
  </r>
  <r>
    <n v="1887"/>
    <x v="16"/>
    <d v="2023-12-11T00:00:00"/>
    <d v="1899-12-30T19:34:00"/>
    <n v="113"/>
    <s v="Male"/>
    <n v="59"/>
    <x v="1"/>
    <n v="4"/>
    <n v="25"/>
    <n v="10"/>
    <n v="100"/>
    <x v="0"/>
    <s v="Valid"/>
    <n v="90"/>
  </r>
  <r>
    <n v="629"/>
    <x v="13"/>
    <d v="2023-01-05T00:00:00"/>
    <d v="1899-12-30T19:55:00"/>
    <n v="39"/>
    <s v="Male"/>
    <n v="62"/>
    <x v="2"/>
    <n v="2"/>
    <n v="25"/>
    <n v="8"/>
    <n v="50"/>
    <x v="0"/>
    <s v="Valid"/>
    <n v="42"/>
  </r>
  <r>
    <n v="1629"/>
    <x v="5"/>
    <d v="2022-02-17T00:00:00"/>
    <d v="1899-12-30T20:18:00"/>
    <n v="144"/>
    <s v="Male"/>
    <n v="62"/>
    <x v="2"/>
    <n v="2"/>
    <n v="25"/>
    <n v="10.75"/>
    <n v="50"/>
    <x v="0"/>
    <s v="Valid"/>
    <n v="39.25"/>
  </r>
  <r>
    <n v="498"/>
    <x v="2"/>
    <d v="2022-03-22T00:00:00"/>
    <d v="1899-12-30T22:20:00"/>
    <n v="41"/>
    <s v="Female"/>
    <n v="50"/>
    <x v="1"/>
    <n v="4"/>
    <n v="25"/>
    <n v="8.25"/>
    <n v="100"/>
    <x v="0"/>
    <s v="Valid"/>
    <n v="91.75"/>
  </r>
  <r>
    <n v="877"/>
    <x v="8"/>
    <d v="2022-10-01T00:00:00"/>
    <d v="1899-12-30T19:52:00"/>
    <n v="134"/>
    <s v="Female"/>
    <n v="58"/>
    <x v="1"/>
    <n v="1"/>
    <n v="25"/>
    <n v="6.75"/>
    <n v="25"/>
    <x v="0"/>
    <s v="Valid"/>
    <n v="18.25"/>
  </r>
  <r>
    <n v="1498"/>
    <x v="1"/>
    <d v="2022-08-29T00:00:00"/>
    <d v="1899-12-30T17:08:00"/>
    <n v="51"/>
    <s v="Female"/>
    <n v="50"/>
    <x v="1"/>
    <n v="4"/>
    <n v="25"/>
    <n v="12.5"/>
    <n v="100"/>
    <x v="0"/>
    <s v="Valid"/>
    <n v="87.5"/>
  </r>
  <r>
    <n v="1877"/>
    <x v="13"/>
    <d v="2023-01-25T00:00:00"/>
    <d v="1899-12-30T20:19:00"/>
    <n v="72"/>
    <s v="Female"/>
    <n v="58"/>
    <x v="1"/>
    <n v="1"/>
    <n v="25"/>
    <n v="10.5"/>
    <n v="25"/>
    <x v="0"/>
    <s v="Valid"/>
    <n v="14.5"/>
  </r>
  <r>
    <n v="466"/>
    <x v="13"/>
    <d v="2023-01-11T00:00:00"/>
    <d v="1899-12-30T21:52:00"/>
    <n v="66"/>
    <s v="Male"/>
    <n v="63"/>
    <x v="2"/>
    <n v="4"/>
    <n v="25"/>
    <n v="13.75"/>
    <n v="100"/>
    <x v="0"/>
    <s v="Valid"/>
    <n v="86.25"/>
  </r>
  <r>
    <n v="1466"/>
    <x v="13"/>
    <d v="2023-01-16T00:00:00"/>
    <d v="1899-12-30T22:27:00"/>
    <n v="64"/>
    <s v="Male"/>
    <n v="63"/>
    <x v="2"/>
    <n v="4"/>
    <n v="25"/>
    <n v="10.75"/>
    <n v="100"/>
    <x v="0"/>
    <s v="Valid"/>
    <n v="89.25"/>
  </r>
  <r>
    <n v="583"/>
    <x v="11"/>
    <d v="2022-01-28T00:00:00"/>
    <d v="1899-12-30T19:44:00"/>
    <n v="131"/>
    <s v="Female"/>
    <n v="24"/>
    <x v="2"/>
    <n v="4"/>
    <n v="25"/>
    <n v="7.75"/>
    <n v="100"/>
    <x v="0"/>
    <s v="Valid"/>
    <n v="92.25"/>
  </r>
  <r>
    <n v="654"/>
    <x v="21"/>
    <d v="2023-08-14T00:00:00"/>
    <d v="1899-12-30T17:40:00"/>
    <n v="92"/>
    <s v="Male"/>
    <n v="42"/>
    <x v="1"/>
    <n v="3"/>
    <n v="25"/>
    <n v="9.25"/>
    <n v="75"/>
    <x v="0"/>
    <s v="Valid"/>
    <n v="65.75"/>
  </r>
  <r>
    <n v="1583"/>
    <x v="20"/>
    <d v="2023-11-12T00:00:00"/>
    <d v="1899-12-30T22:54:00"/>
    <n v="102"/>
    <s v="Female"/>
    <n v="24"/>
    <x v="2"/>
    <n v="4"/>
    <n v="25"/>
    <n v="13"/>
    <n v="100"/>
    <x v="0"/>
    <s v="Valid"/>
    <n v="87"/>
  </r>
  <r>
    <n v="1654"/>
    <x v="12"/>
    <d v="2023-10-13T00:00:00"/>
    <d v="1899-12-30T20:47:00"/>
    <n v="111"/>
    <s v="Male"/>
    <n v="42"/>
    <x v="1"/>
    <n v="3"/>
    <n v="25"/>
    <n v="6.25"/>
    <n v="75"/>
    <x v="0"/>
    <s v="Valid"/>
    <n v="68.75"/>
  </r>
  <r>
    <n v="492"/>
    <x v="16"/>
    <d v="2023-12-16T00:00:00"/>
    <d v="1899-12-30T17:52:00"/>
    <n v="4"/>
    <s v="Male"/>
    <n v="61"/>
    <x v="0"/>
    <n v="4"/>
    <n v="25"/>
    <n v="6.5"/>
    <n v="100"/>
    <x v="0"/>
    <s v="Valid"/>
    <n v="93.5"/>
  </r>
  <r>
    <n v="1492"/>
    <x v="21"/>
    <d v="2023-08-26T00:00:00"/>
    <d v="1899-12-30T22:09:00"/>
    <n v="146"/>
    <s v="Male"/>
    <n v="61"/>
    <x v="0"/>
    <n v="4"/>
    <n v="25"/>
    <n v="10"/>
    <n v="100"/>
    <x v="0"/>
    <s v="Valid"/>
    <n v="90"/>
  </r>
  <r>
    <n v="455"/>
    <x v="20"/>
    <d v="2023-11-21T00:00:00"/>
    <d v="1899-12-30T19:15:00"/>
    <n v="134"/>
    <s v="Male"/>
    <n v="31"/>
    <x v="2"/>
    <n v="4"/>
    <n v="25"/>
    <n v="13.25"/>
    <n v="100"/>
    <x v="0"/>
    <s v="Valid"/>
    <n v="86.75"/>
  </r>
  <r>
    <n v="1455"/>
    <x v="1"/>
    <d v="2022-08-27T00:00:00"/>
    <d v="1899-12-30T21:35:00"/>
    <n v="32"/>
    <s v="Male"/>
    <n v="31"/>
    <x v="2"/>
    <n v="4"/>
    <n v="25"/>
    <n v="13.75"/>
    <n v="100"/>
    <x v="0"/>
    <s v="Valid"/>
    <n v="86.25"/>
  </r>
  <r>
    <n v="381"/>
    <x v="11"/>
    <d v="2022-01-30T00:00:00"/>
    <d v="1899-12-30T19:05:00"/>
    <n v="63"/>
    <s v="Female"/>
    <n v="44"/>
    <x v="1"/>
    <n v="4"/>
    <n v="25"/>
    <n v="12.25"/>
    <n v="100"/>
    <x v="0"/>
    <s v="Valid"/>
    <n v="87.75"/>
  </r>
  <r>
    <n v="439"/>
    <x v="0"/>
    <d v="2022-05-06T00:00:00"/>
    <d v="1899-12-30T21:46:00"/>
    <n v="42"/>
    <s v="Male"/>
    <n v="50"/>
    <x v="1"/>
    <n v="3"/>
    <n v="25"/>
    <n v="11.75"/>
    <n v="75"/>
    <x v="0"/>
    <s v="Valid"/>
    <n v="63.25"/>
  </r>
  <r>
    <n v="1381"/>
    <x v="8"/>
    <d v="2022-10-26T00:00:00"/>
    <d v="1899-12-30T17:26:00"/>
    <n v="48"/>
    <s v="Female"/>
    <n v="44"/>
    <x v="1"/>
    <n v="4"/>
    <n v="25"/>
    <n v="7.75"/>
    <n v="100"/>
    <x v="0"/>
    <s v="Valid"/>
    <n v="92.25"/>
  </r>
  <r>
    <n v="1439"/>
    <x v="20"/>
    <d v="2023-11-18T00:00:00"/>
    <d v="1899-12-30T20:53:00"/>
    <n v="76"/>
    <s v="Male"/>
    <n v="50"/>
    <x v="1"/>
    <n v="3"/>
    <n v="25"/>
    <n v="7.25"/>
    <n v="75"/>
    <x v="0"/>
    <s v="Valid"/>
    <n v="67.75"/>
  </r>
  <r>
    <n v="71"/>
    <x v="19"/>
    <d v="2023-02-16T00:00:00"/>
    <d v="1899-12-30T19:11:00"/>
    <n v="32"/>
    <s v="Female"/>
    <n v="51"/>
    <x v="0"/>
    <n v="4"/>
    <n v="25"/>
    <n v="11.5"/>
    <n v="100"/>
    <x v="0"/>
    <s v="Valid"/>
    <n v="88.5"/>
  </r>
  <r>
    <n v="955"/>
    <x v="11"/>
    <d v="2022-01-16T00:00:00"/>
    <d v="1899-12-30T17:57:00"/>
    <n v="16"/>
    <s v="Male"/>
    <n v="58"/>
    <x v="1"/>
    <n v="1"/>
    <n v="25"/>
    <n v="12.5"/>
    <n v="25"/>
    <x v="0"/>
    <s v="Valid"/>
    <n v="12.5"/>
  </r>
  <r>
    <n v="1071"/>
    <x v="22"/>
    <d v="2023-09-21T00:00:00"/>
    <d v="1899-12-30T17:38:00"/>
    <n v="155"/>
    <s v="Female"/>
    <n v="51"/>
    <x v="0"/>
    <n v="4"/>
    <n v="25"/>
    <n v="6.75"/>
    <n v="100"/>
    <x v="0"/>
    <s v="Valid"/>
    <n v="93.25"/>
  </r>
  <r>
    <n v="1955"/>
    <x v="3"/>
    <d v="2022-09-15T00:00:00"/>
    <d v="1899-12-30T21:11:00"/>
    <n v="134"/>
    <s v="Male"/>
    <n v="58"/>
    <x v="1"/>
    <n v="1"/>
    <n v="25"/>
    <n v="6.5"/>
    <n v="25"/>
    <x v="0"/>
    <s v="Valid"/>
    <n v="18.5"/>
  </r>
  <r>
    <n v="661"/>
    <x v="1"/>
    <d v="2022-08-05T00:00:00"/>
    <d v="1899-12-30T22:09:00"/>
    <n v="10"/>
    <s v="Female"/>
    <n v="44"/>
    <x v="1"/>
    <n v="4"/>
    <n v="25"/>
    <n v="7"/>
    <n v="100"/>
    <x v="0"/>
    <s v="Valid"/>
    <n v="93"/>
  </r>
  <r>
    <n v="1661"/>
    <x v="15"/>
    <d v="2023-07-07T00:00:00"/>
    <d v="1899-12-30T19:18:00"/>
    <n v="20"/>
    <s v="Female"/>
    <n v="44"/>
    <x v="1"/>
    <n v="4"/>
    <n v="25"/>
    <n v="6.25"/>
    <n v="100"/>
    <x v="0"/>
    <s v="Valid"/>
    <n v="93.75"/>
  </r>
  <r>
    <n v="114"/>
    <x v="4"/>
    <d v="2022-04-17T00:00:00"/>
    <d v="1899-12-30T20:57:00"/>
    <n v="92"/>
    <s v="Female"/>
    <n v="22"/>
    <x v="0"/>
    <n v="4"/>
    <n v="25"/>
    <n v="9.25"/>
    <n v="100"/>
    <x v="0"/>
    <s v="Valid"/>
    <n v="90.75"/>
  </r>
  <r>
    <n v="1114"/>
    <x v="1"/>
    <d v="2022-08-18T00:00:00"/>
    <d v="1899-12-30T22:19:00"/>
    <n v="100"/>
    <s v="Female"/>
    <n v="22"/>
    <x v="0"/>
    <n v="4"/>
    <n v="25"/>
    <n v="12"/>
    <n v="100"/>
    <x v="0"/>
    <s v="Valid"/>
    <n v="88"/>
  </r>
  <r>
    <n v="127"/>
    <x v="18"/>
    <d v="2023-05-20T00:00:00"/>
    <d v="1899-12-30T19:37:00"/>
    <n v="40"/>
    <s v="Female"/>
    <n v="33"/>
    <x v="1"/>
    <n v="2"/>
    <n v="25"/>
    <n v="7.5"/>
    <n v="50"/>
    <x v="0"/>
    <s v="Valid"/>
    <n v="42.5"/>
  </r>
  <r>
    <n v="1127"/>
    <x v="2"/>
    <d v="2022-03-15T00:00:00"/>
    <d v="1899-12-30T19:26:00"/>
    <n v="87"/>
    <s v="Female"/>
    <n v="33"/>
    <x v="1"/>
    <n v="2"/>
    <n v="25"/>
    <n v="13"/>
    <n v="50"/>
    <x v="0"/>
    <s v="Valid"/>
    <n v="37"/>
  </r>
  <r>
    <n v="980"/>
    <x v="8"/>
    <d v="2022-10-14T00:00:00"/>
    <d v="1899-12-30T19:51:00"/>
    <n v="147"/>
    <s v="Female"/>
    <n v="31"/>
    <x v="2"/>
    <n v="3"/>
    <n v="25"/>
    <n v="12.5"/>
    <n v="75"/>
    <x v="0"/>
    <s v="Valid"/>
    <n v="62.5"/>
  </r>
  <r>
    <n v="1980"/>
    <x v="21"/>
    <d v="2023-08-23T00:00:00"/>
    <d v="1899-12-30T20:30:00"/>
    <n v="112"/>
    <s v="Female"/>
    <n v="31"/>
    <x v="2"/>
    <n v="3"/>
    <n v="25"/>
    <n v="6.5"/>
    <n v="75"/>
    <x v="0"/>
    <s v="Valid"/>
    <n v="68.5"/>
  </r>
  <r>
    <n v="949"/>
    <x v="17"/>
    <d v="2023-06-20T00:00:00"/>
    <d v="1899-12-30T20:28:00"/>
    <n v="21"/>
    <s v="Female"/>
    <n v="41"/>
    <x v="2"/>
    <n v="2"/>
    <n v="25"/>
    <n v="9"/>
    <n v="50"/>
    <x v="0"/>
    <s v="Valid"/>
    <n v="41"/>
  </r>
  <r>
    <n v="1949"/>
    <x v="6"/>
    <d v="2022-11-11T00:00:00"/>
    <d v="1899-12-30T20:24:00"/>
    <n v="105"/>
    <s v="Female"/>
    <n v="41"/>
    <x v="2"/>
    <n v="2"/>
    <n v="25"/>
    <n v="12.5"/>
    <n v="50"/>
    <x v="0"/>
    <s v="Valid"/>
    <n v="37.5"/>
  </r>
  <r>
    <n v="27"/>
    <x v="16"/>
    <d v="2023-12-14T00:00:00"/>
    <d v="1899-12-30T19:44:00"/>
    <n v="39"/>
    <s v="Female"/>
    <n v="38"/>
    <x v="0"/>
    <n v="2"/>
    <n v="25"/>
    <n v="8.25"/>
    <n v="50"/>
    <x v="0"/>
    <s v="Valid"/>
    <n v="41.75"/>
  </r>
  <r>
    <n v="347"/>
    <x v="2"/>
    <d v="2022-03-26T00:00:00"/>
    <d v="1899-12-30T19:31:00"/>
    <n v="26"/>
    <s v="Male"/>
    <n v="42"/>
    <x v="2"/>
    <n v="1"/>
    <n v="25"/>
    <n v="7"/>
    <n v="25"/>
    <x v="0"/>
    <s v="Valid"/>
    <n v="18"/>
  </r>
  <r>
    <n v="1027"/>
    <x v="4"/>
    <d v="2022-04-30T00:00:00"/>
    <d v="1899-12-30T21:00:00"/>
    <n v="131"/>
    <s v="Female"/>
    <n v="38"/>
    <x v="0"/>
    <n v="2"/>
    <n v="25"/>
    <n v="7.5"/>
    <n v="50"/>
    <x v="0"/>
    <s v="Valid"/>
    <n v="42.5"/>
  </r>
  <r>
    <n v="1347"/>
    <x v="20"/>
    <d v="2023-11-21T00:00:00"/>
    <d v="1899-12-30T21:55:00"/>
    <n v="7"/>
    <s v="Male"/>
    <n v="42"/>
    <x v="2"/>
    <n v="1"/>
    <n v="25"/>
    <n v="13"/>
    <n v="25"/>
    <x v="0"/>
    <s v="Valid"/>
    <n v="12"/>
  </r>
  <r>
    <n v="730"/>
    <x v="5"/>
    <d v="2022-02-20T00:00:00"/>
    <d v="1899-12-30T19:38:00"/>
    <n v="131"/>
    <s v="Female"/>
    <n v="36"/>
    <x v="1"/>
    <n v="2"/>
    <n v="25"/>
    <n v="13.25"/>
    <n v="50"/>
    <x v="0"/>
    <s v="Valid"/>
    <n v="36.75"/>
  </r>
  <r>
    <n v="1730"/>
    <x v="21"/>
    <d v="2023-08-14T00:00:00"/>
    <d v="1899-12-30T19:17:00"/>
    <n v="116"/>
    <s v="Female"/>
    <n v="36"/>
    <x v="1"/>
    <n v="2"/>
    <n v="25"/>
    <n v="10.75"/>
    <n v="50"/>
    <x v="0"/>
    <s v="Valid"/>
    <n v="39.25"/>
  </r>
  <r>
    <n v="206"/>
    <x v="3"/>
    <d v="2022-09-02T00:00:00"/>
    <d v="1899-12-30T18:18:00"/>
    <n v="31"/>
    <s v="Male"/>
    <n v="61"/>
    <x v="1"/>
    <n v="1"/>
    <n v="25"/>
    <n v="11.75"/>
    <n v="25"/>
    <x v="0"/>
    <s v="Valid"/>
    <n v="13.25"/>
  </r>
  <r>
    <n v="261"/>
    <x v="5"/>
    <d v="2022-02-06T00:00:00"/>
    <d v="1899-12-30T17:48:00"/>
    <n v="16"/>
    <s v="Male"/>
    <n v="21"/>
    <x v="1"/>
    <n v="2"/>
    <n v="25"/>
    <n v="8.25"/>
    <n v="50"/>
    <x v="0"/>
    <s v="Valid"/>
    <n v="41.75"/>
  </r>
  <r>
    <n v="1206"/>
    <x v="18"/>
    <d v="2023-05-14T00:00:00"/>
    <d v="1899-12-30T19:45:00"/>
    <n v="68"/>
    <s v="Male"/>
    <n v="61"/>
    <x v="1"/>
    <n v="1"/>
    <n v="25"/>
    <n v="8.5"/>
    <n v="25"/>
    <x v="0"/>
    <s v="Valid"/>
    <n v="16.5"/>
  </r>
  <r>
    <n v="1261"/>
    <x v="3"/>
    <d v="2022-09-27T00:00:00"/>
    <d v="1899-12-30T21:19:00"/>
    <n v="116"/>
    <s v="Male"/>
    <n v="21"/>
    <x v="1"/>
    <n v="2"/>
    <n v="25"/>
    <n v="6.25"/>
    <n v="50"/>
    <x v="0"/>
    <s v="Valid"/>
    <n v="43.75"/>
  </r>
  <r>
    <n v="790"/>
    <x v="14"/>
    <d v="2023-04-13T00:00:00"/>
    <d v="1899-12-30T20:47:00"/>
    <n v="29"/>
    <s v="Male"/>
    <n v="62"/>
    <x v="1"/>
    <n v="1"/>
    <n v="25"/>
    <n v="9.25"/>
    <n v="25"/>
    <x v="0"/>
    <s v="Valid"/>
    <n v="15.75"/>
  </r>
  <r>
    <n v="1790"/>
    <x v="18"/>
    <d v="2023-05-14T00:00:00"/>
    <d v="1899-12-30T20:52:00"/>
    <n v="147"/>
    <s v="Male"/>
    <n v="62"/>
    <x v="1"/>
    <n v="1"/>
    <n v="25"/>
    <n v="7.5"/>
    <n v="25"/>
    <x v="0"/>
    <s v="Valid"/>
    <n v="17.5"/>
  </r>
  <r>
    <n v="285"/>
    <x v="16"/>
    <d v="2023-12-01T00:00:00"/>
    <d v="1899-12-30T18:14:00"/>
    <n v="107"/>
    <s v="Female"/>
    <n v="31"/>
    <x v="2"/>
    <n v="1"/>
    <n v="25"/>
    <n v="13.5"/>
    <n v="25"/>
    <x v="0"/>
    <s v="Valid"/>
    <n v="11.5"/>
  </r>
  <r>
    <n v="427"/>
    <x v="20"/>
    <d v="2023-11-16T00:00:00"/>
    <d v="1899-12-30T21:26:00"/>
    <n v="120"/>
    <s v="Male"/>
    <n v="25"/>
    <x v="2"/>
    <n v="1"/>
    <n v="25"/>
    <n v="11.75"/>
    <n v="25"/>
    <x v="0"/>
    <s v="Valid"/>
    <n v="13.25"/>
  </r>
  <r>
    <n v="1285"/>
    <x v="17"/>
    <d v="2023-06-01T00:00:00"/>
    <d v="1899-12-30T21:55:00"/>
    <n v="130"/>
    <s v="Female"/>
    <n v="31"/>
    <x v="2"/>
    <n v="1"/>
    <n v="25"/>
    <n v="12.25"/>
    <n v="25"/>
    <x v="0"/>
    <s v="Valid"/>
    <n v="12.75"/>
  </r>
  <r>
    <n v="1427"/>
    <x v="15"/>
    <d v="2023-07-15T00:00:00"/>
    <d v="1899-12-30T18:36:00"/>
    <n v="92"/>
    <s v="Male"/>
    <n v="25"/>
    <x v="2"/>
    <n v="1"/>
    <n v="25"/>
    <n v="11.5"/>
    <n v="25"/>
    <x v="0"/>
    <s v="Valid"/>
    <n v="13.5"/>
  </r>
  <r>
    <n v="277"/>
    <x v="15"/>
    <d v="2023-07-03T00:00:00"/>
    <d v="1899-12-30T22:10:00"/>
    <n v="139"/>
    <s v="Male"/>
    <n v="36"/>
    <x v="1"/>
    <n v="4"/>
    <n v="25"/>
    <n v="12.25"/>
    <n v="100"/>
    <x v="0"/>
    <s v="Valid"/>
    <n v="87.75"/>
  </r>
  <r>
    <n v="1277"/>
    <x v="12"/>
    <d v="2023-10-17T00:00:00"/>
    <d v="1899-12-30T21:20:00"/>
    <n v="80"/>
    <s v="Male"/>
    <n v="36"/>
    <x v="1"/>
    <n v="4"/>
    <n v="25"/>
    <n v="12.75"/>
    <n v="100"/>
    <x v="0"/>
    <s v="Valid"/>
    <n v="87.25"/>
  </r>
  <r>
    <n v="622"/>
    <x v="8"/>
    <d v="2022-10-16T00:00:00"/>
    <d v="1899-12-30T22:00:00"/>
    <n v="155"/>
    <s v="Female"/>
    <n v="49"/>
    <x v="0"/>
    <n v="3"/>
    <n v="25"/>
    <n v="6.25"/>
    <n v="75"/>
    <x v="0"/>
    <s v="Valid"/>
    <n v="68.75"/>
  </r>
  <r>
    <n v="1622"/>
    <x v="14"/>
    <d v="2023-04-22T00:00:00"/>
    <d v="1899-12-30T21:28:00"/>
    <n v="54"/>
    <s v="Female"/>
    <n v="49"/>
    <x v="0"/>
    <n v="3"/>
    <n v="25"/>
    <n v="11.75"/>
    <n v="75"/>
    <x v="0"/>
    <s v="Valid"/>
    <n v="63.25"/>
  </r>
  <r>
    <n v="50"/>
    <x v="2"/>
    <d v="2022-03-29T00:00:00"/>
    <d v="1899-12-30T18:51:00"/>
    <n v="71"/>
    <s v="Female"/>
    <n v="27"/>
    <x v="0"/>
    <n v="3"/>
    <n v="25"/>
    <n v="10.5"/>
    <n v="75"/>
    <x v="0"/>
    <s v="Valid"/>
    <n v="64.5"/>
  </r>
  <r>
    <n v="1050"/>
    <x v="10"/>
    <d v="2022-12-10T00:00:00"/>
    <d v="1899-12-30T20:15:00"/>
    <n v="24"/>
    <s v="Female"/>
    <n v="27"/>
    <x v="0"/>
    <n v="3"/>
    <n v="25"/>
    <n v="11.25"/>
    <n v="75"/>
    <x v="0"/>
    <s v="Valid"/>
    <n v="63.75"/>
  </r>
  <r>
    <n v="718"/>
    <x v="20"/>
    <d v="2023-11-02T00:00:00"/>
    <d v="1899-12-30T20:25:00"/>
    <n v="154"/>
    <s v="Female"/>
    <n v="59"/>
    <x v="0"/>
    <n v="3"/>
    <n v="25"/>
    <n v="25"/>
    <n v="75"/>
    <x v="0"/>
    <s v="Valid"/>
    <n v="50"/>
  </r>
  <r>
    <n v="1718"/>
    <x v="12"/>
    <d v="2023-10-25T00:00:00"/>
    <d v="1899-12-30T19:03:00"/>
    <n v="20"/>
    <s v="Female"/>
    <n v="59"/>
    <x v="0"/>
    <n v="3"/>
    <n v="25"/>
    <n v="25.5"/>
    <n v="75"/>
    <x v="0"/>
    <s v="Valid"/>
    <n v="49.5"/>
  </r>
  <r>
    <n v="825"/>
    <x v="11"/>
    <d v="2022-01-08T00:00:00"/>
    <d v="1899-12-30T17:27:00"/>
    <n v="51"/>
    <s v="Female"/>
    <n v="46"/>
    <x v="0"/>
    <n v="1"/>
    <n v="25"/>
    <n v="27.25"/>
    <n v="25"/>
    <x v="0"/>
    <s v="Valid"/>
    <n v="-2.25"/>
  </r>
  <r>
    <n v="1825"/>
    <x v="21"/>
    <d v="2023-08-30T00:00:00"/>
    <d v="1899-12-30T18:34:00"/>
    <n v="105"/>
    <s v="Female"/>
    <n v="46"/>
    <x v="0"/>
    <n v="1"/>
    <n v="25"/>
    <n v="27"/>
    <n v="25"/>
    <x v="0"/>
    <s v="Valid"/>
    <n v="-2"/>
  </r>
  <r>
    <n v="815"/>
    <x v="14"/>
    <d v="2023-04-05T00:00:00"/>
    <d v="1899-12-30T21:15:00"/>
    <n v="139"/>
    <s v="Female"/>
    <n v="51"/>
    <x v="1"/>
    <n v="3"/>
    <n v="25"/>
    <n v="23.75"/>
    <n v="75"/>
    <x v="0"/>
    <s v="Valid"/>
    <n v="51.25"/>
  </r>
  <r>
    <n v="1815"/>
    <x v="18"/>
    <d v="2023-05-24T00:00:00"/>
    <d v="1899-12-30T22:19:00"/>
    <n v="6"/>
    <s v="Female"/>
    <n v="51"/>
    <x v="1"/>
    <n v="3"/>
    <n v="25"/>
    <n v="30.5"/>
    <n v="75"/>
    <x v="0"/>
    <s v="Valid"/>
    <n v="44.5"/>
  </r>
  <r>
    <n v="574"/>
    <x v="22"/>
    <d v="2023-09-17T00:00:00"/>
    <d v="1899-12-30T20:12:00"/>
    <n v="24"/>
    <s v="Female"/>
    <n v="63"/>
    <x v="2"/>
    <n v="2"/>
    <n v="25"/>
    <n v="24.75"/>
    <n v="50"/>
    <x v="0"/>
    <s v="Valid"/>
    <n v="25.25"/>
  </r>
  <r>
    <n v="751"/>
    <x v="20"/>
    <d v="2023-11-08T00:00:00"/>
    <d v="1899-12-30T19:58:00"/>
    <n v="115"/>
    <s v="Female"/>
    <n v="42"/>
    <x v="1"/>
    <n v="2"/>
    <n v="25"/>
    <n v="24.75"/>
    <n v="50"/>
    <x v="0"/>
    <s v="Valid"/>
    <n v="25.25"/>
  </r>
  <r>
    <n v="1574"/>
    <x v="8"/>
    <d v="2022-10-26T00:00:00"/>
    <d v="1899-12-30T21:51:00"/>
    <n v="150"/>
    <s v="Female"/>
    <n v="63"/>
    <x v="2"/>
    <n v="2"/>
    <n v="25"/>
    <n v="24.75"/>
    <n v="50"/>
    <x v="0"/>
    <s v="Valid"/>
    <n v="25.25"/>
  </r>
  <r>
    <n v="1751"/>
    <x v="16"/>
    <d v="2023-12-27T00:00:00"/>
    <d v="1899-12-30T22:09:00"/>
    <n v="99"/>
    <s v="Female"/>
    <n v="42"/>
    <x v="1"/>
    <n v="2"/>
    <n v="25"/>
    <n v="30.25"/>
    <n v="50"/>
    <x v="0"/>
    <s v="Valid"/>
    <n v="19.75"/>
  </r>
  <r>
    <n v="855"/>
    <x v="6"/>
    <d v="2022-11-21T00:00:00"/>
    <d v="1899-12-30T19:43:00"/>
    <n v="13"/>
    <s v="Male"/>
    <n v="54"/>
    <x v="0"/>
    <n v="1"/>
    <n v="25"/>
    <n v="25.75"/>
    <n v="25"/>
    <x v="0"/>
    <s v="Valid"/>
    <n v="-0.75"/>
  </r>
  <r>
    <n v="1855"/>
    <x v="16"/>
    <d v="2023-12-27T00:00:00"/>
    <d v="1899-12-30T21:15:00"/>
    <n v="44"/>
    <s v="Male"/>
    <n v="54"/>
    <x v="0"/>
    <n v="1"/>
    <n v="25"/>
    <n v="31.25"/>
    <n v="25"/>
    <x v="0"/>
    <s v="Valid"/>
    <n v="-6.25"/>
  </r>
  <r>
    <n v="325"/>
    <x v="22"/>
    <d v="2023-09-16T00:00:00"/>
    <d v="1899-12-30T22:02:00"/>
    <n v="6"/>
    <s v="Female"/>
    <n v="52"/>
    <x v="2"/>
    <n v="2"/>
    <n v="25"/>
    <n v="31.25"/>
    <n v="50"/>
    <x v="0"/>
    <s v="Valid"/>
    <n v="18.75"/>
  </r>
  <r>
    <n v="1325"/>
    <x v="8"/>
    <d v="2022-10-11T00:00:00"/>
    <d v="1899-12-30T19:47:00"/>
    <n v="18"/>
    <s v="Female"/>
    <n v="52"/>
    <x v="2"/>
    <n v="2"/>
    <n v="25"/>
    <n v="26.75"/>
    <n v="50"/>
    <x v="0"/>
    <s v="Valid"/>
    <n v="23.25"/>
  </r>
  <r>
    <n v="644"/>
    <x v="8"/>
    <d v="2022-10-13T00:00:00"/>
    <d v="1899-12-30T21:49:00"/>
    <n v="107"/>
    <s v="Male"/>
    <n v="23"/>
    <x v="0"/>
    <n v="3"/>
    <n v="25"/>
    <n v="29"/>
    <n v="75"/>
    <x v="0"/>
    <s v="Valid"/>
    <n v="46"/>
  </r>
  <r>
    <n v="1644"/>
    <x v="3"/>
    <d v="2022-09-11T00:00:00"/>
    <d v="1899-12-30T19:32:00"/>
    <n v="124"/>
    <s v="Male"/>
    <n v="23"/>
    <x v="0"/>
    <n v="3"/>
    <n v="25"/>
    <n v="28.75"/>
    <n v="75"/>
    <x v="0"/>
    <s v="Valid"/>
    <n v="46.25"/>
  </r>
  <r>
    <n v="413"/>
    <x v="20"/>
    <d v="2023-11-28T00:00:00"/>
    <d v="1899-12-30T21:52:00"/>
    <n v="60"/>
    <s v="Female"/>
    <n v="44"/>
    <x v="0"/>
    <n v="3"/>
    <n v="25"/>
    <n v="25.5"/>
    <n v="75"/>
    <x v="0"/>
    <s v="Valid"/>
    <n v="49.5"/>
  </r>
  <r>
    <n v="851"/>
    <x v="20"/>
    <d v="2023-11-30T00:00:00"/>
    <d v="1899-12-30T17:23:00"/>
    <n v="30"/>
    <s v="Male"/>
    <n v="32"/>
    <x v="2"/>
    <n v="2"/>
    <n v="25"/>
    <n v="27.75"/>
    <n v="50"/>
    <x v="0"/>
    <s v="Valid"/>
    <n v="22.25"/>
  </r>
  <r>
    <n v="1413"/>
    <x v="20"/>
    <d v="2023-11-12T00:00:00"/>
    <d v="1899-12-30T19:33:00"/>
    <n v="104"/>
    <s v="Female"/>
    <n v="44"/>
    <x v="0"/>
    <n v="3"/>
    <n v="25"/>
    <n v="30.75"/>
    <n v="75"/>
    <x v="0"/>
    <s v="Valid"/>
    <n v="44.25"/>
  </r>
  <r>
    <n v="1851"/>
    <x v="3"/>
    <d v="2022-09-10T00:00:00"/>
    <d v="1899-12-30T21:36:00"/>
    <n v="87"/>
    <s v="Male"/>
    <n v="32"/>
    <x v="2"/>
    <n v="2"/>
    <n v="25"/>
    <n v="25"/>
    <n v="50"/>
    <x v="0"/>
    <s v="Valid"/>
    <n v="25"/>
  </r>
  <r>
    <n v="919"/>
    <x v="12"/>
    <d v="2023-10-28T00:00:00"/>
    <d v="1899-12-30T21:13:00"/>
    <n v="82"/>
    <s v="Female"/>
    <n v="22"/>
    <x v="0"/>
    <n v="2"/>
    <n v="25"/>
    <n v="27.75"/>
    <n v="50"/>
    <x v="0"/>
    <s v="Valid"/>
    <n v="22.25"/>
  </r>
  <r>
    <n v="1919"/>
    <x v="8"/>
    <d v="2022-10-25T00:00:00"/>
    <d v="1899-12-30T17:54:00"/>
    <n v="78"/>
    <s v="Female"/>
    <n v="22"/>
    <x v="0"/>
    <n v="2"/>
    <n v="25"/>
    <n v="26.5"/>
    <n v="50"/>
    <x v="0"/>
    <s v="Valid"/>
    <n v="23.5"/>
  </r>
  <r>
    <n v="113"/>
    <x v="8"/>
    <d v="2022-10-08T00:00:00"/>
    <d v="1899-12-30T19:14:00"/>
    <n v="72"/>
    <s v="Female"/>
    <n v="41"/>
    <x v="2"/>
    <n v="2"/>
    <n v="25"/>
    <n v="26.25"/>
    <n v="50"/>
    <x v="0"/>
    <s v="Valid"/>
    <n v="23.75"/>
  </r>
  <r>
    <n v="1113"/>
    <x v="16"/>
    <d v="2023-12-08T00:00:00"/>
    <d v="1899-12-30T17:41:00"/>
    <n v="141"/>
    <s v="Female"/>
    <n v="41"/>
    <x v="2"/>
    <n v="2"/>
    <n v="25"/>
    <n v="27.75"/>
    <n v="50"/>
    <x v="0"/>
    <s v="Valid"/>
    <n v="22.25"/>
  </r>
  <r>
    <n v="326"/>
    <x v="20"/>
    <d v="2023-11-23T00:00:00"/>
    <d v="1899-12-30T19:51:00"/>
    <n v="108"/>
    <s v="Female"/>
    <n v="18"/>
    <x v="1"/>
    <n v="3"/>
    <n v="25"/>
    <n v="24.25"/>
    <n v="75"/>
    <x v="0"/>
    <s v="Valid"/>
    <n v="50.75"/>
  </r>
  <r>
    <n v="1326"/>
    <x v="22"/>
    <d v="2023-09-01T00:00:00"/>
    <d v="1899-12-30T22:35:00"/>
    <n v="66"/>
    <s v="Female"/>
    <n v="18"/>
    <x v="1"/>
    <n v="3"/>
    <n v="25"/>
    <n v="28.75"/>
    <n v="75"/>
    <x v="0"/>
    <s v="Valid"/>
    <n v="46.25"/>
  </r>
  <r>
    <n v="19"/>
    <x v="20"/>
    <d v="2023-11-26T00:00:00"/>
    <d v="1899-12-30T19:39:00"/>
    <n v="30"/>
    <s v="Female"/>
    <n v="62"/>
    <x v="1"/>
    <n v="2"/>
    <n v="25"/>
    <n v="28.5"/>
    <n v="50"/>
    <x v="0"/>
    <s v="Valid"/>
    <n v="21.5"/>
  </r>
  <r>
    <n v="632"/>
    <x v="12"/>
    <d v="2023-10-25T00:00:00"/>
    <d v="1899-12-30T20:13:00"/>
    <n v="78"/>
    <s v="Female"/>
    <n v="26"/>
    <x v="2"/>
    <n v="4"/>
    <n v="25"/>
    <n v="24.75"/>
    <n v="100"/>
    <x v="0"/>
    <s v="Valid"/>
    <n v="75.25"/>
  </r>
  <r>
    <n v="1019"/>
    <x v="16"/>
    <d v="2023-12-14T00:00:00"/>
    <d v="1899-12-30T21:22:00"/>
    <n v="56"/>
    <s v="Female"/>
    <n v="62"/>
    <x v="1"/>
    <n v="2"/>
    <n v="25"/>
    <n v="25.75"/>
    <n v="50"/>
    <x v="0"/>
    <s v="Valid"/>
    <n v="24.25"/>
  </r>
  <r>
    <n v="1632"/>
    <x v="8"/>
    <d v="2022-10-19T00:00:00"/>
    <d v="1899-12-30T18:16:00"/>
    <n v="29"/>
    <s v="Female"/>
    <n v="26"/>
    <x v="2"/>
    <n v="4"/>
    <n v="25"/>
    <n v="24.75"/>
    <n v="100"/>
    <x v="0"/>
    <s v="Valid"/>
    <n v="75.25"/>
  </r>
  <r>
    <n v="172"/>
    <x v="8"/>
    <d v="2022-10-21T00:00:00"/>
    <d v="1899-12-30T18:09:00"/>
    <n v="52"/>
    <s v="Male"/>
    <n v="32"/>
    <x v="0"/>
    <n v="2"/>
    <n v="25"/>
    <n v="28"/>
    <n v="50"/>
    <x v="0"/>
    <s v="Valid"/>
    <n v="22"/>
  </r>
  <r>
    <n v="1172"/>
    <x v="8"/>
    <d v="2022-10-19T00:00:00"/>
    <d v="1899-12-30T21:12:00"/>
    <n v="150"/>
    <s v="Male"/>
    <n v="32"/>
    <x v="0"/>
    <n v="2"/>
    <n v="25"/>
    <n v="28.5"/>
    <n v="50"/>
    <x v="0"/>
    <s v="Valid"/>
    <n v="21.5"/>
  </r>
  <r>
    <n v="513"/>
    <x v="8"/>
    <d v="2022-10-21T00:00:00"/>
    <d v="1899-12-30T18:31:00"/>
    <n v="85"/>
    <s v="Male"/>
    <n v="24"/>
    <x v="2"/>
    <n v="4"/>
    <n v="25"/>
    <n v="24.5"/>
    <n v="100"/>
    <x v="0"/>
    <s v="Valid"/>
    <n v="75.5"/>
  </r>
  <r>
    <n v="1513"/>
    <x v="8"/>
    <d v="2022-10-01T00:00:00"/>
    <d v="1899-12-30T21:47:00"/>
    <n v="19"/>
    <s v="Male"/>
    <n v="24"/>
    <x v="2"/>
    <n v="4"/>
    <n v="25"/>
    <n v="31"/>
    <n v="100"/>
    <x v="0"/>
    <s v="Valid"/>
    <n v="69"/>
  </r>
  <r>
    <n v="241"/>
    <x v="16"/>
    <d v="2023-12-19T00:00:00"/>
    <d v="1899-12-30T20:21:00"/>
    <n v="108"/>
    <s v="Female"/>
    <n v="23"/>
    <x v="2"/>
    <n v="3"/>
    <n v="25"/>
    <n v="26.75"/>
    <n v="75"/>
    <x v="0"/>
    <s v="Valid"/>
    <n v="48.25"/>
  </r>
  <r>
    <n v="1241"/>
    <x v="22"/>
    <d v="2023-09-10T00:00:00"/>
    <d v="1899-12-30T17:28:00"/>
    <n v="26"/>
    <s v="Female"/>
    <n v="23"/>
    <x v="2"/>
    <n v="3"/>
    <n v="25"/>
    <n v="24.5"/>
    <n v="75"/>
    <x v="0"/>
    <s v="Valid"/>
    <n v="50.5"/>
  </r>
  <r>
    <n v="204"/>
    <x v="3"/>
    <d v="2022-09-10T00:00:00"/>
    <d v="1899-12-30T21:04:00"/>
    <n v="101"/>
    <s v="Male"/>
    <n v="39"/>
    <x v="0"/>
    <n v="1"/>
    <n v="25"/>
    <n v="31.25"/>
    <n v="25"/>
    <x v="0"/>
    <s v="Valid"/>
    <n v="-6.25"/>
  </r>
  <r>
    <n v="1204"/>
    <x v="16"/>
    <d v="2023-12-10T00:00:00"/>
    <d v="1899-12-30T19:24:00"/>
    <n v="72"/>
    <s v="Male"/>
    <n v="39"/>
    <x v="0"/>
    <n v="1"/>
    <n v="25"/>
    <n v="27.5"/>
    <n v="25"/>
    <x v="0"/>
    <s v="Valid"/>
    <n v="-2.5"/>
  </r>
  <r>
    <n v="873"/>
    <x v="16"/>
    <d v="2023-12-06T00:00:00"/>
    <d v="1899-12-30T20:20:00"/>
    <n v="137"/>
    <s v="Female"/>
    <n v="27"/>
    <x v="2"/>
    <n v="4"/>
    <n v="25"/>
    <n v="29"/>
    <n v="100"/>
    <x v="0"/>
    <s v="Valid"/>
    <n v="71"/>
  </r>
  <r>
    <n v="1873"/>
    <x v="6"/>
    <d v="2022-11-24T00:00:00"/>
    <d v="1899-12-30T19:18:00"/>
    <n v="64"/>
    <s v="Female"/>
    <n v="27"/>
    <x v="2"/>
    <n v="4"/>
    <n v="25"/>
    <n v="26.75"/>
    <n v="100"/>
    <x v="0"/>
    <s v="Valid"/>
    <n v="73.25"/>
  </r>
  <r>
    <n v="51"/>
    <x v="8"/>
    <d v="2022-10-12T00:00:00"/>
    <d v="1899-12-30T22:09:00"/>
    <n v="78"/>
    <s v="Male"/>
    <n v="27"/>
    <x v="0"/>
    <n v="3"/>
    <n v="25"/>
    <n v="24.75"/>
    <n v="75"/>
    <x v="0"/>
    <s v="Valid"/>
    <n v="50.25"/>
  </r>
  <r>
    <n v="276"/>
    <x v="12"/>
    <d v="2023-10-18T00:00:00"/>
    <d v="1899-12-30T21:27:00"/>
    <n v="40"/>
    <s v="Female"/>
    <n v="21"/>
    <x v="0"/>
    <n v="4"/>
    <n v="25"/>
    <n v="27.5"/>
    <n v="100"/>
    <x v="0"/>
    <s v="Valid"/>
    <n v="72.5"/>
  </r>
  <r>
    <n v="1051"/>
    <x v="22"/>
    <d v="2023-09-13T00:00:00"/>
    <d v="1899-12-30T17:47:00"/>
    <n v="104"/>
    <s v="Male"/>
    <n v="27"/>
    <x v="0"/>
    <n v="3"/>
    <n v="25"/>
    <n v="25"/>
    <n v="75"/>
    <x v="0"/>
    <s v="Valid"/>
    <n v="50"/>
  </r>
  <r>
    <n v="1276"/>
    <x v="8"/>
    <d v="2022-10-11T00:00:00"/>
    <d v="1899-12-30T18:54:00"/>
    <n v="140"/>
    <s v="Female"/>
    <n v="21"/>
    <x v="0"/>
    <n v="4"/>
    <n v="25"/>
    <n v="27"/>
    <n v="100"/>
    <x v="0"/>
    <s v="Valid"/>
    <n v="73"/>
  </r>
  <r>
    <n v="688"/>
    <x v="12"/>
    <d v="2023-10-28T00:00:00"/>
    <d v="1899-12-30T21:45:00"/>
    <n v="132"/>
    <s v="Male"/>
    <n v="56"/>
    <x v="1"/>
    <n v="4"/>
    <n v="25"/>
    <n v="24.75"/>
    <n v="100"/>
    <x v="0"/>
    <s v="Valid"/>
    <n v="75.25"/>
  </r>
  <r>
    <n v="1688"/>
    <x v="10"/>
    <d v="2022-12-17T00:00:00"/>
    <d v="1899-12-30T17:25:00"/>
    <n v="150"/>
    <s v="Male"/>
    <n v="56"/>
    <x v="1"/>
    <n v="4"/>
    <n v="25"/>
    <n v="26.5"/>
    <n v="100"/>
    <x v="0"/>
    <s v="Valid"/>
    <n v="73.5"/>
  </r>
  <r>
    <n v="558"/>
    <x v="12"/>
    <d v="2023-10-26T00:00:00"/>
    <d v="1899-12-30T17:47:00"/>
    <n v="108"/>
    <s v="Female"/>
    <n v="41"/>
    <x v="1"/>
    <n v="1"/>
    <n v="25"/>
    <n v="26"/>
    <n v="25"/>
    <x v="0"/>
    <s v="Valid"/>
    <n v="-1"/>
  </r>
  <r>
    <n v="1558"/>
    <x v="10"/>
    <d v="2022-12-22T00:00:00"/>
    <d v="1899-12-30T20:37:00"/>
    <n v="91"/>
    <s v="Female"/>
    <n v="41"/>
    <x v="1"/>
    <n v="1"/>
    <n v="25"/>
    <n v="27.75"/>
    <n v="25"/>
    <x v="0"/>
    <s v="Valid"/>
    <n v="-2.75"/>
  </r>
  <r>
    <n v="201"/>
    <x v="8"/>
    <d v="2022-10-13T00:00:00"/>
    <d v="1899-12-30T19:08:00"/>
    <n v="105"/>
    <s v="Male"/>
    <n v="56"/>
    <x v="2"/>
    <n v="1"/>
    <n v="25"/>
    <n v="29.75"/>
    <n v="25"/>
    <x v="0"/>
    <s v="Valid"/>
    <n v="-4.75"/>
  </r>
  <r>
    <n v="286"/>
    <x v="8"/>
    <d v="2022-10-05T00:00:00"/>
    <d v="1899-12-30T22:56:00"/>
    <n v="92"/>
    <s v="Male"/>
    <n v="55"/>
    <x v="2"/>
    <n v="2"/>
    <n v="25"/>
    <n v="27.75"/>
    <n v="50"/>
    <x v="0"/>
    <s v="Valid"/>
    <n v="22.25"/>
  </r>
  <r>
    <n v="1201"/>
    <x v="12"/>
    <d v="2023-10-31T00:00:00"/>
    <d v="1899-12-30T17:28:00"/>
    <n v="115"/>
    <s v="Male"/>
    <n v="56"/>
    <x v="2"/>
    <n v="1"/>
    <n v="25"/>
    <n v="27.75"/>
    <n v="25"/>
    <x v="0"/>
    <s v="Valid"/>
    <n v="-2.75"/>
  </r>
  <r>
    <n v="1286"/>
    <x v="10"/>
    <d v="2022-12-26T00:00:00"/>
    <d v="1899-12-30T17:23:00"/>
    <n v="111"/>
    <s v="Male"/>
    <n v="55"/>
    <x v="2"/>
    <n v="2"/>
    <n v="25"/>
    <n v="28.5"/>
    <n v="50"/>
    <x v="0"/>
    <s v="Valid"/>
    <n v="21.5"/>
  </r>
  <r>
    <n v="149"/>
    <x v="12"/>
    <d v="2023-10-14T00:00:00"/>
    <d v="1899-12-30T17:52:00"/>
    <n v="73"/>
    <s v="Male"/>
    <n v="22"/>
    <x v="1"/>
    <n v="3"/>
    <n v="25"/>
    <n v="27"/>
    <n v="75"/>
    <x v="0"/>
    <s v="Valid"/>
    <n v="48"/>
  </r>
  <r>
    <n v="872"/>
    <x v="16"/>
    <d v="2023-12-10T00:00:00"/>
    <d v="1899-12-30T22:18:00"/>
    <n v="113"/>
    <s v="Female"/>
    <n v="63"/>
    <x v="0"/>
    <n v="3"/>
    <n v="25"/>
    <n v="24.75"/>
    <n v="75"/>
    <x v="0"/>
    <s v="Valid"/>
    <n v="50.25"/>
  </r>
  <r>
    <n v="1149"/>
    <x v="22"/>
    <d v="2023-09-14T00:00:00"/>
    <d v="1899-12-30T19:23:00"/>
    <n v="98"/>
    <s v="Male"/>
    <n v="22"/>
    <x v="1"/>
    <n v="3"/>
    <n v="25"/>
    <n v="29.75"/>
    <n v="75"/>
    <x v="0"/>
    <s v="Valid"/>
    <n v="45.25"/>
  </r>
  <r>
    <n v="1872"/>
    <x v="6"/>
    <d v="2022-11-22T00:00:00"/>
    <d v="1899-12-30T17:02:00"/>
    <n v="57"/>
    <s v="Female"/>
    <n v="63"/>
    <x v="0"/>
    <n v="3"/>
    <n v="25"/>
    <n v="26.25"/>
    <n v="75"/>
    <x v="0"/>
    <s v="Valid"/>
    <n v="48.75"/>
  </r>
  <r>
    <n v="310"/>
    <x v="6"/>
    <d v="2022-11-10T00:00:00"/>
    <d v="1899-12-30T21:34:00"/>
    <n v="76"/>
    <s v="Female"/>
    <n v="28"/>
    <x v="0"/>
    <n v="1"/>
    <n v="25"/>
    <n v="31"/>
    <n v="25"/>
    <x v="0"/>
    <s v="Valid"/>
    <n v="-6"/>
  </r>
  <r>
    <n v="1310"/>
    <x v="8"/>
    <d v="2022-10-29T00:00:00"/>
    <d v="1899-12-30T21:31:00"/>
    <n v="74"/>
    <s v="Female"/>
    <n v="28"/>
    <x v="0"/>
    <n v="1"/>
    <n v="25"/>
    <n v="24.75"/>
    <n v="25"/>
    <x v="0"/>
    <s v="Valid"/>
    <n v="0.25"/>
  </r>
  <r>
    <n v="619"/>
    <x v="12"/>
    <d v="2023-10-09T00:00:00"/>
    <d v="1899-12-30T18:10:00"/>
    <n v="56"/>
    <s v="Male"/>
    <n v="47"/>
    <x v="2"/>
    <n v="4"/>
    <n v="25"/>
    <n v="26.25"/>
    <n v="100"/>
    <x v="0"/>
    <s v="Valid"/>
    <n v="73.75"/>
  </r>
  <r>
    <n v="948"/>
    <x v="16"/>
    <d v="2023-12-10T00:00:00"/>
    <d v="1899-12-30T22:06:00"/>
    <n v="52"/>
    <s v="Female"/>
    <n v="23"/>
    <x v="2"/>
    <n v="3"/>
    <n v="25"/>
    <n v="28.75"/>
    <n v="75"/>
    <x v="0"/>
    <s v="Valid"/>
    <n v="46.25"/>
  </r>
  <r>
    <n v="1619"/>
    <x v="8"/>
    <d v="2022-10-20T00:00:00"/>
    <d v="1899-12-30T18:07:00"/>
    <n v="61"/>
    <s v="Male"/>
    <n v="47"/>
    <x v="2"/>
    <n v="4"/>
    <n v="25"/>
    <n v="24.25"/>
    <n v="100"/>
    <x v="0"/>
    <s v="Valid"/>
    <n v="75.75"/>
  </r>
  <r>
    <n v="1948"/>
    <x v="22"/>
    <d v="2023-09-17T00:00:00"/>
    <d v="1899-12-30T21:09:00"/>
    <n v="100"/>
    <s v="Female"/>
    <n v="23"/>
    <x v="2"/>
    <n v="3"/>
    <n v="25"/>
    <n v="24.5"/>
    <n v="75"/>
    <x v="0"/>
    <s v="Valid"/>
    <n v="50.5"/>
  </r>
  <r>
    <n v="754"/>
    <x v="22"/>
    <d v="2023-09-26T00:00:00"/>
    <d v="1899-12-30T18:40:00"/>
    <n v="90"/>
    <s v="Female"/>
    <n v="43"/>
    <x v="2"/>
    <n v="4"/>
    <n v="25"/>
    <n v="23.75"/>
    <n v="100"/>
    <x v="0"/>
    <s v="Valid"/>
    <n v="76.25"/>
  </r>
  <r>
    <n v="1754"/>
    <x v="10"/>
    <d v="2022-12-01T00:00:00"/>
    <d v="1899-12-30T21:03:00"/>
    <n v="107"/>
    <s v="Female"/>
    <n v="43"/>
    <x v="2"/>
    <n v="4"/>
    <n v="25"/>
    <n v="28.5"/>
    <n v="100"/>
    <x v="0"/>
    <s v="Valid"/>
    <n v="71.5"/>
  </r>
  <r>
    <n v="350"/>
    <x v="6"/>
    <d v="2022-11-20T00:00:00"/>
    <d v="1899-12-30T17:41:00"/>
    <n v="61"/>
    <s v="Male"/>
    <n v="25"/>
    <x v="0"/>
    <n v="3"/>
    <n v="25"/>
    <n v="28.5"/>
    <n v="75"/>
    <x v="0"/>
    <s v="Valid"/>
    <n v="46.5"/>
  </r>
  <r>
    <n v="786"/>
    <x v="10"/>
    <d v="2022-12-16T00:00:00"/>
    <d v="1899-12-30T20:38:00"/>
    <n v="78"/>
    <s v="Male"/>
    <n v="48"/>
    <x v="1"/>
    <n v="4"/>
    <n v="25"/>
    <n v="28.5"/>
    <n v="100"/>
    <x v="0"/>
    <s v="Valid"/>
    <n v="71.5"/>
  </r>
  <r>
    <n v="1350"/>
    <x v="20"/>
    <d v="2023-11-08T00:00:00"/>
    <d v="1899-12-30T22:02:00"/>
    <n v="93"/>
    <s v="Male"/>
    <n v="25"/>
    <x v="0"/>
    <n v="3"/>
    <n v="25"/>
    <n v="29.25"/>
    <n v="75"/>
    <x v="0"/>
    <s v="Valid"/>
    <n v="45.75"/>
  </r>
  <r>
    <n v="1786"/>
    <x v="3"/>
    <d v="2022-09-27T00:00:00"/>
    <d v="1899-12-30T21:26:00"/>
    <n v="69"/>
    <s v="Male"/>
    <n v="48"/>
    <x v="1"/>
    <n v="4"/>
    <n v="25"/>
    <n v="28.75"/>
    <n v="100"/>
    <x v="0"/>
    <s v="Valid"/>
    <n v="71.25"/>
  </r>
  <r>
    <n v="191"/>
    <x v="16"/>
    <d v="2023-12-22T00:00:00"/>
    <d v="1899-12-30T21:24:00"/>
    <n v="71"/>
    <s v="Male"/>
    <n v="64"/>
    <x v="0"/>
    <n v="1"/>
    <n v="25"/>
    <n v="28.25"/>
    <n v="25"/>
    <x v="0"/>
    <s v="Valid"/>
    <n v="-3.25"/>
  </r>
  <r>
    <n v="1191"/>
    <x v="22"/>
    <d v="2023-09-25T00:00:00"/>
    <d v="1899-12-30T17:20:00"/>
    <n v="88"/>
    <s v="Male"/>
    <n v="64"/>
    <x v="0"/>
    <n v="1"/>
    <n v="25"/>
    <n v="25"/>
    <n v="25"/>
    <x v="0"/>
    <s v="Valid"/>
    <n v="0"/>
  </r>
  <r>
    <n v="516"/>
    <x v="22"/>
    <d v="2023-09-20T00:00:00"/>
    <d v="1899-12-30T18:38:00"/>
    <n v="85"/>
    <s v="Male"/>
    <n v="30"/>
    <x v="0"/>
    <n v="4"/>
    <n v="25"/>
    <n v="24.25"/>
    <n v="100"/>
    <x v="0"/>
    <s v="Valid"/>
    <n v="75.75"/>
  </r>
  <r>
    <n v="1516"/>
    <x v="6"/>
    <d v="2022-11-09T00:00:00"/>
    <d v="1899-12-30T17:19:00"/>
    <n v="54"/>
    <s v="Male"/>
    <n v="30"/>
    <x v="0"/>
    <n v="4"/>
    <n v="25"/>
    <n v="24.5"/>
    <n v="100"/>
    <x v="0"/>
    <s v="Valid"/>
    <n v="75.5"/>
  </r>
  <r>
    <n v="318"/>
    <x v="12"/>
    <d v="2023-10-22T00:00:00"/>
    <d v="1899-12-30T21:26:00"/>
    <n v="57"/>
    <s v="Male"/>
    <n v="61"/>
    <x v="1"/>
    <n v="1"/>
    <n v="25"/>
    <n v="29.25"/>
    <n v="25"/>
    <x v="0"/>
    <s v="Valid"/>
    <n v="-4.25"/>
  </r>
  <r>
    <n v="767"/>
    <x v="6"/>
    <d v="2022-11-07T00:00:00"/>
    <d v="1899-12-30T22:44:00"/>
    <n v="72"/>
    <s v="Male"/>
    <n v="39"/>
    <x v="0"/>
    <n v="3"/>
    <n v="25"/>
    <n v="24.5"/>
    <n v="75"/>
    <x v="0"/>
    <s v="Valid"/>
    <n v="50.5"/>
  </r>
  <r>
    <n v="1318"/>
    <x v="10"/>
    <d v="2022-12-25T00:00:00"/>
    <d v="1899-12-30T22:57:00"/>
    <n v="55"/>
    <s v="Male"/>
    <n v="61"/>
    <x v="1"/>
    <n v="1"/>
    <n v="25"/>
    <n v="27"/>
    <n v="25"/>
    <x v="0"/>
    <s v="Valid"/>
    <n v="-2"/>
  </r>
  <r>
    <n v="1767"/>
    <x v="10"/>
    <d v="2022-12-10T00:00:00"/>
    <d v="1899-12-30T17:35:00"/>
    <n v="87"/>
    <s v="Male"/>
    <n v="39"/>
    <x v="0"/>
    <n v="3"/>
    <n v="25"/>
    <n v="28.25"/>
    <n v="75"/>
    <x v="0"/>
    <s v="Valid"/>
    <n v="46.75"/>
  </r>
  <r>
    <n v="896"/>
    <x v="16"/>
    <d v="2023-12-30T00:00:00"/>
    <d v="1899-12-30T19:17:00"/>
    <n v="56"/>
    <s v="Female"/>
    <n v="30"/>
    <x v="2"/>
    <n v="2"/>
    <n v="25"/>
    <n v="30.75"/>
    <n v="50"/>
    <x v="0"/>
    <s v="Valid"/>
    <n v="19.25"/>
  </r>
  <r>
    <n v="998"/>
    <x v="12"/>
    <d v="2023-10-21T00:00:00"/>
    <d v="1899-12-30T17:32:00"/>
    <n v="61"/>
    <s v="Female"/>
    <n v="23"/>
    <x v="0"/>
    <n v="4"/>
    <n v="25"/>
    <n v="30.5"/>
    <n v="100"/>
    <x v="0"/>
    <s v="Valid"/>
    <n v="69.5"/>
  </r>
  <r>
    <n v="1896"/>
    <x v="6"/>
    <d v="2022-11-05T00:00:00"/>
    <d v="1899-12-30T20:19:00"/>
    <n v="87"/>
    <s v="Female"/>
    <n v="30"/>
    <x v="2"/>
    <n v="2"/>
    <n v="25"/>
    <n v="30.75"/>
    <n v="50"/>
    <x v="0"/>
    <s v="Valid"/>
    <n v="19.25"/>
  </r>
  <r>
    <n v="1998"/>
    <x v="12"/>
    <d v="2023-10-20T00:00:00"/>
    <d v="1899-12-30T19:53:00"/>
    <n v="90"/>
    <s v="Female"/>
    <n v="23"/>
    <x v="0"/>
    <n v="4"/>
    <n v="25"/>
    <n v="24"/>
    <n v="100"/>
    <x v="0"/>
    <s v="Valid"/>
    <n v="76"/>
  </r>
  <r>
    <n v="12"/>
    <x v="10"/>
    <d v="2022-12-09T00:00:00"/>
    <d v="1899-12-30T22:09:00"/>
    <n v="114"/>
    <s v="Male"/>
    <n v="35"/>
    <x v="0"/>
    <n v="3"/>
    <n v="25"/>
    <n v="25.25"/>
    <n v="75"/>
    <x v="0"/>
    <s v="Valid"/>
    <n v="49.75"/>
  </r>
  <r>
    <n v="1012"/>
    <x v="10"/>
    <d v="2022-12-08T00:00:00"/>
    <d v="1899-12-30T18:47:00"/>
    <n v="56"/>
    <s v="Male"/>
    <n v="35"/>
    <x v="0"/>
    <n v="3"/>
    <n v="25"/>
    <n v="27.25"/>
    <n v="75"/>
    <x v="0"/>
    <s v="Valid"/>
    <n v="47.75"/>
  </r>
  <r>
    <n v="343"/>
    <x v="6"/>
    <d v="2022-11-09T00:00:00"/>
    <d v="1899-12-30T18:44:00"/>
    <n v="68"/>
    <s v="Male"/>
    <n v="21"/>
    <x v="2"/>
    <n v="2"/>
    <n v="25"/>
    <n v="30"/>
    <n v="50"/>
    <x v="0"/>
    <s v="Valid"/>
    <n v="20"/>
  </r>
  <r>
    <n v="1343"/>
    <x v="12"/>
    <d v="2023-10-21T00:00:00"/>
    <d v="1899-12-30T20:10:00"/>
    <n v="87"/>
    <s v="Male"/>
    <n v="21"/>
    <x v="2"/>
    <n v="2"/>
    <n v="25"/>
    <n v="28.5"/>
    <n v="50"/>
    <x v="0"/>
    <s v="Valid"/>
    <n v="21.5"/>
  </r>
  <r>
    <n v="145"/>
    <x v="6"/>
    <d v="2022-11-06T00:00:00"/>
    <d v="1899-12-30T19:21:00"/>
    <n v="64"/>
    <s v="Female"/>
    <n v="39"/>
    <x v="1"/>
    <n v="3"/>
    <n v="25"/>
    <n v="27.5"/>
    <n v="75"/>
    <x v="0"/>
    <s v="Valid"/>
    <n v="47.5"/>
  </r>
  <r>
    <n v="841"/>
    <x v="10"/>
    <d v="2022-12-18T00:00:00"/>
    <d v="1899-12-30T20:58:00"/>
    <n v="108"/>
    <s v="Male"/>
    <n v="31"/>
    <x v="2"/>
    <n v="4"/>
    <n v="25"/>
    <n v="28.5"/>
    <n v="100"/>
    <x v="0"/>
    <s v="Valid"/>
    <n v="71.5"/>
  </r>
  <r>
    <n v="1145"/>
    <x v="22"/>
    <d v="2023-09-01T00:00:00"/>
    <d v="1899-12-30T19:19:00"/>
    <n v="87"/>
    <s v="Female"/>
    <n v="39"/>
    <x v="1"/>
    <n v="3"/>
    <n v="25"/>
    <n v="31"/>
    <n v="75"/>
    <x v="0"/>
    <s v="Valid"/>
    <n v="44"/>
  </r>
  <r>
    <n v="1841"/>
    <x v="20"/>
    <d v="2023-11-14T00:00:00"/>
    <d v="1899-12-30T18:55:00"/>
    <n v="94"/>
    <s v="Male"/>
    <n v="31"/>
    <x v="2"/>
    <n v="4"/>
    <n v="25"/>
    <n v="28.25"/>
    <n v="100"/>
    <x v="0"/>
    <s v="Valid"/>
    <n v="71.75"/>
  </r>
  <r>
    <n v="205"/>
    <x v="6"/>
    <d v="2022-11-22T00:00:00"/>
    <d v="1899-12-30T17:20:00"/>
    <n v="88"/>
    <s v="Female"/>
    <n v="43"/>
    <x v="1"/>
    <n v="1"/>
    <n v="25"/>
    <n v="25.5"/>
    <n v="25"/>
    <x v="0"/>
    <s v="Valid"/>
    <n v="-0.5"/>
  </r>
  <r>
    <n v="512"/>
    <x v="10"/>
    <d v="2022-12-06T00:00:00"/>
    <d v="1899-12-30T18:00:00"/>
    <n v="56"/>
    <s v="Female"/>
    <n v="57"/>
    <x v="0"/>
    <n v="1"/>
    <n v="25"/>
    <n v="9.5"/>
    <n v="25"/>
    <x v="0"/>
    <s v="Valid"/>
    <n v="15.5"/>
  </r>
  <r>
    <n v="762"/>
    <x v="20"/>
    <d v="2023-11-27T00:00:00"/>
    <d v="1899-12-30T17:49:00"/>
    <n v="56"/>
    <s v="Female"/>
    <n v="24"/>
    <x v="2"/>
    <n v="2"/>
    <n v="25"/>
    <n v="10.25"/>
    <n v="50"/>
    <x v="0"/>
    <s v="Valid"/>
    <n v="39.75"/>
  </r>
  <r>
    <n v="1205"/>
    <x v="6"/>
    <d v="2022-11-25T00:00:00"/>
    <d v="1899-12-30T19:19:00"/>
    <n v="97"/>
    <s v="Female"/>
    <n v="43"/>
    <x v="1"/>
    <n v="1"/>
    <n v="25"/>
    <n v="7.25"/>
    <n v="25"/>
    <x v="0"/>
    <s v="Valid"/>
    <n v="17.75"/>
  </r>
  <r>
    <n v="1512"/>
    <x v="16"/>
    <d v="2023-12-20T00:00:00"/>
    <d v="1899-12-30T20:05:00"/>
    <n v="105"/>
    <s v="Female"/>
    <n v="57"/>
    <x v="0"/>
    <n v="1"/>
    <n v="25"/>
    <n v="13.25"/>
    <n v="25"/>
    <x v="0"/>
    <s v="Valid"/>
    <n v="11.75"/>
  </r>
  <r>
    <n v="1762"/>
    <x v="20"/>
    <d v="2023-11-15T00:00:00"/>
    <d v="1899-12-30T18:43:00"/>
    <n v="81"/>
    <s v="Female"/>
    <n v="24"/>
    <x v="2"/>
    <n v="2"/>
    <n v="25"/>
    <n v="11"/>
    <n v="50"/>
    <x v="0"/>
    <s v="Valid"/>
    <n v="39"/>
  </r>
  <r>
    <n v="388"/>
    <x v="10"/>
    <d v="2022-12-03T00:00:00"/>
    <d v="1899-12-30T19:04:00"/>
    <n v="60"/>
    <s v="Male"/>
    <n v="50"/>
    <x v="2"/>
    <n v="1"/>
    <n v="25"/>
    <n v="12.25"/>
    <n v="25"/>
    <x v="0"/>
    <s v="Valid"/>
    <n v="12.75"/>
  </r>
  <r>
    <n v="1388"/>
    <x v="12"/>
    <d v="2023-10-13T00:00:00"/>
    <d v="1899-12-30T18:12:00"/>
    <n v="89"/>
    <s v="Male"/>
    <n v="50"/>
    <x v="2"/>
    <n v="1"/>
    <n v="25"/>
    <n v="6.75"/>
    <n v="25"/>
    <x v="0"/>
    <s v="Valid"/>
    <n v="18.25"/>
  </r>
  <r>
    <n v="812"/>
    <x v="12"/>
    <d v="2023-10-02T00:00:00"/>
    <d v="1899-12-30T17:45:00"/>
    <n v="89"/>
    <s v="Male"/>
    <n v="19"/>
    <x v="2"/>
    <n v="3"/>
    <n v="25"/>
    <n v="11.25"/>
    <n v="75"/>
    <x v="0"/>
    <s v="Valid"/>
    <n v="63.75"/>
  </r>
  <r>
    <n v="1812"/>
    <x v="12"/>
    <d v="2023-10-25T00:00:00"/>
    <d v="1899-12-30T22:19:00"/>
    <n v="85"/>
    <s v="Male"/>
    <n v="19"/>
    <x v="2"/>
    <n v="3"/>
    <n v="25"/>
    <n v="12"/>
    <n v="75"/>
    <x v="0"/>
    <s v="Valid"/>
    <n v="63"/>
  </r>
  <r>
    <n v="952"/>
    <x v="10"/>
    <d v="2022-12-21T00:00:00"/>
    <d v="1899-12-30T18:09:00"/>
    <n v="69"/>
    <s v="Female"/>
    <n v="57"/>
    <x v="1"/>
    <n v="1"/>
    <n v="25"/>
    <n v="13.25"/>
    <n v="25"/>
    <x v="0"/>
    <s v="Valid"/>
    <n v="11.75"/>
  </r>
  <r>
    <n v="1952"/>
    <x v="10"/>
    <d v="2022-12-17T00:00:00"/>
    <d v="1899-12-30T22:13:00"/>
    <n v="114"/>
    <s v="Female"/>
    <n v="57"/>
    <x v="1"/>
    <n v="1"/>
    <n v="25"/>
    <n v="13.5"/>
    <n v="25"/>
    <x v="0"/>
    <s v="Valid"/>
    <n v="11.5"/>
  </r>
  <r>
    <n v="458"/>
    <x v="20"/>
    <d v="2023-11-28T00:00:00"/>
    <d v="1899-12-30T21:35:00"/>
    <n v="110"/>
    <s v="Female"/>
    <n v="39"/>
    <x v="2"/>
    <n v="4"/>
    <n v="25"/>
    <n v="7"/>
    <n v="100"/>
    <x v="0"/>
    <s v="Valid"/>
    <n v="93"/>
  </r>
  <r>
    <n v="1458"/>
    <x v="12"/>
    <d v="2023-10-09T00:00:00"/>
    <d v="1899-12-30T19:21:00"/>
    <n v="95"/>
    <s v="Female"/>
    <n v="39"/>
    <x v="2"/>
    <n v="4"/>
    <n v="25"/>
    <n v="9.75"/>
    <n v="100"/>
    <x v="0"/>
    <s v="Valid"/>
    <n v="90.25"/>
  </r>
  <r>
    <n v="706"/>
    <x v="3"/>
    <d v="2022-09-04T00:00:00"/>
    <d v="1899-12-30T22:19:00"/>
    <n v="66"/>
    <s v="Male"/>
    <n v="51"/>
    <x v="2"/>
    <n v="4"/>
    <n v="25"/>
    <n v="8"/>
    <n v="100"/>
    <x v="0"/>
    <s v="Valid"/>
    <n v="92"/>
  </r>
  <r>
    <n v="1706"/>
    <x v="8"/>
    <d v="2022-10-16T00:00:00"/>
    <d v="1899-12-30T18:04:00"/>
    <n v="57"/>
    <s v="Male"/>
    <n v="51"/>
    <x v="2"/>
    <n v="4"/>
    <n v="25"/>
    <n v="11.75"/>
    <n v="100"/>
    <x v="0"/>
    <s v="Valid"/>
    <n v="88.25"/>
  </r>
  <r>
    <n v="778"/>
    <x v="16"/>
    <d v="2023-12-13T00:00:00"/>
    <d v="1899-12-30T18:28:00"/>
    <n v="105"/>
    <s v="Female"/>
    <n v="47"/>
    <x v="0"/>
    <n v="4"/>
    <n v="25"/>
    <n v="13.75"/>
    <n v="100"/>
    <x v="0"/>
    <s v="Valid"/>
    <n v="86.25"/>
  </r>
  <r>
    <n v="1778"/>
    <x v="16"/>
    <d v="2023-12-30T00:00:00"/>
    <d v="1899-12-30T19:57:00"/>
    <n v="94"/>
    <s v="Female"/>
    <n v="47"/>
    <x v="0"/>
    <n v="4"/>
    <n v="25"/>
    <n v="11.25"/>
    <n v="100"/>
    <x v="0"/>
    <s v="Valid"/>
    <n v="88.75"/>
  </r>
  <r>
    <n v="234"/>
    <x v="16"/>
    <d v="2023-12-09T00:00:00"/>
    <d v="1899-12-30T17:42:00"/>
    <n v="64"/>
    <s v="Female"/>
    <n v="62"/>
    <x v="2"/>
    <n v="2"/>
    <n v="25"/>
    <n v="13.75"/>
    <n v="50"/>
    <x v="0"/>
    <s v="Valid"/>
    <n v="36.25"/>
  </r>
  <r>
    <n v="1234"/>
    <x v="22"/>
    <d v="2023-09-07T00:00:00"/>
    <d v="1899-12-30T17:46:00"/>
    <n v="78"/>
    <s v="Female"/>
    <n v="62"/>
    <x v="2"/>
    <n v="2"/>
    <n v="25"/>
    <n v="8.25"/>
    <n v="50"/>
    <x v="0"/>
    <s v="Valid"/>
    <n v="41.75"/>
  </r>
  <r>
    <n v="803"/>
    <x v="8"/>
    <d v="2022-10-25T00:00:00"/>
    <d v="1899-12-30T17:16:00"/>
    <n v="60"/>
    <s v="Male"/>
    <n v="39"/>
    <x v="1"/>
    <n v="4"/>
    <n v="25"/>
    <n v="6.75"/>
    <n v="100"/>
    <x v="0"/>
    <s v="Valid"/>
    <n v="93.25"/>
  </r>
  <r>
    <n v="1803"/>
    <x v="16"/>
    <d v="2023-12-26T00:00:00"/>
    <d v="1899-12-30T19:36:00"/>
    <n v="101"/>
    <s v="Male"/>
    <n v="39"/>
    <x v="1"/>
    <n v="4"/>
    <n v="25"/>
    <n v="8.5"/>
    <n v="100"/>
    <x v="0"/>
    <s v="Valid"/>
    <n v="91.5"/>
  </r>
  <r>
    <n v="156"/>
    <x v="10"/>
    <d v="2022-12-02T00:00:00"/>
    <d v="1899-12-30T19:34:00"/>
    <n v="60"/>
    <s v="Female"/>
    <n v="43"/>
    <x v="1"/>
    <n v="4"/>
    <n v="25"/>
    <n v="7"/>
    <n v="100"/>
    <x v="0"/>
    <s v="Valid"/>
    <n v="93"/>
  </r>
  <r>
    <n v="493"/>
    <x v="10"/>
    <d v="2022-12-01T00:00:00"/>
    <d v="1899-12-30T20:10:00"/>
    <n v="95"/>
    <s v="Male"/>
    <n v="41"/>
    <x v="0"/>
    <n v="2"/>
    <n v="25"/>
    <n v="7.75"/>
    <n v="50"/>
    <x v="0"/>
    <s v="Valid"/>
    <n v="42.25"/>
  </r>
  <r>
    <n v="1156"/>
    <x v="10"/>
    <d v="2022-12-26T00:00:00"/>
    <d v="1899-12-30T21:10:00"/>
    <n v="68"/>
    <s v="Female"/>
    <n v="43"/>
    <x v="1"/>
    <n v="4"/>
    <n v="25"/>
    <n v="13.5"/>
    <n v="100"/>
    <x v="0"/>
    <s v="Valid"/>
    <n v="86.5"/>
  </r>
  <r>
    <n v="1493"/>
    <x v="20"/>
    <d v="2023-11-26T00:00:00"/>
    <d v="1899-12-30T21:49:00"/>
    <n v="58"/>
    <s v="Male"/>
    <n v="41"/>
    <x v="0"/>
    <n v="2"/>
    <n v="25"/>
    <n v="6.75"/>
    <n v="50"/>
    <x v="0"/>
    <s v="Valid"/>
    <n v="43.25"/>
  </r>
  <r>
    <n v="715"/>
    <x v="8"/>
    <d v="2022-10-11T00:00:00"/>
    <d v="1899-12-30T20:57:00"/>
    <n v="55"/>
    <s v="Female"/>
    <n v="42"/>
    <x v="0"/>
    <n v="4"/>
    <n v="25"/>
    <n v="6.25"/>
    <n v="100"/>
    <x v="0"/>
    <s v="Valid"/>
    <n v="93.75"/>
  </r>
  <r>
    <n v="1715"/>
    <x v="10"/>
    <d v="2022-12-30T00:00:00"/>
    <d v="1899-12-30T19:35:00"/>
    <n v="89"/>
    <s v="Female"/>
    <n v="42"/>
    <x v="0"/>
    <n v="4"/>
    <n v="25"/>
    <n v="9.75"/>
    <n v="100"/>
    <x v="0"/>
    <s v="Valid"/>
    <n v="90.25"/>
  </r>
  <r>
    <n v="362"/>
    <x v="22"/>
    <d v="2023-09-27T00:00:00"/>
    <d v="1899-12-30T22:43:00"/>
    <n v="101"/>
    <s v="Male"/>
    <n v="50"/>
    <x v="1"/>
    <n v="1"/>
    <n v="25"/>
    <n v="10.25"/>
    <n v="25"/>
    <x v="0"/>
    <s v="Valid"/>
    <n v="14.75"/>
  </r>
  <r>
    <n v="1362"/>
    <x v="20"/>
    <d v="2023-11-21T00:00:00"/>
    <d v="1899-12-30T18:53:00"/>
    <n v="104"/>
    <s v="Male"/>
    <n v="50"/>
    <x v="1"/>
    <n v="1"/>
    <n v="25"/>
    <n v="11"/>
    <n v="25"/>
    <x v="0"/>
    <s v="Valid"/>
    <n v="14"/>
  </r>
  <r>
    <n v="739"/>
    <x v="12"/>
    <d v="2023-10-14T00:00:00"/>
    <d v="1899-12-30T17:09:00"/>
    <n v="57"/>
    <s v="Male"/>
    <n v="36"/>
    <x v="0"/>
    <n v="1"/>
    <n v="25"/>
    <n v="10.25"/>
    <n v="25"/>
    <x v="0"/>
    <s v="Valid"/>
    <n v="14.75"/>
  </r>
  <r>
    <n v="1739"/>
    <x v="12"/>
    <d v="2023-10-25T00:00:00"/>
    <d v="1899-12-30T17:52:00"/>
    <n v="67"/>
    <s v="Male"/>
    <n v="36"/>
    <x v="0"/>
    <n v="1"/>
    <n v="25"/>
    <n v="11.25"/>
    <n v="25"/>
    <x v="0"/>
    <s v="Valid"/>
    <n v="13.75"/>
  </r>
  <r>
    <n v="810"/>
    <x v="10"/>
    <d v="2022-12-01T00:00:00"/>
    <d v="1899-12-30T18:04:00"/>
    <n v="76"/>
    <s v="Male"/>
    <n v="59"/>
    <x v="2"/>
    <n v="4"/>
    <n v="25"/>
    <n v="13.75"/>
    <n v="100"/>
    <x v="0"/>
    <s v="Valid"/>
    <n v="86.25"/>
  </r>
  <r>
    <n v="1810"/>
    <x v="22"/>
    <d v="2023-09-22T00:00:00"/>
    <d v="1899-12-30T18:29:00"/>
    <n v="106"/>
    <s v="Male"/>
    <n v="59"/>
    <x v="2"/>
    <n v="4"/>
    <n v="25"/>
    <n v="13.5"/>
    <n v="100"/>
    <x v="0"/>
    <s v="Valid"/>
    <n v="86.5"/>
  </r>
  <r>
    <n v="389"/>
    <x v="6"/>
    <d v="2022-11-11T00:00:00"/>
    <d v="1899-12-30T19:06:00"/>
    <n v="109"/>
    <s v="Male"/>
    <n v="21"/>
    <x v="1"/>
    <n v="2"/>
    <n v="25"/>
    <n v="12.25"/>
    <n v="50"/>
    <x v="0"/>
    <s v="Valid"/>
    <n v="37.75"/>
  </r>
  <r>
    <n v="1389"/>
    <x v="22"/>
    <d v="2023-09-27T00:00:00"/>
    <d v="1899-12-30T18:11:00"/>
    <n v="60"/>
    <s v="Male"/>
    <n v="21"/>
    <x v="1"/>
    <n v="2"/>
    <n v="25"/>
    <n v="9.5"/>
    <n v="50"/>
    <x v="0"/>
    <s v="Valid"/>
    <n v="40.5"/>
  </r>
  <r>
    <n v="311"/>
    <x v="20"/>
    <d v="2023-11-20T00:00:00"/>
    <d v="1899-12-30T21:01:00"/>
    <n v="61"/>
    <s v="Female"/>
    <n v="32"/>
    <x v="0"/>
    <n v="4"/>
    <n v="25"/>
    <n v="9.75"/>
    <n v="100"/>
    <x v="0"/>
    <s v="Valid"/>
    <n v="90.25"/>
  </r>
  <r>
    <n v="791"/>
    <x v="3"/>
    <d v="2022-09-04T00:00:00"/>
    <d v="1899-12-30T16:28:00"/>
    <n v="106"/>
    <s v="Female"/>
    <n v="51"/>
    <x v="0"/>
    <n v="1"/>
    <n v="25"/>
    <n v="11.75"/>
    <n v="25"/>
    <x v="0"/>
    <s v="Valid"/>
    <n v="13.25"/>
  </r>
  <r>
    <n v="1311"/>
    <x v="20"/>
    <d v="2023-11-24T00:00:00"/>
    <d v="1899-12-30T15:22:00"/>
    <n v="84"/>
    <s v="Female"/>
    <n v="32"/>
    <x v="0"/>
    <n v="4"/>
    <n v="25"/>
    <n v="9.25"/>
    <n v="100"/>
    <x v="0"/>
    <s v="Valid"/>
    <n v="90.75"/>
  </r>
  <r>
    <n v="1791"/>
    <x v="8"/>
    <d v="2022-10-06T00:00:00"/>
    <d v="1899-12-30T14:52:00"/>
    <n v="87"/>
    <s v="Female"/>
    <n v="51"/>
    <x v="0"/>
    <n v="1"/>
    <n v="25"/>
    <n v="7"/>
    <n v="25"/>
    <x v="0"/>
    <s v="Valid"/>
    <n v="18"/>
  </r>
  <r>
    <n v="712"/>
    <x v="22"/>
    <d v="2023-09-12T00:00:00"/>
    <d v="1899-12-30T14:15:00"/>
    <n v="108"/>
    <s v="Female"/>
    <n v="57"/>
    <x v="0"/>
    <n v="2"/>
    <n v="25"/>
    <n v="11.5"/>
    <n v="50"/>
    <x v="0"/>
    <s v="Valid"/>
    <n v="38.5"/>
  </r>
  <r>
    <n v="1712"/>
    <x v="20"/>
    <d v="2023-11-25T00:00:00"/>
    <d v="1899-12-30T16:37:00"/>
    <n v="92"/>
    <s v="Female"/>
    <n v="57"/>
    <x v="0"/>
    <n v="2"/>
    <n v="25"/>
    <n v="8.75"/>
    <n v="50"/>
    <x v="0"/>
    <s v="Valid"/>
    <n v="41.25"/>
  </r>
  <r>
    <n v="468"/>
    <x v="10"/>
    <d v="2022-12-05T00:00:00"/>
    <d v="1899-12-30T14:32:00"/>
    <n v="86"/>
    <s v="Male"/>
    <n v="40"/>
    <x v="2"/>
    <n v="1"/>
    <n v="25"/>
    <n v="12.25"/>
    <n v="25"/>
    <x v="0"/>
    <s v="Valid"/>
    <n v="12.75"/>
  </r>
  <r>
    <n v="1468"/>
    <x v="20"/>
    <d v="2023-11-08T00:00:00"/>
    <d v="1899-12-30T13:14:00"/>
    <n v="73"/>
    <s v="Male"/>
    <n v="40"/>
    <x v="2"/>
    <n v="1"/>
    <n v="25"/>
    <n v="9.75"/>
    <n v="25"/>
    <x v="0"/>
    <s v="Valid"/>
    <n v="15.25"/>
  </r>
  <r>
    <n v="552"/>
    <x v="8"/>
    <d v="2022-10-29T00:00:00"/>
    <d v="1899-12-30T13:32:00"/>
    <n v="85"/>
    <s v="Female"/>
    <n v="49"/>
    <x v="2"/>
    <n v="3"/>
    <n v="25"/>
    <n v="9.75"/>
    <n v="75"/>
    <x v="0"/>
    <s v="Valid"/>
    <n v="65.25"/>
  </r>
  <r>
    <n v="771"/>
    <x v="16"/>
    <d v="2023-12-24T00:00:00"/>
    <d v="1899-12-30T12:23:00"/>
    <n v="70"/>
    <s v="Male"/>
    <n v="24"/>
    <x v="2"/>
    <n v="2"/>
    <n v="25"/>
    <n v="11.75"/>
    <n v="50"/>
    <x v="0"/>
    <s v="Valid"/>
    <n v="38.25"/>
  </r>
  <r>
    <n v="1552"/>
    <x v="3"/>
    <d v="2022-09-25T00:00:00"/>
    <d v="1899-12-30T12:11:00"/>
    <n v="55"/>
    <s v="Female"/>
    <n v="49"/>
    <x v="2"/>
    <n v="3"/>
    <n v="25"/>
    <n v="13"/>
    <n v="75"/>
    <x v="0"/>
    <s v="Valid"/>
    <n v="62"/>
  </r>
  <r>
    <n v="1771"/>
    <x v="22"/>
    <d v="2023-09-13T00:00:00"/>
    <d v="1899-12-30T13:41:00"/>
    <n v="108"/>
    <s v="Male"/>
    <n v="24"/>
    <x v="2"/>
    <n v="2"/>
    <n v="25"/>
    <n v="10.75"/>
    <n v="50"/>
    <x v="0"/>
    <s v="Valid"/>
    <n v="39.25"/>
  </r>
  <r>
    <n v="525"/>
    <x v="3"/>
    <d v="2022-09-05T00:00:00"/>
    <d v="1899-12-30T14:15:00"/>
    <n v="98"/>
    <s v="Female"/>
    <n v="47"/>
    <x v="0"/>
    <n v="2"/>
    <n v="25"/>
    <n v="7"/>
    <n v="50"/>
    <x v="0"/>
    <s v="Valid"/>
    <n v="43"/>
  </r>
  <r>
    <n v="1525"/>
    <x v="10"/>
    <d v="2022-12-13T00:00:00"/>
    <d v="1899-12-30T13:35:00"/>
    <n v="106"/>
    <s v="Female"/>
    <n v="47"/>
    <x v="0"/>
    <n v="2"/>
    <n v="25"/>
    <n v="12"/>
    <n v="50"/>
    <x v="0"/>
    <s v="Valid"/>
    <n v="38"/>
  </r>
  <r>
    <n v="890"/>
    <x v="16"/>
    <d v="2023-12-25T00:00:00"/>
    <d v="1899-12-30T14:44:00"/>
    <n v="76"/>
    <s v="Male"/>
    <n v="34"/>
    <x v="2"/>
    <n v="2"/>
    <n v="25"/>
    <n v="13.5"/>
    <n v="50"/>
    <x v="0"/>
    <s v="Valid"/>
    <n v="36.5"/>
  </r>
  <r>
    <n v="1890"/>
    <x v="12"/>
    <d v="2023-10-18T00:00:00"/>
    <d v="1899-12-30T14:20:00"/>
    <n v="51"/>
    <s v="Male"/>
    <n v="34"/>
    <x v="2"/>
    <n v="2"/>
    <n v="25"/>
    <n v="6.25"/>
    <n v="50"/>
    <x v="0"/>
    <s v="Valid"/>
    <n v="43.75"/>
  </r>
  <r>
    <n v="309"/>
    <x v="12"/>
    <d v="2023-10-12T00:00:00"/>
    <d v="1899-12-30T15:39:00"/>
    <n v="78"/>
    <s v="Female"/>
    <n v="26"/>
    <x v="0"/>
    <n v="1"/>
    <n v="25"/>
    <n v="9"/>
    <n v="25"/>
    <x v="0"/>
    <s v="Valid"/>
    <n v="16"/>
  </r>
  <r>
    <n v="544"/>
    <x v="12"/>
    <d v="2023-10-31T00:00:00"/>
    <d v="1899-12-30T13:46:00"/>
    <n v="95"/>
    <s v="Female"/>
    <n v="27"/>
    <x v="2"/>
    <n v="1"/>
    <n v="25"/>
    <n v="10.25"/>
    <n v="25"/>
    <x v="0"/>
    <s v="Valid"/>
    <n v="14.75"/>
  </r>
  <r>
    <n v="615"/>
    <x v="8"/>
    <d v="2022-10-31T00:00:00"/>
    <d v="1899-12-30T15:06:00"/>
    <n v="58"/>
    <s v="Female"/>
    <n v="61"/>
    <x v="1"/>
    <n v="4"/>
    <n v="25"/>
    <n v="10.5"/>
    <n v="100"/>
    <x v="0"/>
    <s v="Valid"/>
    <n v="89.5"/>
  </r>
  <r>
    <n v="1309"/>
    <x v="3"/>
    <d v="2022-09-30T00:00:00"/>
    <d v="1899-12-30T16:50:00"/>
    <n v="93"/>
    <s v="Female"/>
    <n v="26"/>
    <x v="0"/>
    <n v="1"/>
    <n v="25"/>
    <n v="9.5"/>
    <n v="25"/>
    <x v="0"/>
    <s v="Valid"/>
    <n v="15.5"/>
  </r>
  <r>
    <n v="1544"/>
    <x v="10"/>
    <d v="2022-12-16T00:00:00"/>
    <d v="1899-12-30T15:58:00"/>
    <n v="70"/>
    <s v="Female"/>
    <n v="27"/>
    <x v="2"/>
    <n v="1"/>
    <n v="25"/>
    <n v="11.25"/>
    <n v="25"/>
    <x v="0"/>
    <s v="Valid"/>
    <n v="13.75"/>
  </r>
  <r>
    <n v="1615"/>
    <x v="6"/>
    <d v="2022-11-17T00:00:00"/>
    <d v="1899-12-30T13:43:00"/>
    <n v="82"/>
    <s v="Female"/>
    <n v="61"/>
    <x v="1"/>
    <n v="4"/>
    <n v="25"/>
    <n v="13.5"/>
    <n v="100"/>
    <x v="0"/>
    <s v="Valid"/>
    <n v="86.5"/>
  </r>
  <r>
    <n v="429"/>
    <x v="22"/>
    <d v="2023-09-08T00:00:00"/>
    <d v="1899-12-30T14:29:00"/>
    <n v="80"/>
    <s v="Male"/>
    <n v="64"/>
    <x v="2"/>
    <n v="2"/>
    <n v="25"/>
    <n v="6.75"/>
    <n v="50"/>
    <x v="0"/>
    <s v="Valid"/>
    <n v="43.25"/>
  </r>
  <r>
    <n v="989"/>
    <x v="8"/>
    <d v="2022-10-31T00:00:00"/>
    <d v="1899-12-30T13:30:00"/>
    <n v="97"/>
    <s v="Female"/>
    <n v="44"/>
    <x v="2"/>
    <n v="1"/>
    <n v="25"/>
    <n v="8.25"/>
    <n v="25"/>
    <x v="0"/>
    <s v="Valid"/>
    <n v="16.75"/>
  </r>
  <r>
    <n v="1429"/>
    <x v="20"/>
    <d v="2023-11-22T00:00:00"/>
    <d v="1899-12-30T13:14:00"/>
    <n v="102"/>
    <s v="Male"/>
    <n v="64"/>
    <x v="2"/>
    <n v="2"/>
    <n v="25"/>
    <n v="12"/>
    <n v="50"/>
    <x v="0"/>
    <s v="Valid"/>
    <n v="38"/>
  </r>
  <r>
    <n v="1989"/>
    <x v="3"/>
    <d v="2022-09-06T00:00:00"/>
    <d v="1899-12-30T16:21:00"/>
    <n v="109"/>
    <s v="Female"/>
    <n v="44"/>
    <x v="2"/>
    <n v="1"/>
    <n v="25"/>
    <n v="13.25"/>
    <n v="25"/>
    <x v="0"/>
    <s v="Valid"/>
    <n v="11.75"/>
  </r>
  <r>
    <n v="520"/>
    <x v="8"/>
    <d v="2022-10-16T00:00:00"/>
    <d v="1899-12-30T12:42:00"/>
    <n v="79"/>
    <s v="Female"/>
    <n v="49"/>
    <x v="2"/>
    <n v="4"/>
    <n v="25"/>
    <n v="13"/>
    <n v="100"/>
    <x v="0"/>
    <s v="Valid"/>
    <n v="87"/>
  </r>
  <r>
    <n v="1520"/>
    <x v="6"/>
    <d v="2022-11-21T00:00:00"/>
    <d v="1899-12-30T15:28:00"/>
    <n v="88"/>
    <s v="Female"/>
    <n v="49"/>
    <x v="2"/>
    <n v="4"/>
    <n v="25"/>
    <n v="10.5"/>
    <n v="100"/>
    <x v="0"/>
    <s v="Valid"/>
    <n v="89.5"/>
  </r>
  <r>
    <n v="857"/>
    <x v="20"/>
    <d v="2023-11-20T00:00:00"/>
    <d v="1899-12-30T12:09:00"/>
    <n v="62"/>
    <s v="Male"/>
    <n v="60"/>
    <x v="2"/>
    <n v="2"/>
    <n v="25"/>
    <n v="12"/>
    <n v="50"/>
    <x v="0"/>
    <s v="Valid"/>
    <n v="38"/>
  </r>
  <r>
    <n v="1857"/>
    <x v="6"/>
    <d v="2022-11-09T00:00:00"/>
    <d v="1899-12-30T12:15:00"/>
    <n v="109"/>
    <s v="Male"/>
    <n v="60"/>
    <x v="2"/>
    <n v="2"/>
    <n v="25"/>
    <n v="7.5"/>
    <n v="50"/>
    <x v="0"/>
    <s v="Valid"/>
    <n v="42.5"/>
  </r>
  <r>
    <n v="303"/>
    <x v="4"/>
    <d v="2022-04-22T00:00:00"/>
    <d v="1899-12-30T11:09:00"/>
    <n v="54"/>
    <s v="Male"/>
    <n v="19"/>
    <x v="2"/>
    <n v="3"/>
    <n v="30"/>
    <n v="14.7"/>
    <n v="90"/>
    <x v="0"/>
    <s v="Valid"/>
    <n v="75.3"/>
  </r>
  <r>
    <n v="1303"/>
    <x v="2"/>
    <d v="2022-03-19T00:00:00"/>
    <d v="1899-12-30T08:59:00"/>
    <n v="58"/>
    <s v="Male"/>
    <n v="19"/>
    <x v="2"/>
    <n v="3"/>
    <n v="30"/>
    <n v="15"/>
    <n v="90"/>
    <x v="0"/>
    <s v="Valid"/>
    <n v="75"/>
  </r>
  <r>
    <n v="32"/>
    <x v="9"/>
    <d v="2022-07-16T00:00:00"/>
    <d v="1899-12-30T09:11:00"/>
    <n v="150"/>
    <s v="Male"/>
    <n v="30"/>
    <x v="0"/>
    <n v="3"/>
    <n v="30"/>
    <n v="8.4"/>
    <n v="90"/>
    <x v="0"/>
    <s v="Valid"/>
    <n v="81.599999999999994"/>
  </r>
  <r>
    <n v="1032"/>
    <x v="4"/>
    <d v="2022-04-01T00:00:00"/>
    <d v="1899-12-30T08:15:00"/>
    <n v="1"/>
    <s v="Male"/>
    <n v="30"/>
    <x v="0"/>
    <n v="3"/>
    <n v="30"/>
    <n v="10.5"/>
    <n v="90"/>
    <x v="0"/>
    <s v="Valid"/>
    <n v="79.5"/>
  </r>
  <r>
    <n v="150"/>
    <x v="4"/>
    <d v="2022-04-13T00:00:00"/>
    <d v="1899-12-30T08:25:00"/>
    <n v="89"/>
    <s v="Female"/>
    <m/>
    <x v="2"/>
    <n v="4"/>
    <n v="30"/>
    <n v="16.2"/>
    <n v="120"/>
    <x v="0"/>
    <s v="Valid"/>
    <n v="103.8"/>
  </r>
  <r>
    <n v="1150"/>
    <x v="1"/>
    <d v="2022-08-22T00:00:00"/>
    <d v="1899-12-30T10:04:00"/>
    <n v="77"/>
    <s v="Female"/>
    <m/>
    <x v="2"/>
    <n v="4"/>
    <n v="30"/>
    <n v="10.199999999999999"/>
    <n v="120"/>
    <x v="0"/>
    <s v="Valid"/>
    <n v="109.8"/>
  </r>
  <r>
    <n v="734"/>
    <x v="2"/>
    <d v="2022-03-12T00:00:00"/>
    <d v="1899-12-30T08:54:00"/>
    <n v="77"/>
    <s v="Female"/>
    <n v="27"/>
    <x v="1"/>
    <n v="1"/>
    <n v="30"/>
    <n v="15.6"/>
    <n v="30"/>
    <x v="0"/>
    <s v="Valid"/>
    <n v="14.4"/>
  </r>
  <r>
    <n v="1734"/>
    <x v="5"/>
    <d v="2022-02-28T00:00:00"/>
    <d v="1899-12-30T08:58:00"/>
    <n v="72"/>
    <s v="Female"/>
    <n v="27"/>
    <x v="1"/>
    <n v="1"/>
    <n v="30"/>
    <n v="14.4"/>
    <n v="30"/>
    <x v="0"/>
    <s v="Valid"/>
    <n v="15.6"/>
  </r>
  <r>
    <n v="1679"/>
    <x v="3"/>
    <d v="2022-09-23T00:00:00"/>
    <d v="1899-12-30T08:08:00"/>
    <n v="71"/>
    <s v="Female"/>
    <n v="18"/>
    <x v="0"/>
    <n v="3"/>
    <n v="30"/>
    <n v="15.3"/>
    <n v="90"/>
    <x v="0"/>
    <s v="Valid"/>
    <n v="74.7"/>
  </r>
  <r>
    <n v="1746"/>
    <x v="7"/>
    <d v="2022-06-13T00:00:00"/>
    <d v="1899-12-30T07:59:00"/>
    <n v="88"/>
    <s v="Female"/>
    <n v="33"/>
    <x v="1"/>
    <n v="3"/>
    <n v="30"/>
    <n v="10.8"/>
    <n v="90"/>
    <x v="0"/>
    <s v="Valid"/>
    <n v="79.2"/>
  </r>
  <r>
    <n v="3"/>
    <x v="7"/>
    <d v="2022-06-14T00:00:00"/>
    <d v="1899-12-30T07:08:00"/>
    <n v="114"/>
    <s v="Male"/>
    <n v="50"/>
    <x v="2"/>
    <n v="1"/>
    <n v="30"/>
    <n v="8.1"/>
    <n v="30"/>
    <x v="0"/>
    <s v="Valid"/>
    <n v="21.9"/>
  </r>
  <r>
    <n v="1003"/>
    <x v="11"/>
    <d v="2022-01-26T00:00:00"/>
    <d v="1899-12-30T07:59:00"/>
    <n v="80"/>
    <s v="Male"/>
    <n v="50"/>
    <x v="2"/>
    <n v="1"/>
    <n v="30"/>
    <n v="15.9"/>
    <n v="30"/>
    <x v="0"/>
    <s v="Valid"/>
    <n v="14.1"/>
  </r>
  <r>
    <n v="499"/>
    <x v="4"/>
    <d v="2022-04-03T00:00:00"/>
    <d v="1899-12-30T10:52:00"/>
    <n v="15"/>
    <s v="Male"/>
    <n v="46"/>
    <x v="0"/>
    <n v="2"/>
    <n v="30"/>
    <n v="16.5"/>
    <n v="60"/>
    <x v="0"/>
    <s v="Valid"/>
    <n v="43.5"/>
  </r>
  <r>
    <n v="1499"/>
    <x v="3"/>
    <d v="2022-09-23T00:00:00"/>
    <d v="1899-12-30T09:46:00"/>
    <n v="3"/>
    <s v="Male"/>
    <n v="46"/>
    <x v="0"/>
    <n v="2"/>
    <n v="30"/>
    <n v="11.7"/>
    <n v="60"/>
    <x v="0"/>
    <s v="Valid"/>
    <n v="48.3"/>
  </r>
  <r>
    <n v="14"/>
    <x v="0"/>
    <d v="2022-05-18T00:00:00"/>
    <d v="1899-12-30T07:11:00"/>
    <n v="8"/>
    <s v="Male"/>
    <n v="64"/>
    <x v="1"/>
    <n v="4"/>
    <n v="30"/>
    <n v="13.2"/>
    <n v="120"/>
    <x v="0"/>
    <s v="Valid"/>
    <n v="106.8"/>
  </r>
  <r>
    <n v="1014"/>
    <x v="5"/>
    <d v="2022-02-04T00:00:00"/>
    <d v="1899-12-30T10:26:00"/>
    <n v="147"/>
    <s v="Male"/>
    <n v="64"/>
    <x v="1"/>
    <n v="4"/>
    <n v="30"/>
    <n v="11.4"/>
    <n v="120"/>
    <x v="0"/>
    <s v="Valid"/>
    <n v="108.6"/>
  </r>
  <r>
    <n v="438"/>
    <x v="1"/>
    <d v="2022-08-31T00:00:00"/>
    <d v="1899-12-30T10:15:00"/>
    <n v="88"/>
    <s v="Female"/>
    <n v="42"/>
    <x v="1"/>
    <n v="1"/>
    <n v="30"/>
    <n v="15.9"/>
    <n v="30"/>
    <x v="0"/>
    <s v="Valid"/>
    <n v="14.1"/>
  </r>
  <r>
    <n v="1438"/>
    <x v="11"/>
    <d v="2022-01-07T00:00:00"/>
    <d v="1899-12-30T10:00:00"/>
    <n v="72"/>
    <s v="Female"/>
    <n v="42"/>
    <x v="1"/>
    <n v="1"/>
    <n v="30"/>
    <n v="13.8"/>
    <n v="30"/>
    <x v="0"/>
    <s v="Valid"/>
    <n v="16.2"/>
  </r>
  <r>
    <n v="344"/>
    <x v="9"/>
    <d v="2022-07-17T00:00:00"/>
    <d v="1899-12-30T09:47:00"/>
    <n v="69"/>
    <s v="Female"/>
    <n v="42"/>
    <x v="0"/>
    <n v="1"/>
    <n v="30"/>
    <n v="7.5"/>
    <n v="30"/>
    <x v="0"/>
    <s v="Valid"/>
    <n v="22.5"/>
  </r>
  <r>
    <n v="448"/>
    <x v="2"/>
    <d v="2022-03-19T00:00:00"/>
    <d v="1899-12-30T09:36:00"/>
    <n v="86"/>
    <s v="Female"/>
    <n v="54"/>
    <x v="0"/>
    <n v="2"/>
    <n v="30"/>
    <n v="16.2"/>
    <n v="60"/>
    <x v="0"/>
    <s v="Valid"/>
    <n v="43.8"/>
  </r>
  <r>
    <n v="1344"/>
    <x v="10"/>
    <d v="2022-12-18T00:00:00"/>
    <d v="1899-12-30T06:12:00"/>
    <n v="144"/>
    <s v="Female"/>
    <n v="42"/>
    <x v="0"/>
    <n v="1"/>
    <n v="30"/>
    <n v="11.1"/>
    <n v="30"/>
    <x v="0"/>
    <s v="Valid"/>
    <n v="18.899999999999999"/>
  </r>
  <r>
    <n v="1448"/>
    <x v="0"/>
    <d v="2022-05-16T00:00:00"/>
    <d v="1899-12-30T06:28:00"/>
    <n v="51"/>
    <s v="Female"/>
    <n v="54"/>
    <x v="0"/>
    <n v="2"/>
    <n v="30"/>
    <n v="9.3000000000000007"/>
    <n v="60"/>
    <x v="0"/>
    <s v="Valid"/>
    <n v="50.7"/>
  </r>
  <r>
    <n v="519"/>
    <x v="4"/>
    <d v="2022-04-08T00:00:00"/>
    <d v="1899-12-30T10:17:00"/>
    <n v="52"/>
    <s v="Female"/>
    <n v="36"/>
    <x v="2"/>
    <n v="4"/>
    <n v="30"/>
    <n v="16.5"/>
    <n v="120"/>
    <x v="0"/>
    <s v="Valid"/>
    <n v="103.5"/>
  </r>
  <r>
    <n v="1519"/>
    <x v="11"/>
    <d v="2022-01-08T00:00:00"/>
    <d v="1899-12-30T07:35:00"/>
    <n v="139"/>
    <s v="Female"/>
    <n v="36"/>
    <x v="2"/>
    <n v="4"/>
    <n v="30"/>
    <n v="9.3000000000000007"/>
    <n v="120"/>
    <x v="0"/>
    <s v="Valid"/>
    <n v="110.7"/>
  </r>
  <r>
    <n v="288"/>
    <x v="0"/>
    <d v="2022-05-02T00:00:00"/>
    <d v="1899-12-30T09:59:00"/>
    <n v="27"/>
    <s v="Male"/>
    <n v="28"/>
    <x v="1"/>
    <n v="4"/>
    <n v="30"/>
    <n v="12"/>
    <n v="120"/>
    <x v="0"/>
    <s v="Valid"/>
    <n v="108"/>
  </r>
  <r>
    <n v="1288"/>
    <x v="4"/>
    <d v="2022-04-05T00:00:00"/>
    <d v="1899-12-30T11:56:00"/>
    <n v="26"/>
    <s v="Male"/>
    <n v="28"/>
    <x v="1"/>
    <n v="4"/>
    <n v="30"/>
    <n v="9"/>
    <n v="120"/>
    <x v="0"/>
    <s v="Valid"/>
    <n v="111"/>
  </r>
  <r>
    <n v="415"/>
    <x v="11"/>
    <d v="2022-01-05T00:00:00"/>
    <d v="1899-12-30T09:59:00"/>
    <n v="85"/>
    <s v="Male"/>
    <n v="53"/>
    <x v="1"/>
    <n v="2"/>
    <n v="30"/>
    <n v="8.1"/>
    <n v="60"/>
    <x v="0"/>
    <s v="Valid"/>
    <n v="51.9"/>
  </r>
  <r>
    <n v="1415"/>
    <x v="2"/>
    <d v="2022-03-06T00:00:00"/>
    <d v="1899-12-30T07:11:00"/>
    <n v="146"/>
    <s v="Male"/>
    <n v="53"/>
    <x v="1"/>
    <n v="2"/>
    <n v="30"/>
    <n v="15.3"/>
    <n v="60"/>
    <x v="0"/>
    <s v="Valid"/>
    <n v="44.7"/>
  </r>
  <r>
    <n v="913"/>
    <x v="8"/>
    <d v="2022-10-12T00:00:00"/>
    <d v="1899-12-30T10:52:00"/>
    <n v="78"/>
    <s v="Male"/>
    <n v="29"/>
    <x v="2"/>
    <n v="3"/>
    <n v="30"/>
    <n v="16.5"/>
    <n v="90"/>
    <x v="0"/>
    <s v="Valid"/>
    <n v="73.5"/>
  </r>
  <r>
    <n v="940"/>
    <x v="11"/>
    <d v="2022-01-05T00:00:00"/>
    <d v="1899-12-30T08:11:00"/>
    <n v="46"/>
    <s v="Female"/>
    <n v="20"/>
    <x v="2"/>
    <n v="1"/>
    <n v="30"/>
    <n v="9.6"/>
    <n v="30"/>
    <x v="0"/>
    <s v="Valid"/>
    <n v="20.399999999999999"/>
  </r>
  <r>
    <n v="1913"/>
    <x v="7"/>
    <d v="2022-06-23T00:00:00"/>
    <d v="1899-12-30T07:10:00"/>
    <n v="101"/>
    <s v="Male"/>
    <n v="29"/>
    <x v="2"/>
    <n v="3"/>
    <n v="30"/>
    <n v="14.1"/>
    <n v="90"/>
    <x v="0"/>
    <s v="Valid"/>
    <n v="75.900000000000006"/>
  </r>
  <r>
    <n v="1940"/>
    <x v="7"/>
    <d v="2022-06-15T00:00:00"/>
    <d v="1899-12-30T09:47:00"/>
    <n v="56"/>
    <s v="Female"/>
    <n v="20"/>
    <x v="2"/>
    <n v="1"/>
    <n v="30"/>
    <n v="11.1"/>
    <n v="30"/>
    <x v="0"/>
    <s v="Valid"/>
    <n v="18.899999999999999"/>
  </r>
  <r>
    <n v="317"/>
    <x v="0"/>
    <d v="2022-05-04T00:00:00"/>
    <d v="1899-12-30T07:54:00"/>
    <n v="117"/>
    <s v="Male"/>
    <n v="22"/>
    <x v="2"/>
    <n v="3"/>
    <n v="30"/>
    <n v="12"/>
    <n v="90"/>
    <x v="0"/>
    <s v="Valid"/>
    <n v="78"/>
  </r>
  <r>
    <n v="1317"/>
    <x v="1"/>
    <d v="2022-08-25T00:00:00"/>
    <d v="1899-12-30T08:02:00"/>
    <n v="144"/>
    <s v="Male"/>
    <n v="22"/>
    <x v="2"/>
    <n v="3"/>
    <n v="30"/>
    <n v="12"/>
    <n v="90"/>
    <x v="0"/>
    <s v="Valid"/>
    <n v="78"/>
  </r>
  <r>
    <n v="933"/>
    <x v="3"/>
    <d v="2022-09-19T00:00:00"/>
    <d v="1899-12-30T07:53:00"/>
    <n v="81"/>
    <s v="Male"/>
    <n v="22"/>
    <x v="0"/>
    <n v="1"/>
    <n v="30"/>
    <n v="12.9"/>
    <n v="30"/>
    <x v="0"/>
    <s v="Valid"/>
    <n v="17.100000000000001"/>
  </r>
  <r>
    <n v="1933"/>
    <x v="11"/>
    <d v="2022-01-12T00:00:00"/>
    <d v="1899-12-30T11:04:00"/>
    <n v="121"/>
    <s v="Male"/>
    <n v="22"/>
    <x v="0"/>
    <n v="1"/>
    <n v="30"/>
    <n v="14.4"/>
    <n v="30"/>
    <x v="0"/>
    <s v="Valid"/>
    <n v="15.6"/>
  </r>
  <r>
    <n v="335"/>
    <x v="5"/>
    <d v="2022-02-02T00:00:00"/>
    <d v="1899-12-30T09:23:00"/>
    <n v="2"/>
    <s v="Female"/>
    <n v="47"/>
    <x v="0"/>
    <n v="4"/>
    <n v="30"/>
    <n v="10.8"/>
    <n v="120"/>
    <x v="0"/>
    <s v="Valid"/>
    <n v="109.2"/>
  </r>
  <r>
    <n v="1335"/>
    <x v="0"/>
    <d v="2022-05-27T00:00:00"/>
    <d v="1899-12-30T08:45:00"/>
    <n v="117"/>
    <s v="Female"/>
    <n v="47"/>
    <x v="0"/>
    <n v="4"/>
    <n v="30"/>
    <n v="8.6999999999999993"/>
    <n v="120"/>
    <x v="0"/>
    <s v="Valid"/>
    <n v="111.3"/>
  </r>
  <r>
    <n v="195"/>
    <x v="1"/>
    <d v="2022-08-14T00:00:00"/>
    <d v="1899-12-30T11:51:00"/>
    <n v="10"/>
    <s v="Male"/>
    <n v="52"/>
    <x v="1"/>
    <n v="1"/>
    <n v="30"/>
    <n v="9.3000000000000007"/>
    <n v="30"/>
    <x v="0"/>
    <s v="Valid"/>
    <n v="20.7"/>
  </r>
  <r>
    <n v="530"/>
    <x v="0"/>
    <d v="2022-05-01T00:00:00"/>
    <d v="1899-12-30T07:52:00"/>
    <n v="8"/>
    <s v="Female"/>
    <n v="18"/>
    <x v="2"/>
    <n v="4"/>
    <n v="30"/>
    <n v="9"/>
    <n v="120"/>
    <x v="0"/>
    <s v="Valid"/>
    <n v="111"/>
  </r>
  <r>
    <n v="793"/>
    <x v="0"/>
    <d v="2022-05-27T00:00:00"/>
    <d v="1899-12-30T10:53:00"/>
    <n v="1"/>
    <s v="Male"/>
    <n v="54"/>
    <x v="0"/>
    <n v="1"/>
    <n v="30"/>
    <n v="14.7"/>
    <n v="30"/>
    <x v="0"/>
    <s v="Valid"/>
    <n v="15.3"/>
  </r>
  <r>
    <n v="1195"/>
    <x v="3"/>
    <d v="2022-09-21T00:00:00"/>
    <d v="1899-12-30T07:07:00"/>
    <n v="55"/>
    <s v="Male"/>
    <n v="52"/>
    <x v="1"/>
    <n v="1"/>
    <n v="30"/>
    <n v="12"/>
    <n v="30"/>
    <x v="0"/>
    <s v="Valid"/>
    <n v="18"/>
  </r>
  <r>
    <n v="1530"/>
    <x v="10"/>
    <d v="2022-12-10T00:00:00"/>
    <d v="1899-12-30T08:17:00"/>
    <n v="93"/>
    <s v="Female"/>
    <n v="18"/>
    <x v="2"/>
    <n v="4"/>
    <n v="30"/>
    <n v="12.3"/>
    <n v="120"/>
    <x v="0"/>
    <s v="Valid"/>
    <n v="107.7"/>
  </r>
  <r>
    <n v="1793"/>
    <x v="10"/>
    <d v="2022-12-11T00:00:00"/>
    <d v="1899-12-30T06:05:00"/>
    <n v="88"/>
    <s v="Male"/>
    <n v="54"/>
    <x v="0"/>
    <n v="1"/>
    <n v="30"/>
    <n v="10.8"/>
    <n v="30"/>
    <x v="0"/>
    <s v="Valid"/>
    <n v="19.2"/>
  </r>
  <r>
    <n v="331"/>
    <x v="1"/>
    <d v="2022-08-16T00:00:00"/>
    <d v="1899-12-30T08:33:00"/>
    <n v="28"/>
    <s v="Male"/>
    <n v="28"/>
    <x v="2"/>
    <n v="3"/>
    <n v="30"/>
    <n v="10.199999999999999"/>
    <n v="90"/>
    <x v="0"/>
    <s v="Valid"/>
    <n v="79.8"/>
  </r>
  <r>
    <n v="1331"/>
    <x v="0"/>
    <d v="2022-05-15T00:00:00"/>
    <d v="1899-12-30T09:29:00"/>
    <n v="36"/>
    <s v="Male"/>
    <n v="28"/>
    <x v="2"/>
    <n v="3"/>
    <n v="30"/>
    <n v="13.8"/>
    <n v="90"/>
    <x v="0"/>
    <s v="Valid"/>
    <n v="76.2"/>
  </r>
  <r>
    <n v="861"/>
    <x v="3"/>
    <d v="2022-09-30T00:00:00"/>
    <d v="1899-12-30T08:57:00"/>
    <n v="22"/>
    <s v="Female"/>
    <n v="41"/>
    <x v="1"/>
    <n v="3"/>
    <n v="30"/>
    <n v="9.6"/>
    <n v="90"/>
    <x v="0"/>
    <s v="Valid"/>
    <n v="80.400000000000006"/>
  </r>
  <r>
    <n v="1861"/>
    <x v="9"/>
    <d v="2022-07-04T00:00:00"/>
    <d v="1899-12-30T10:41:00"/>
    <n v="145"/>
    <s v="Female"/>
    <n v="41"/>
    <x v="1"/>
    <n v="3"/>
    <n v="30"/>
    <n v="10.199999999999999"/>
    <n v="90"/>
    <x v="0"/>
    <s v="Valid"/>
    <n v="79.8"/>
  </r>
  <r>
    <n v="268"/>
    <x v="4"/>
    <d v="2022-04-14T00:00:00"/>
    <d v="1899-12-30T08:26:00"/>
    <n v="93"/>
    <s v="Female"/>
    <n v="28"/>
    <x v="2"/>
    <n v="1"/>
    <n v="30"/>
    <n v="8.6999999999999993"/>
    <n v="30"/>
    <x v="0"/>
    <s v="Valid"/>
    <n v="21.3"/>
  </r>
  <r>
    <n v="1268"/>
    <x v="7"/>
    <d v="2022-06-09T00:00:00"/>
    <d v="1899-12-30T09:33:00"/>
    <n v="15"/>
    <s v="Female"/>
    <n v="28"/>
    <x v="2"/>
    <n v="1"/>
    <n v="30"/>
    <n v="14.1"/>
    <n v="30"/>
    <x v="0"/>
    <s v="Valid"/>
    <n v="15.9"/>
  </r>
  <r>
    <n v="900"/>
    <x v="6"/>
    <d v="2022-11-10T00:00:00"/>
    <d v="1899-12-30T08:41:00"/>
    <n v="130"/>
    <s v="Male"/>
    <n v="21"/>
    <x v="1"/>
    <n v="2"/>
    <n v="30"/>
    <n v="15.6"/>
    <n v="60"/>
    <x v="0"/>
    <s v="Valid"/>
    <n v="44.4"/>
  </r>
  <r>
    <n v="1900"/>
    <x v="11"/>
    <d v="2022-01-21T00:00:00"/>
    <d v="1899-12-30T06:43:00"/>
    <n v="65"/>
    <s v="Male"/>
    <n v="21"/>
    <x v="1"/>
    <n v="2"/>
    <n v="30"/>
    <n v="10.8"/>
    <n v="60"/>
    <x v="0"/>
    <s v="Valid"/>
    <n v="49.2"/>
  </r>
  <r>
    <n v="396"/>
    <x v="10"/>
    <d v="2022-12-15T00:00:00"/>
    <d v="1899-12-30T07:11:00"/>
    <n v="29"/>
    <s v="Female"/>
    <n v="55"/>
    <x v="0"/>
    <n v="1"/>
    <n v="30"/>
    <n v="10.8"/>
    <n v="30"/>
    <x v="0"/>
    <s v="Valid"/>
    <n v="19.2"/>
  </r>
  <r>
    <n v="1396"/>
    <x v="7"/>
    <d v="2022-06-07T00:00:00"/>
    <d v="1899-12-30T06:23:00"/>
    <n v="9"/>
    <s v="Female"/>
    <n v="55"/>
    <x v="0"/>
    <n v="1"/>
    <n v="30"/>
    <n v="8.4"/>
    <n v="30"/>
    <x v="0"/>
    <s v="Valid"/>
    <n v="21.6"/>
  </r>
  <r>
    <n v="753"/>
    <x v="9"/>
    <d v="2022-07-06T00:00:00"/>
    <d v="1899-12-30T10:07:00"/>
    <n v="70"/>
    <s v="Female"/>
    <n v="32"/>
    <x v="1"/>
    <n v="1"/>
    <n v="30"/>
    <n v="15.9"/>
    <n v="30"/>
    <x v="0"/>
    <s v="Valid"/>
    <n v="14.1"/>
  </r>
  <r>
    <n v="1753"/>
    <x v="9"/>
    <d v="2022-07-17T00:00:00"/>
    <d v="1899-12-30T07:40:00"/>
    <n v="28"/>
    <s v="Female"/>
    <n v="32"/>
    <x v="1"/>
    <n v="1"/>
    <n v="30"/>
    <n v="10.5"/>
    <n v="30"/>
    <x v="0"/>
    <s v="Valid"/>
    <n v="19.5"/>
  </r>
  <r>
    <n v="399"/>
    <x v="10"/>
    <d v="2022-12-07T00:00:00"/>
    <d v="1899-12-30T09:25:00"/>
    <n v="136"/>
    <s v="Female"/>
    <n v="64"/>
    <x v="0"/>
    <n v="2"/>
    <n v="30"/>
    <n v="12.9"/>
    <n v="60"/>
    <x v="0"/>
    <s v="Valid"/>
    <n v="47.1"/>
  </r>
  <r>
    <n v="1399"/>
    <x v="11"/>
    <d v="2022-01-28T00:00:00"/>
    <d v="1899-12-30T09:32:00"/>
    <n v="15"/>
    <s v="Female"/>
    <n v="64"/>
    <x v="0"/>
    <n v="2"/>
    <n v="30"/>
    <n v="16.2"/>
    <n v="60"/>
    <x v="0"/>
    <s v="Valid"/>
    <n v="43.8"/>
  </r>
  <r>
    <n v="885"/>
    <x v="3"/>
    <d v="2022-09-17T00:00:00"/>
    <d v="1899-12-30T10:10:00"/>
    <n v="121"/>
    <s v="Female"/>
    <n v="52"/>
    <x v="1"/>
    <n v="4"/>
    <n v="30"/>
    <n v="14.4"/>
    <n v="120"/>
    <x v="0"/>
    <s v="Valid"/>
    <n v="105.6"/>
  </r>
  <r>
    <n v="1885"/>
    <x v="6"/>
    <d v="2022-11-09T00:00:00"/>
    <d v="1899-12-30T07:32:00"/>
    <n v="148"/>
    <s v="Female"/>
    <n v="52"/>
    <x v="1"/>
    <n v="4"/>
    <n v="30"/>
    <n v="10.8"/>
    <n v="120"/>
    <x v="0"/>
    <s v="Valid"/>
    <n v="109.2"/>
  </r>
  <r>
    <n v="536"/>
    <x v="1"/>
    <d v="2022-08-20T00:00:00"/>
    <d v="1899-12-30T06:25:00"/>
    <n v="17"/>
    <s v="Female"/>
    <n v="55"/>
    <x v="0"/>
    <n v="4"/>
    <n v="30"/>
    <n v="8.6999999999999993"/>
    <n v="120"/>
    <x v="0"/>
    <s v="Valid"/>
    <n v="111.3"/>
  </r>
  <r>
    <n v="1536"/>
    <x v="0"/>
    <d v="2022-05-11T00:00:00"/>
    <d v="1899-12-30T07:23:00"/>
    <n v="14"/>
    <s v="Female"/>
    <n v="55"/>
    <x v="0"/>
    <n v="4"/>
    <n v="30"/>
    <n v="13.5"/>
    <n v="120"/>
    <x v="0"/>
    <s v="Valid"/>
    <n v="106.5"/>
  </r>
  <r>
    <n v="444"/>
    <x v="8"/>
    <d v="2022-10-06T00:00:00"/>
    <d v="1899-12-30T07:06:00"/>
    <n v="51"/>
    <s v="Female"/>
    <n v="61"/>
    <x v="1"/>
    <n v="3"/>
    <n v="30"/>
    <n v="15.9"/>
    <n v="90"/>
    <x v="0"/>
    <s v="Valid"/>
    <n v="74.099999999999994"/>
  </r>
  <r>
    <n v="1444"/>
    <x v="4"/>
    <d v="2022-04-29T00:00:00"/>
    <d v="1899-12-30T06:18:00"/>
    <n v="135"/>
    <s v="Female"/>
    <n v="61"/>
    <x v="1"/>
    <n v="3"/>
    <n v="30"/>
    <n v="14.1"/>
    <n v="90"/>
    <x v="0"/>
    <s v="Valid"/>
    <n v="75.900000000000006"/>
  </r>
  <r>
    <n v="436"/>
    <x v="12"/>
    <d v="2023-10-22T00:00:00"/>
    <d v="1899-12-30T11:54:00"/>
    <n v="21"/>
    <s v="Female"/>
    <n v="57"/>
    <x v="1"/>
    <n v="4"/>
    <n v="30"/>
    <n v="13.5"/>
    <n v="120"/>
    <x v="0"/>
    <s v="Valid"/>
    <n v="106.5"/>
  </r>
  <r>
    <n v="1436"/>
    <x v="13"/>
    <d v="2023-01-20T00:00:00"/>
    <d v="1899-12-30T11:29:00"/>
    <n v="1"/>
    <s v="Female"/>
    <n v="57"/>
    <x v="1"/>
    <n v="4"/>
    <n v="30"/>
    <n v="9.9"/>
    <n v="120"/>
    <x v="0"/>
    <s v="Valid"/>
    <n v="110.1"/>
  </r>
  <r>
    <n v="659"/>
    <x v="17"/>
    <d v="2023-06-09T00:00:00"/>
    <d v="1899-12-30T06:08:00"/>
    <n v="75"/>
    <s v="Female"/>
    <n v="39"/>
    <x v="2"/>
    <n v="1"/>
    <n v="30"/>
    <n v="8.1"/>
    <n v="30"/>
    <x v="0"/>
    <s v="Valid"/>
    <n v="21.9"/>
  </r>
  <r>
    <n v="1659"/>
    <x v="15"/>
    <d v="2023-07-27T00:00:00"/>
    <d v="1899-12-30T09:29:00"/>
    <n v="22"/>
    <s v="Female"/>
    <n v="39"/>
    <x v="2"/>
    <n v="1"/>
    <n v="30"/>
    <n v="9"/>
    <n v="30"/>
    <x v="0"/>
    <s v="Valid"/>
    <n v="21"/>
  </r>
  <r>
    <n v="383"/>
    <x v="23"/>
    <d v="2023-03-24T00:00:00"/>
    <d v="1899-12-30T08:53:00"/>
    <n v="64"/>
    <s v="Female"/>
    <n v="46"/>
    <x v="0"/>
    <n v="3"/>
    <n v="30"/>
    <n v="7.8"/>
    <n v="90"/>
    <x v="0"/>
    <s v="Valid"/>
    <n v="82.2"/>
  </r>
  <r>
    <n v="1383"/>
    <x v="22"/>
    <d v="2023-09-06T00:00:00"/>
    <d v="1899-12-30T09:13:00"/>
    <n v="68"/>
    <s v="Female"/>
    <n v="46"/>
    <x v="0"/>
    <n v="3"/>
    <n v="30"/>
    <n v="14.1"/>
    <n v="90"/>
    <x v="0"/>
    <s v="Valid"/>
    <n v="75.900000000000006"/>
  </r>
  <r>
    <n v="301"/>
    <x v="15"/>
    <d v="2023-07-30T00:00:00"/>
    <d v="1899-12-30T10:58:00"/>
    <n v="104"/>
    <s v="Male"/>
    <n v="30"/>
    <x v="1"/>
    <n v="4"/>
    <n v="30"/>
    <n v="9.6"/>
    <n v="120"/>
    <x v="0"/>
    <s v="Valid"/>
    <n v="110.4"/>
  </r>
  <r>
    <n v="1301"/>
    <x v="22"/>
    <d v="2023-09-24T00:00:00"/>
    <d v="1899-12-30T09:58:00"/>
    <n v="70"/>
    <s v="Male"/>
    <n v="30"/>
    <x v="1"/>
    <n v="4"/>
    <n v="30"/>
    <n v="10.5"/>
    <n v="120"/>
    <x v="0"/>
    <s v="Valid"/>
    <n v="109.5"/>
  </r>
  <r>
    <n v="294"/>
    <x v="12"/>
    <d v="2023-10-09T00:00:00"/>
    <d v="1899-12-30T09:24:00"/>
    <n v="89"/>
    <s v="Female"/>
    <n v="23"/>
    <x v="1"/>
    <n v="3"/>
    <n v="30"/>
    <n v="15.3"/>
    <n v="90"/>
    <x v="0"/>
    <s v="Valid"/>
    <n v="74.7"/>
  </r>
  <r>
    <n v="1294"/>
    <x v="13"/>
    <d v="2023-01-24T00:00:00"/>
    <d v="1899-12-30T11:24:00"/>
    <n v="8"/>
    <s v="Female"/>
    <n v="23"/>
    <x v="1"/>
    <n v="3"/>
    <n v="30"/>
    <n v="10.5"/>
    <n v="90"/>
    <x v="0"/>
    <s v="Valid"/>
    <n v="79.5"/>
  </r>
  <r>
    <n v="719"/>
    <x v="15"/>
    <d v="2023-07-02T00:00:00"/>
    <d v="1899-12-30T07:19:00"/>
    <n v="37"/>
    <s v="Female"/>
    <n v="42"/>
    <x v="1"/>
    <n v="2"/>
    <n v="30"/>
    <n v="12"/>
    <n v="60"/>
    <x v="0"/>
    <s v="Valid"/>
    <n v="48"/>
  </r>
  <r>
    <n v="834"/>
    <x v="20"/>
    <d v="2023-11-26T00:00:00"/>
    <d v="1899-12-30T06:55:00"/>
    <n v="13"/>
    <s v="Female"/>
    <n v="56"/>
    <x v="0"/>
    <n v="2"/>
    <n v="30"/>
    <n v="14.7"/>
    <n v="60"/>
    <x v="0"/>
    <s v="Valid"/>
    <n v="45.3"/>
  </r>
  <r>
    <n v="1719"/>
    <x v="16"/>
    <d v="2023-12-28T00:00:00"/>
    <d v="1899-12-30T07:29:00"/>
    <n v="4"/>
    <s v="Female"/>
    <n v="42"/>
    <x v="1"/>
    <n v="2"/>
    <n v="30"/>
    <n v="10.8"/>
    <n v="60"/>
    <x v="0"/>
    <s v="Valid"/>
    <n v="49.2"/>
  </r>
  <r>
    <n v="1834"/>
    <x v="14"/>
    <d v="2023-04-14T00:00:00"/>
    <d v="1899-12-30T06:53:00"/>
    <n v="102"/>
    <s v="Female"/>
    <n v="56"/>
    <x v="0"/>
    <n v="2"/>
    <n v="30"/>
    <n v="12.9"/>
    <n v="60"/>
    <x v="0"/>
    <s v="Valid"/>
    <n v="47.1"/>
  </r>
  <r>
    <n v="255"/>
    <x v="12"/>
    <d v="2023-10-15T00:00:00"/>
    <d v="1899-12-30T11:44:00"/>
    <n v="19"/>
    <s v="Male"/>
    <n v="48"/>
    <x v="1"/>
    <n v="1"/>
    <n v="30"/>
    <n v="14.7"/>
    <n v="30"/>
    <x v="0"/>
    <s v="Valid"/>
    <n v="15.3"/>
  </r>
  <r>
    <n v="314"/>
    <x v="12"/>
    <d v="2023-10-15T00:00:00"/>
    <d v="1899-12-30T07:37:00"/>
    <n v="1"/>
    <s v="Male"/>
    <n v="52"/>
    <x v="1"/>
    <n v="4"/>
    <n v="30"/>
    <n v="7.8"/>
    <n v="120"/>
    <x v="0"/>
    <s v="Valid"/>
    <n v="112.2"/>
  </r>
  <r>
    <n v="1255"/>
    <x v="13"/>
    <d v="2023-01-20T00:00:00"/>
    <d v="1899-12-30T07:08:00"/>
    <n v="4"/>
    <s v="Male"/>
    <n v="48"/>
    <x v="1"/>
    <n v="1"/>
    <n v="30"/>
    <n v="7.8"/>
    <n v="30"/>
    <x v="0"/>
    <s v="Valid"/>
    <n v="22.2"/>
  </r>
  <r>
    <n v="1314"/>
    <x v="18"/>
    <d v="2023-05-23T00:00:00"/>
    <d v="1899-12-30T10:26:00"/>
    <n v="2"/>
    <s v="Male"/>
    <n v="52"/>
    <x v="1"/>
    <n v="4"/>
    <n v="30"/>
    <n v="16.2"/>
    <n v="120"/>
    <x v="0"/>
    <s v="Valid"/>
    <n v="103.8"/>
  </r>
  <r>
    <n v="548"/>
    <x v="14"/>
    <d v="2023-04-14T00:00:00"/>
    <d v="1899-12-30T07:00:00"/>
    <n v="4"/>
    <s v="Female"/>
    <n v="51"/>
    <x v="1"/>
    <n v="2"/>
    <n v="30"/>
    <n v="15.6"/>
    <n v="60"/>
    <x v="0"/>
    <s v="Valid"/>
    <n v="44.4"/>
  </r>
  <r>
    <n v="1548"/>
    <x v="13"/>
    <d v="2023-01-13T00:00:00"/>
    <d v="1899-12-30T08:15:00"/>
    <n v="1"/>
    <s v="Female"/>
    <n v="51"/>
    <x v="1"/>
    <n v="2"/>
    <n v="30"/>
    <n v="12.6"/>
    <n v="60"/>
    <x v="0"/>
    <s v="Valid"/>
    <n v="47.4"/>
  </r>
  <r>
    <n v="601"/>
    <x v="17"/>
    <d v="2023-06-05T00:00:00"/>
    <d v="1899-12-30T09:23:00"/>
    <n v="5"/>
    <s v="Male"/>
    <n v="19"/>
    <x v="1"/>
    <n v="1"/>
    <n v="30"/>
    <n v="13.2"/>
    <n v="30"/>
    <x v="0"/>
    <s v="Valid"/>
    <n v="16.8"/>
  </r>
  <r>
    <n v="901"/>
    <x v="21"/>
    <d v="2023-08-02T00:00:00"/>
    <d v="1899-12-30T06:38:00"/>
    <n v="2"/>
    <s v="Male"/>
    <n v="31"/>
    <x v="2"/>
    <n v="1"/>
    <n v="30"/>
    <n v="12"/>
    <n v="30"/>
    <x v="0"/>
    <s v="Valid"/>
    <n v="18"/>
  </r>
  <r>
    <n v="1601"/>
    <x v="22"/>
    <d v="2023-09-14T00:00:00"/>
    <d v="1899-12-30T11:48:00"/>
    <n v="1"/>
    <s v="Male"/>
    <n v="19"/>
    <x v="1"/>
    <n v="1"/>
    <n v="30"/>
    <n v="13.5"/>
    <n v="30"/>
    <x v="0"/>
    <s v="Valid"/>
    <n v="16.5"/>
  </r>
  <r>
    <n v="1901"/>
    <x v="20"/>
    <d v="2023-11-29T00:00:00"/>
    <d v="1899-12-30T11:05:00"/>
    <n v="4"/>
    <s v="Male"/>
    <n v="31"/>
    <x v="2"/>
    <n v="1"/>
    <n v="30"/>
    <n v="8.4"/>
    <n v="30"/>
    <x v="0"/>
    <s v="Valid"/>
    <n v="21.6"/>
  </r>
  <r>
    <n v="23"/>
    <x v="22"/>
    <d v="2023-09-28T00:00:00"/>
    <d v="1899-12-30T07:05:00"/>
    <n v="4"/>
    <s v="Female"/>
    <n v="35"/>
    <x v="1"/>
    <n v="4"/>
    <n v="30"/>
    <n v="14.7"/>
    <n v="120"/>
    <x v="0"/>
    <s v="Valid"/>
    <n v="105.3"/>
  </r>
  <r>
    <n v="1000"/>
    <x v="14"/>
    <d v="2023-04-01T00:00:00"/>
    <d v="1899-12-30T10:22:00"/>
    <n v="1"/>
    <s v="Male"/>
    <n v="47"/>
    <x v="2"/>
    <n v="4"/>
    <n v="30"/>
    <n v="8.4"/>
    <n v="120"/>
    <x v="0"/>
    <s v="Valid"/>
    <n v="111.6"/>
  </r>
  <r>
    <n v="1023"/>
    <x v="18"/>
    <d v="2023-05-23T00:00:00"/>
    <d v="1899-12-30T08:40:00"/>
    <n v="5"/>
    <s v="Female"/>
    <n v="35"/>
    <x v="1"/>
    <n v="4"/>
    <n v="30"/>
    <n v="8.1"/>
    <n v="120"/>
    <x v="0"/>
    <s v="Valid"/>
    <n v="111.9"/>
  </r>
  <r>
    <n v="2000"/>
    <x v="23"/>
    <d v="2023-03-31T00:00:00"/>
    <d v="1899-12-30T06:38:00"/>
    <n v="4"/>
    <s v="Male"/>
    <n v="47"/>
    <x v="2"/>
    <n v="4"/>
    <n v="30"/>
    <n v="10.8"/>
    <n v="120"/>
    <x v="0"/>
    <s v="Valid"/>
    <n v="109.2"/>
  </r>
  <r>
    <n v="478"/>
    <x v="15"/>
    <d v="2023-07-24T00:00:00"/>
    <d v="1899-12-30T11:13:00"/>
    <n v="3"/>
    <s v="Female"/>
    <n v="58"/>
    <x v="1"/>
    <n v="2"/>
    <n v="30"/>
    <n v="8.1"/>
    <n v="60"/>
    <x v="0"/>
    <s v="Valid"/>
    <n v="51.9"/>
  </r>
  <r>
    <n v="1478"/>
    <x v="21"/>
    <d v="2023-08-31T00:00:00"/>
    <d v="1899-12-30T09:18:00"/>
    <n v="1"/>
    <s v="Female"/>
    <n v="58"/>
    <x v="1"/>
    <n v="2"/>
    <n v="30"/>
    <n v="13.5"/>
    <n v="60"/>
    <x v="0"/>
    <s v="Valid"/>
    <n v="46.5"/>
  </r>
  <r>
    <n v="39"/>
    <x v="15"/>
    <d v="2023-07-11T00:00:00"/>
    <d v="1899-12-30T22:44:00"/>
    <n v="5"/>
    <s v="Male"/>
    <n v="23"/>
    <x v="1"/>
    <n v="4"/>
    <n v="30"/>
    <n v="8.6999999999999993"/>
    <n v="120"/>
    <x v="0"/>
    <s v="Valid"/>
    <n v="111.3"/>
  </r>
  <r>
    <n v="1039"/>
    <x v="16"/>
    <d v="2023-12-03T00:00:00"/>
    <d v="1899-12-30T20:01:00"/>
    <n v="1"/>
    <s v="Male"/>
    <n v="23"/>
    <x v="1"/>
    <n v="4"/>
    <n v="30"/>
    <n v="13.8"/>
    <n v="120"/>
    <x v="0"/>
    <s v="Valid"/>
    <n v="106.2"/>
  </r>
  <r>
    <n v="613"/>
    <x v="18"/>
    <d v="2023-05-08T00:00:00"/>
    <d v="1899-12-30T17:23:00"/>
    <n v="2"/>
    <s v="Female"/>
    <n v="52"/>
    <x v="1"/>
    <n v="3"/>
    <n v="30"/>
    <n v="11.4"/>
    <n v="90"/>
    <x v="0"/>
    <s v="Valid"/>
    <n v="78.599999999999994"/>
  </r>
  <r>
    <n v="691"/>
    <x v="18"/>
    <d v="2023-05-12T00:00:00"/>
    <d v="1899-12-30T21:09:00"/>
    <n v="5"/>
    <s v="Female"/>
    <n v="51"/>
    <x v="1"/>
    <n v="3"/>
    <n v="30"/>
    <n v="14.7"/>
    <n v="90"/>
    <x v="0"/>
    <s v="Valid"/>
    <n v="75.3"/>
  </r>
  <r>
    <n v="1613"/>
    <x v="16"/>
    <d v="2023-12-14T00:00:00"/>
    <d v="1899-12-30T21:58:00"/>
    <n v="4"/>
    <s v="Female"/>
    <n v="52"/>
    <x v="1"/>
    <n v="3"/>
    <n v="30"/>
    <n v="9.9"/>
    <n v="90"/>
    <x v="0"/>
    <s v="Valid"/>
    <n v="80.099999999999994"/>
  </r>
  <r>
    <n v="1691"/>
    <x v="13"/>
    <d v="2023-01-07T00:00:00"/>
    <d v="1899-12-30T20:01:00"/>
    <n v="1"/>
    <s v="Female"/>
    <n v="51"/>
    <x v="1"/>
    <n v="3"/>
    <n v="30"/>
    <n v="13.5"/>
    <n v="90"/>
    <x v="0"/>
    <s v="Valid"/>
    <n v="76.5"/>
  </r>
  <r>
    <n v="477"/>
    <x v="16"/>
    <d v="2023-12-03T00:00:00"/>
    <d v="1899-12-30T17:24:00"/>
    <n v="3"/>
    <s v="Male"/>
    <n v="43"/>
    <x v="1"/>
    <n v="4"/>
    <n v="30"/>
    <n v="16.2"/>
    <n v="120"/>
    <x v="0"/>
    <s v="Valid"/>
    <n v="103.8"/>
  </r>
  <r>
    <n v="1477"/>
    <x v="13"/>
    <d v="2023-01-08T00:00:00"/>
    <d v="1899-12-30T21:59:00"/>
    <n v="3"/>
    <s v="Male"/>
    <n v="43"/>
    <x v="1"/>
    <n v="4"/>
    <n v="30"/>
    <n v="15.6"/>
    <n v="120"/>
    <x v="0"/>
    <s v="Valid"/>
    <n v="104.4"/>
  </r>
  <r>
    <n v="6"/>
    <x v="20"/>
    <d v="2023-11-15T00:00:00"/>
    <d v="1899-12-30T22:16:00"/>
    <n v="2"/>
    <s v="Female"/>
    <n v="45"/>
    <x v="0"/>
    <n v="1"/>
    <n v="30"/>
    <n v="15"/>
    <n v="30"/>
    <x v="0"/>
    <s v="Valid"/>
    <n v="15"/>
  </r>
  <r>
    <n v="483"/>
    <x v="19"/>
    <d v="2023-02-06T00:00:00"/>
    <d v="1899-12-30T17:25:00"/>
    <n v="2"/>
    <s v="Male"/>
    <n v="55"/>
    <x v="1"/>
    <n v="1"/>
    <n v="30"/>
    <n v="8.4"/>
    <n v="30"/>
    <x v="0"/>
    <s v="Valid"/>
    <n v="21.6"/>
  </r>
  <r>
    <n v="1006"/>
    <x v="12"/>
    <d v="2023-10-29T00:00:00"/>
    <d v="1899-12-30T19:23:00"/>
    <n v="2"/>
    <s v="Female"/>
    <n v="45"/>
    <x v="0"/>
    <n v="1"/>
    <n v="30"/>
    <n v="14.1"/>
    <n v="30"/>
    <x v="0"/>
    <s v="Valid"/>
    <n v="15.9"/>
  </r>
  <r>
    <n v="1483"/>
    <x v="23"/>
    <d v="2023-03-05T00:00:00"/>
    <d v="1899-12-30T19:53:00"/>
    <n v="1"/>
    <s v="Male"/>
    <n v="55"/>
    <x v="1"/>
    <n v="1"/>
    <n v="30"/>
    <n v="8.6999999999999993"/>
    <n v="30"/>
    <x v="0"/>
    <s v="Valid"/>
    <n v="21.3"/>
  </r>
  <r>
    <n v="222"/>
    <x v="13"/>
    <d v="2023-01-07T00:00:00"/>
    <d v="1899-12-30T18:56:00"/>
    <n v="4"/>
    <s v="Male"/>
    <n v="51"/>
    <x v="1"/>
    <n v="4"/>
    <n v="30"/>
    <n v="10.5"/>
    <n v="120"/>
    <x v="0"/>
    <s v="Valid"/>
    <n v="109.5"/>
  </r>
  <r>
    <n v="588"/>
    <x v="12"/>
    <d v="2023-10-18T00:00:00"/>
    <d v="1899-12-30T17:54:00"/>
    <n v="5"/>
    <s v="Male"/>
    <n v="38"/>
    <x v="2"/>
    <n v="2"/>
    <n v="30"/>
    <n v="13.8"/>
    <n v="60"/>
    <x v="0"/>
    <s v="Valid"/>
    <n v="46.2"/>
  </r>
  <r>
    <n v="953"/>
    <x v="15"/>
    <d v="2023-07-02T00:00:00"/>
    <d v="1899-12-30T17:58:00"/>
    <n v="1"/>
    <s v="Male"/>
    <n v="45"/>
    <x v="0"/>
    <n v="3"/>
    <n v="30"/>
    <n v="12.6"/>
    <n v="90"/>
    <x v="0"/>
    <s v="Valid"/>
    <n v="77.400000000000006"/>
  </r>
  <r>
    <n v="1222"/>
    <x v="22"/>
    <d v="2023-09-17T00:00:00"/>
    <d v="1899-12-30T18:15:00"/>
    <n v="3"/>
    <s v="Male"/>
    <n v="51"/>
    <x v="1"/>
    <n v="4"/>
    <n v="30"/>
    <n v="11.1"/>
    <n v="120"/>
    <x v="0"/>
    <s v="Valid"/>
    <n v="108.9"/>
  </r>
  <r>
    <n v="1588"/>
    <x v="17"/>
    <d v="2023-06-25T00:00:00"/>
    <d v="1899-12-30T21:29:00"/>
    <n v="4"/>
    <s v="Male"/>
    <n v="38"/>
    <x v="2"/>
    <n v="2"/>
    <n v="30"/>
    <n v="13.2"/>
    <n v="60"/>
    <x v="0"/>
    <s v="Valid"/>
    <n v="46.8"/>
  </r>
  <r>
    <n v="1953"/>
    <x v="18"/>
    <d v="2023-05-15T00:00:00"/>
    <d v="1899-12-30T17:34:00"/>
    <n v="3"/>
    <s v="Male"/>
    <n v="45"/>
    <x v="0"/>
    <n v="3"/>
    <n v="30"/>
    <n v="10.199999999999999"/>
    <n v="90"/>
    <x v="0"/>
    <s v="Valid"/>
    <n v="79.8"/>
  </r>
  <r>
    <n v="66"/>
    <x v="17"/>
    <d v="2023-06-18T00:00:00"/>
    <d v="1899-12-30T22:49:00"/>
    <n v="3"/>
    <s v="Female"/>
    <n v="45"/>
    <x v="2"/>
    <n v="1"/>
    <n v="30"/>
    <n v="9"/>
    <n v="30"/>
    <x v="0"/>
    <s v="Valid"/>
    <n v="21"/>
  </r>
  <r>
    <n v="1066"/>
    <x v="12"/>
    <d v="2023-10-06T00:00:00"/>
    <d v="1899-12-30T18:11:00"/>
    <n v="4"/>
    <s v="Female"/>
    <n v="45"/>
    <x v="2"/>
    <n v="1"/>
    <n v="30"/>
    <n v="8.4"/>
    <n v="30"/>
    <x v="0"/>
    <s v="Valid"/>
    <n v="21.6"/>
  </r>
  <r>
    <n v="228"/>
    <x v="14"/>
    <d v="2023-04-03T00:00:00"/>
    <d v="1899-12-30T20:26:00"/>
    <n v="4"/>
    <s v="Female"/>
    <n v="59"/>
    <x v="2"/>
    <n v="2"/>
    <n v="30"/>
    <n v="10.8"/>
    <n v="60"/>
    <x v="0"/>
    <s v="Valid"/>
    <n v="49.2"/>
  </r>
  <r>
    <n v="1228"/>
    <x v="17"/>
    <d v="2023-06-24T00:00:00"/>
    <d v="1899-12-30T21:37:00"/>
    <n v="5"/>
    <s v="Female"/>
    <n v="59"/>
    <x v="2"/>
    <n v="2"/>
    <n v="30"/>
    <n v="11.4"/>
    <n v="60"/>
    <x v="0"/>
    <s v="Valid"/>
    <n v="48.6"/>
  </r>
  <r>
    <n v="884"/>
    <x v="19"/>
    <d v="2023-02-18T00:00:00"/>
    <d v="1899-12-30T20:31:00"/>
    <n v="1"/>
    <s v="Female"/>
    <n v="26"/>
    <x v="1"/>
    <n v="2"/>
    <n v="30"/>
    <n v="7.5"/>
    <n v="60"/>
    <x v="0"/>
    <s v="Valid"/>
    <n v="52.5"/>
  </r>
  <r>
    <n v="1884"/>
    <x v="15"/>
    <d v="2023-07-09T00:00:00"/>
    <d v="1899-12-30T21:45:00"/>
    <n v="2"/>
    <s v="Female"/>
    <n v="26"/>
    <x v="1"/>
    <n v="2"/>
    <n v="30"/>
    <n v="11.4"/>
    <n v="60"/>
    <x v="0"/>
    <s v="Valid"/>
    <n v="48.6"/>
  </r>
  <r>
    <n v="995"/>
    <x v="23"/>
    <d v="2023-03-04T00:00:00"/>
    <d v="1899-12-30T22:38:00"/>
    <n v="4"/>
    <s v="Female"/>
    <n v="41"/>
    <x v="1"/>
    <n v="1"/>
    <n v="30"/>
    <n v="9.9"/>
    <n v="30"/>
    <x v="0"/>
    <s v="Valid"/>
    <n v="20.100000000000001"/>
  </r>
  <r>
    <n v="1995"/>
    <x v="16"/>
    <d v="2023-12-10T00:00:00"/>
    <d v="1899-12-30T22:18:00"/>
    <n v="5"/>
    <s v="Female"/>
    <n v="41"/>
    <x v="1"/>
    <n v="1"/>
    <n v="30"/>
    <n v="14.7"/>
    <n v="30"/>
    <x v="0"/>
    <s v="Valid"/>
    <n v="15.3"/>
  </r>
  <r>
    <n v="293"/>
    <x v="18"/>
    <d v="2023-05-27T00:00:00"/>
    <d v="1899-12-30T19:04:00"/>
    <n v="4"/>
    <s v="Male"/>
    <n v="50"/>
    <x v="2"/>
    <n v="3"/>
    <n v="30"/>
    <n v="9.6"/>
    <n v="90"/>
    <x v="0"/>
    <s v="Valid"/>
    <n v="80.400000000000006"/>
  </r>
  <r>
    <n v="1293"/>
    <x v="15"/>
    <d v="2023-07-01T00:00:00"/>
    <d v="1899-12-30T18:52:00"/>
    <n v="3"/>
    <s v="Male"/>
    <n v="50"/>
    <x v="2"/>
    <n v="3"/>
    <n v="30"/>
    <n v="14.1"/>
    <n v="90"/>
    <x v="0"/>
    <s v="Valid"/>
    <n v="75.900000000000006"/>
  </r>
  <r>
    <n v="646"/>
    <x v="18"/>
    <d v="2023-05-26T00:00:00"/>
    <d v="1899-12-30T21:02:00"/>
    <n v="3"/>
    <s v="Male"/>
    <n v="38"/>
    <x v="1"/>
    <n v="3"/>
    <n v="30"/>
    <n v="13.5"/>
    <n v="90"/>
    <x v="0"/>
    <s v="Valid"/>
    <n v="76.5"/>
  </r>
  <r>
    <n v="749"/>
    <x v="15"/>
    <d v="2023-07-26T00:00:00"/>
    <d v="1899-12-30T20:33:00"/>
    <n v="2"/>
    <s v="Male"/>
    <n v="42"/>
    <x v="0"/>
    <n v="1"/>
    <n v="30"/>
    <n v="8.4"/>
    <n v="30"/>
    <x v="0"/>
    <s v="Valid"/>
    <n v="21.6"/>
  </r>
  <r>
    <n v="974"/>
    <x v="16"/>
    <d v="2023-12-28T00:00:00"/>
    <d v="1899-12-30T18:39:00"/>
    <n v="3"/>
    <s v="Male"/>
    <n v="47"/>
    <x v="0"/>
    <n v="1"/>
    <n v="30"/>
    <n v="11.7"/>
    <n v="30"/>
    <x v="0"/>
    <s v="Valid"/>
    <n v="18.3"/>
  </r>
  <r>
    <n v="1646"/>
    <x v="13"/>
    <d v="2023-01-18T00:00:00"/>
    <d v="1899-12-30T19:43:00"/>
    <n v="1"/>
    <s v="Male"/>
    <n v="38"/>
    <x v="1"/>
    <n v="3"/>
    <n v="30"/>
    <n v="15.6"/>
    <n v="90"/>
    <x v="0"/>
    <s v="Valid"/>
    <n v="74.400000000000006"/>
  </r>
  <r>
    <n v="1749"/>
    <x v="18"/>
    <d v="2023-05-07T00:00:00"/>
    <d v="1899-12-30T19:55:00"/>
    <n v="2"/>
    <s v="Male"/>
    <n v="42"/>
    <x v="0"/>
    <n v="1"/>
    <n v="30"/>
    <n v="9"/>
    <n v="30"/>
    <x v="0"/>
    <s v="Valid"/>
    <n v="21"/>
  </r>
  <r>
    <n v="1974"/>
    <x v="19"/>
    <d v="2023-02-19T00:00:00"/>
    <d v="1899-12-30T20:20:00"/>
    <n v="3"/>
    <s v="Male"/>
    <n v="47"/>
    <x v="0"/>
    <n v="1"/>
    <n v="30"/>
    <n v="12.9"/>
    <n v="30"/>
    <x v="0"/>
    <s v="Valid"/>
    <n v="17.100000000000001"/>
  </r>
  <r>
    <n v="190"/>
    <x v="13"/>
    <d v="2023-01-25T00:00:00"/>
    <d v="1899-12-30T17:56:00"/>
    <n v="2"/>
    <s v="Female"/>
    <n v="60"/>
    <x v="0"/>
    <n v="3"/>
    <n v="30"/>
    <n v="10.5"/>
    <n v="90"/>
    <x v="0"/>
    <s v="Valid"/>
    <n v="79.5"/>
  </r>
  <r>
    <n v="1190"/>
    <x v="22"/>
    <d v="2023-09-29T00:00:00"/>
    <d v="1899-12-30T21:00:00"/>
    <n v="4"/>
    <s v="Female"/>
    <n v="60"/>
    <x v="0"/>
    <n v="3"/>
    <n v="30"/>
    <n v="10.8"/>
    <n v="90"/>
    <x v="0"/>
    <s v="Valid"/>
    <n v="79.2"/>
  </r>
  <r>
    <n v="824"/>
    <x v="19"/>
    <d v="2023-02-25T00:00:00"/>
    <d v="1899-12-30T19:10:00"/>
    <n v="3"/>
    <s v="Male"/>
    <n v="63"/>
    <x v="1"/>
    <n v="4"/>
    <n v="30"/>
    <n v="9.3000000000000007"/>
    <n v="120"/>
    <x v="0"/>
    <s v="Valid"/>
    <n v="110.7"/>
  </r>
  <r>
    <n v="1824"/>
    <x v="13"/>
    <d v="2023-01-24T00:00:00"/>
    <d v="1899-12-30T20:19:00"/>
    <n v="4"/>
    <s v="Male"/>
    <n v="63"/>
    <x v="1"/>
    <n v="4"/>
    <n v="30"/>
    <n v="12.6"/>
    <n v="120"/>
    <x v="0"/>
    <s v="Valid"/>
    <n v="107.4"/>
  </r>
  <r>
    <n v="90"/>
    <x v="22"/>
    <d v="2023-09-10T00:00:00"/>
    <d v="1899-12-30T17:53:00"/>
    <n v="3"/>
    <s v="Female"/>
    <n v="51"/>
    <x v="2"/>
    <n v="1"/>
    <n v="30"/>
    <n v="13.5"/>
    <n v="30"/>
    <x v="0"/>
    <s v="Valid"/>
    <n v="16.5"/>
  </r>
  <r>
    <n v="593"/>
    <x v="13"/>
    <d v="2023-01-18T00:00:00"/>
    <d v="1899-12-30T22:05:00"/>
    <n v="2"/>
    <s v="Male"/>
    <n v="35"/>
    <x v="2"/>
    <n v="2"/>
    <n v="30"/>
    <n v="13.2"/>
    <n v="60"/>
    <x v="0"/>
    <s v="Valid"/>
    <n v="46.8"/>
  </r>
  <r>
    <n v="1090"/>
    <x v="19"/>
    <d v="2023-02-18T00:00:00"/>
    <d v="1899-12-30T19:54:00"/>
    <n v="4"/>
    <s v="Female"/>
    <n v="51"/>
    <x v="2"/>
    <n v="1"/>
    <n v="30"/>
    <n v="7.5"/>
    <n v="30"/>
    <x v="0"/>
    <s v="Valid"/>
    <n v="22.5"/>
  </r>
  <r>
    <n v="1593"/>
    <x v="19"/>
    <d v="2023-02-24T00:00:00"/>
    <d v="1899-12-30T22:39:00"/>
    <n v="5"/>
    <s v="Male"/>
    <n v="35"/>
    <x v="2"/>
    <n v="2"/>
    <n v="30"/>
    <n v="14.4"/>
    <n v="60"/>
    <x v="0"/>
    <s v="Valid"/>
    <n v="45.6"/>
  </r>
  <r>
    <n v="640"/>
    <x v="16"/>
    <d v="2023-12-25T00:00:00"/>
    <d v="1899-12-30T20:05:00"/>
    <n v="3"/>
    <s v="Female"/>
    <n v="51"/>
    <x v="2"/>
    <n v="4"/>
    <n v="30"/>
    <n v="12.6"/>
    <n v="120"/>
    <x v="0"/>
    <s v="Valid"/>
    <n v="107.4"/>
  </r>
  <r>
    <n v="1640"/>
    <x v="17"/>
    <d v="2023-06-10T00:00:00"/>
    <d v="1899-12-30T19:44:00"/>
    <n v="5"/>
    <s v="Female"/>
    <n v="51"/>
    <x v="2"/>
    <n v="4"/>
    <n v="30"/>
    <n v="14.1"/>
    <n v="120"/>
    <x v="0"/>
    <s v="Valid"/>
    <n v="105.9"/>
  </r>
  <r>
    <n v="148"/>
    <x v="15"/>
    <d v="2023-07-03T00:00:00"/>
    <d v="1899-12-30T20:39:00"/>
    <n v="5"/>
    <s v="Male"/>
    <n v="18"/>
    <x v="1"/>
    <n v="2"/>
    <n v="30"/>
    <n v="9.9"/>
    <n v="60"/>
    <x v="0"/>
    <s v="Valid"/>
    <n v="50.1"/>
  </r>
  <r>
    <n v="1148"/>
    <x v="21"/>
    <d v="2023-08-11T00:00:00"/>
    <d v="1899-12-30T22:04:00"/>
    <n v="2"/>
    <s v="Male"/>
    <n v="18"/>
    <x v="1"/>
    <n v="2"/>
    <n v="30"/>
    <n v="10.8"/>
    <n v="60"/>
    <x v="0"/>
    <s v="Valid"/>
    <n v="49.2"/>
  </r>
  <r>
    <n v="518"/>
    <x v="15"/>
    <d v="2023-07-31T00:00:00"/>
    <d v="1899-12-30T17:01:00"/>
    <n v="2"/>
    <s v="Female"/>
    <n v="40"/>
    <x v="1"/>
    <n v="1"/>
    <n v="30"/>
    <n v="16.2"/>
    <n v="30"/>
    <x v="0"/>
    <s v="Valid"/>
    <n v="13.8"/>
  </r>
  <r>
    <n v="1518"/>
    <x v="18"/>
    <d v="2023-05-18T00:00:00"/>
    <d v="1899-12-30T20:03:00"/>
    <n v="3"/>
    <s v="Female"/>
    <n v="40"/>
    <x v="1"/>
    <n v="1"/>
    <n v="30"/>
    <n v="12.6"/>
    <n v="30"/>
    <x v="0"/>
    <s v="Valid"/>
    <n v="17.399999999999999"/>
  </r>
  <r>
    <n v="501"/>
    <x v="17"/>
    <d v="2023-06-28T00:00:00"/>
    <d v="1899-12-30T20:21:00"/>
    <n v="2"/>
    <s v="Male"/>
    <n v="39"/>
    <x v="2"/>
    <n v="2"/>
    <n v="30"/>
    <n v="9"/>
    <n v="60"/>
    <x v="0"/>
    <s v="Valid"/>
    <n v="51"/>
  </r>
  <r>
    <n v="1501"/>
    <x v="13"/>
    <d v="2023-01-31T00:00:00"/>
    <d v="1899-12-30T18:00:00"/>
    <n v="1"/>
    <s v="Male"/>
    <n v="39"/>
    <x v="2"/>
    <n v="2"/>
    <n v="30"/>
    <n v="13.5"/>
    <n v="60"/>
    <x v="0"/>
    <s v="Valid"/>
    <n v="46.5"/>
  </r>
  <r>
    <n v="123"/>
    <x v="21"/>
    <d v="2023-08-11T00:00:00"/>
    <d v="1899-12-30T19:00:00"/>
    <n v="3"/>
    <s v="Female"/>
    <n v="40"/>
    <x v="2"/>
    <n v="2"/>
    <n v="30"/>
    <n v="11.7"/>
    <n v="60"/>
    <x v="0"/>
    <s v="Valid"/>
    <n v="48.3"/>
  </r>
  <r>
    <n v="425"/>
    <x v="17"/>
    <d v="2023-06-11T00:00:00"/>
    <d v="1899-12-30T18:28:00"/>
    <n v="2"/>
    <s v="Female"/>
    <n v="55"/>
    <x v="2"/>
    <n v="4"/>
    <n v="30"/>
    <n v="15.6"/>
    <n v="120"/>
    <x v="0"/>
    <s v="Valid"/>
    <n v="104.4"/>
  </r>
  <r>
    <n v="1123"/>
    <x v="16"/>
    <d v="2023-12-11T00:00:00"/>
    <d v="1899-12-30T21:04:00"/>
    <n v="1"/>
    <s v="Female"/>
    <n v="40"/>
    <x v="2"/>
    <n v="2"/>
    <n v="30"/>
    <n v="10.8"/>
    <n v="60"/>
    <x v="0"/>
    <s v="Valid"/>
    <n v="49.2"/>
  </r>
  <r>
    <n v="1425"/>
    <x v="16"/>
    <d v="2023-12-02T00:00:00"/>
    <d v="1899-12-30T22:15:00"/>
    <n v="1"/>
    <s v="Female"/>
    <n v="55"/>
    <x v="2"/>
    <n v="4"/>
    <n v="30"/>
    <n v="10.199999999999999"/>
    <n v="120"/>
    <x v="0"/>
    <s v="Valid"/>
    <n v="109.8"/>
  </r>
  <r>
    <n v="305"/>
    <x v="23"/>
    <d v="2023-03-22T00:00:00"/>
    <d v="1899-12-30T22:09:00"/>
    <n v="4"/>
    <s v="Female"/>
    <n v="18"/>
    <x v="0"/>
    <n v="1"/>
    <n v="30"/>
    <n v="14.4"/>
    <n v="30"/>
    <x v="0"/>
    <s v="Valid"/>
    <n v="15.6"/>
  </r>
  <r>
    <n v="376"/>
    <x v="13"/>
    <d v="2023-01-29T00:00:00"/>
    <d v="1899-12-30T18:21:00"/>
    <n v="4"/>
    <s v="Female"/>
    <n v="64"/>
    <x v="0"/>
    <n v="1"/>
    <n v="30"/>
    <n v="12"/>
    <n v="30"/>
    <x v="0"/>
    <s v="Valid"/>
    <n v="18"/>
  </r>
  <r>
    <n v="1305"/>
    <x v="14"/>
    <d v="2023-04-05T00:00:00"/>
    <d v="1899-12-30T18:24:00"/>
    <n v="5"/>
    <s v="Female"/>
    <n v="18"/>
    <x v="0"/>
    <n v="1"/>
    <n v="30"/>
    <n v="7.8"/>
    <n v="30"/>
    <x v="0"/>
    <s v="Valid"/>
    <n v="22.2"/>
  </r>
  <r>
    <n v="1376"/>
    <x v="15"/>
    <d v="2023-07-15T00:00:00"/>
    <d v="1899-12-30T19:49:00"/>
    <n v="3"/>
    <s v="Female"/>
    <n v="64"/>
    <x v="0"/>
    <n v="1"/>
    <n v="30"/>
    <n v="9.9"/>
    <n v="30"/>
    <x v="0"/>
    <s v="Valid"/>
    <n v="20.100000000000001"/>
  </r>
  <r>
    <n v="419"/>
    <x v="23"/>
    <d v="2023-03-31T00:00:00"/>
    <d v="1899-12-30T19:18:00"/>
    <n v="5"/>
    <s v="Female"/>
    <n v="44"/>
    <x v="1"/>
    <n v="3"/>
    <n v="30"/>
    <n v="11.7"/>
    <n v="90"/>
    <x v="0"/>
    <s v="Valid"/>
    <n v="78.3"/>
  </r>
  <r>
    <n v="895"/>
    <x v="21"/>
    <d v="2023-08-31T00:00:00"/>
    <d v="1899-12-30T21:51:00"/>
    <n v="3"/>
    <s v="Female"/>
    <n v="55"/>
    <x v="1"/>
    <n v="4"/>
    <n v="30"/>
    <n v="14.4"/>
    <n v="120"/>
    <x v="0"/>
    <s v="Valid"/>
    <n v="105.6"/>
  </r>
  <r>
    <n v="1419"/>
    <x v="19"/>
    <d v="2023-02-05T00:00:00"/>
    <d v="1899-12-30T18:42:00"/>
    <n v="3"/>
    <s v="Female"/>
    <n v="44"/>
    <x v="1"/>
    <n v="3"/>
    <n v="30"/>
    <n v="9.3000000000000007"/>
    <n v="90"/>
    <x v="0"/>
    <s v="Valid"/>
    <n v="80.7"/>
  </r>
  <r>
    <n v="1895"/>
    <x v="23"/>
    <d v="2023-03-27T00:00:00"/>
    <d v="1899-12-30T20:59:00"/>
    <n v="4"/>
    <s v="Female"/>
    <n v="55"/>
    <x v="1"/>
    <n v="4"/>
    <n v="30"/>
    <n v="15.3"/>
    <n v="120"/>
    <x v="0"/>
    <s v="Valid"/>
    <n v="104.7"/>
  </r>
  <r>
    <n v="489"/>
    <x v="12"/>
    <d v="2023-10-31T00:00:00"/>
    <d v="1899-12-30T22:01:00"/>
    <n v="1"/>
    <s v="Male"/>
    <n v="44"/>
    <x v="2"/>
    <n v="1"/>
    <n v="30"/>
    <n v="14.4"/>
    <n v="30"/>
    <x v="0"/>
    <s v="Valid"/>
    <n v="15.6"/>
  </r>
  <r>
    <n v="1489"/>
    <x v="14"/>
    <d v="2023-04-28T00:00:00"/>
    <d v="1899-12-30T18:30:00"/>
    <n v="2"/>
    <s v="Male"/>
    <n v="44"/>
    <x v="2"/>
    <n v="1"/>
    <n v="30"/>
    <n v="10.5"/>
    <n v="30"/>
    <x v="0"/>
    <s v="Valid"/>
    <n v="19.5"/>
  </r>
  <r>
    <n v="578"/>
    <x v="16"/>
    <d v="2023-12-05T00:00:00"/>
    <d v="1899-12-30T22:42:00"/>
    <n v="68"/>
    <s v="Female"/>
    <n v="54"/>
    <x v="1"/>
    <n v="4"/>
    <n v="30"/>
    <n v="9.3000000000000007"/>
    <n v="120"/>
    <x v="0"/>
    <s v="Valid"/>
    <n v="110.7"/>
  </r>
  <r>
    <n v="1578"/>
    <x v="20"/>
    <d v="2023-11-20T00:00:00"/>
    <d v="1899-12-30T18:43:00"/>
    <n v="66"/>
    <s v="Female"/>
    <n v="54"/>
    <x v="1"/>
    <n v="4"/>
    <n v="30"/>
    <n v="12"/>
    <n v="120"/>
    <x v="0"/>
    <s v="Valid"/>
    <n v="108"/>
  </r>
  <r>
    <n v="915"/>
    <x v="12"/>
    <d v="2023-10-11T00:00:00"/>
    <d v="1899-12-30T19:06:00"/>
    <n v="95"/>
    <s v="Female"/>
    <n v="26"/>
    <x v="0"/>
    <n v="3"/>
    <n v="30"/>
    <n v="12.9"/>
    <n v="90"/>
    <x v="0"/>
    <s v="Valid"/>
    <n v="77.099999999999994"/>
  </r>
  <r>
    <n v="1915"/>
    <x v="15"/>
    <d v="2023-07-10T00:00:00"/>
    <d v="1899-12-30T22:50:00"/>
    <n v="53"/>
    <s v="Female"/>
    <n v="26"/>
    <x v="0"/>
    <n v="3"/>
    <n v="30"/>
    <n v="9.3000000000000007"/>
    <n v="90"/>
    <x v="0"/>
    <s v="Valid"/>
    <n v="80.7"/>
  </r>
  <r>
    <n v="315"/>
    <x v="15"/>
    <d v="2023-07-03T00:00:00"/>
    <d v="1899-12-30T18:53:00"/>
    <n v="122"/>
    <s v="Male"/>
    <n v="47"/>
    <x v="1"/>
    <n v="2"/>
    <n v="30"/>
    <n v="15"/>
    <n v="60"/>
    <x v="0"/>
    <s v="Valid"/>
    <n v="45"/>
  </r>
  <r>
    <n v="1315"/>
    <x v="1"/>
    <d v="2022-08-31T00:00:00"/>
    <d v="1899-12-30T20:52:00"/>
    <n v="14"/>
    <s v="Male"/>
    <n v="47"/>
    <x v="1"/>
    <n v="2"/>
    <n v="30"/>
    <n v="12.9"/>
    <n v="60"/>
    <x v="0"/>
    <s v="Valid"/>
    <n v="47.1"/>
  </r>
  <r>
    <n v="387"/>
    <x v="13"/>
    <d v="2023-01-26T00:00:00"/>
    <d v="1899-12-30T21:58:00"/>
    <n v="118"/>
    <s v="Male"/>
    <n v="44"/>
    <x v="0"/>
    <n v="1"/>
    <n v="30"/>
    <n v="9"/>
    <n v="30"/>
    <x v="0"/>
    <s v="Valid"/>
    <n v="21"/>
  </r>
  <r>
    <n v="1387"/>
    <x v="9"/>
    <d v="2022-07-26T00:00:00"/>
    <d v="1899-12-30T17:48:00"/>
    <n v="37"/>
    <s v="Male"/>
    <n v="44"/>
    <x v="0"/>
    <n v="1"/>
    <n v="30"/>
    <n v="15.6"/>
    <n v="30"/>
    <x v="0"/>
    <s v="Valid"/>
    <n v="14.4"/>
  </r>
  <r>
    <n v="769"/>
    <x v="3"/>
    <d v="2022-09-09T00:00:00"/>
    <d v="1899-12-30T18:57:00"/>
    <n v="18"/>
    <s v="Female"/>
    <n v="31"/>
    <x v="2"/>
    <n v="4"/>
    <n v="30"/>
    <n v="10.199999999999999"/>
    <n v="120"/>
    <x v="0"/>
    <s v="Valid"/>
    <n v="109.8"/>
  </r>
  <r>
    <n v="1769"/>
    <x v="12"/>
    <d v="2023-10-08T00:00:00"/>
    <d v="1899-12-30T22:50:00"/>
    <n v="116"/>
    <s v="Female"/>
    <n v="31"/>
    <x v="2"/>
    <n v="4"/>
    <n v="30"/>
    <n v="9.3000000000000007"/>
    <n v="120"/>
    <x v="0"/>
    <s v="Valid"/>
    <n v="110.7"/>
  </r>
  <r>
    <n v="182"/>
    <x v="17"/>
    <d v="2023-06-21T00:00:00"/>
    <d v="1899-12-30T19:27:00"/>
    <n v="27"/>
    <s v="Male"/>
    <n v="62"/>
    <x v="0"/>
    <n v="4"/>
    <n v="30"/>
    <n v="10.199999999999999"/>
    <n v="120"/>
    <x v="0"/>
    <s v="Valid"/>
    <n v="109.8"/>
  </r>
  <r>
    <n v="1182"/>
    <x v="13"/>
    <d v="2023-01-03T00:00:00"/>
    <d v="1899-12-30T21:26:00"/>
    <n v="14"/>
    <s v="Male"/>
    <n v="62"/>
    <x v="0"/>
    <n v="4"/>
    <n v="30"/>
    <n v="12.9"/>
    <n v="120"/>
    <x v="0"/>
    <s v="Valid"/>
    <n v="107.1"/>
  </r>
  <r>
    <n v="100"/>
    <x v="5"/>
    <d v="2022-02-08T00:00:00"/>
    <d v="1899-12-30T19:34:00"/>
    <n v="21"/>
    <s v="Male"/>
    <n v="41"/>
    <x v="2"/>
    <n v="1"/>
    <n v="30"/>
    <n v="9.3000000000000007"/>
    <n v="30"/>
    <x v="0"/>
    <s v="Valid"/>
    <n v="20.7"/>
  </r>
  <r>
    <n v="1100"/>
    <x v="13"/>
    <d v="2023-01-20T00:00:00"/>
    <d v="1899-12-30T18:15:00"/>
    <n v="136"/>
    <s v="Male"/>
    <n v="41"/>
    <x v="2"/>
    <n v="1"/>
    <n v="30"/>
    <n v="13.2"/>
    <n v="30"/>
    <x v="0"/>
    <s v="Valid"/>
    <n v="16.8"/>
  </r>
  <r>
    <n v="532"/>
    <x v="1"/>
    <d v="2022-08-15T00:00:00"/>
    <d v="1899-12-30T18:04:00"/>
    <n v="92"/>
    <s v="Female"/>
    <n v="64"/>
    <x v="1"/>
    <n v="4"/>
    <n v="30"/>
    <n v="12.9"/>
    <n v="120"/>
    <x v="0"/>
    <s v="Valid"/>
    <n v="107.1"/>
  </r>
  <r>
    <n v="1532"/>
    <x v="2"/>
    <d v="2022-03-23T00:00:00"/>
    <d v="1899-12-30T22:48:00"/>
    <n v="51"/>
    <s v="Female"/>
    <n v="64"/>
    <x v="1"/>
    <n v="4"/>
    <n v="30"/>
    <n v="15.6"/>
    <n v="120"/>
    <x v="0"/>
    <s v="Valid"/>
    <n v="104.4"/>
  </r>
  <r>
    <n v="422"/>
    <x v="1"/>
    <d v="2022-08-21T00:00:00"/>
    <d v="1899-12-30T22:34:00"/>
    <n v="67"/>
    <s v="Female"/>
    <n v="28"/>
    <x v="1"/>
    <n v="3"/>
    <n v="30"/>
    <n v="13.2"/>
    <n v="90"/>
    <x v="0"/>
    <s v="Valid"/>
    <n v="76.8"/>
  </r>
  <r>
    <n v="1422"/>
    <x v="0"/>
    <d v="2022-05-07T00:00:00"/>
    <d v="1899-12-30T20:41:00"/>
    <n v="35"/>
    <s v="Female"/>
    <n v="28"/>
    <x v="1"/>
    <n v="3"/>
    <n v="30"/>
    <n v="13.5"/>
    <n v="90"/>
    <x v="0"/>
    <s v="Valid"/>
    <n v="76.5"/>
  </r>
  <r>
    <n v="699"/>
    <x v="6"/>
    <d v="2022-11-21T00:00:00"/>
    <d v="1899-12-30T22:21:00"/>
    <n v="129"/>
    <s v="Female"/>
    <n v="37"/>
    <x v="1"/>
    <n v="4"/>
    <n v="30"/>
    <n v="16.2"/>
    <n v="120"/>
    <x v="0"/>
    <s v="Valid"/>
    <n v="103.8"/>
  </r>
  <r>
    <n v="1699"/>
    <x v="15"/>
    <d v="2023-07-29T00:00:00"/>
    <d v="1899-12-30T21:45:00"/>
    <n v="23"/>
    <s v="Female"/>
    <n v="37"/>
    <x v="1"/>
    <n v="4"/>
    <n v="30"/>
    <n v="12.9"/>
    <n v="120"/>
    <x v="0"/>
    <s v="Valid"/>
    <n v="107.1"/>
  </r>
  <r>
    <n v="271"/>
    <x v="22"/>
    <d v="2023-09-12T00:00:00"/>
    <d v="1899-12-30T18:23:00"/>
    <n v="44"/>
    <s v="Female"/>
    <n v="62"/>
    <x v="0"/>
    <n v="4"/>
    <n v="30"/>
    <n v="9.3000000000000007"/>
    <n v="120"/>
    <x v="0"/>
    <s v="Valid"/>
    <n v="110.7"/>
  </r>
  <r>
    <n v="1271"/>
    <x v="11"/>
    <d v="2022-01-19T00:00:00"/>
    <d v="1899-12-30T19:31:00"/>
    <n v="27"/>
    <s v="Female"/>
    <n v="62"/>
    <x v="0"/>
    <n v="4"/>
    <n v="30"/>
    <n v="9"/>
    <n v="120"/>
    <x v="0"/>
    <s v="Valid"/>
    <n v="111"/>
  </r>
  <r>
    <n v="796"/>
    <x v="8"/>
    <d v="2022-10-01T00:00:00"/>
    <d v="1899-12-30T19:50:00"/>
    <n v="38"/>
    <s v="Male"/>
    <n v="43"/>
    <x v="0"/>
    <n v="4"/>
    <n v="30"/>
    <n v="7.8"/>
    <n v="120"/>
    <x v="0"/>
    <s v="Valid"/>
    <n v="112.2"/>
  </r>
  <r>
    <n v="1796"/>
    <x v="20"/>
    <d v="2023-11-12T00:00:00"/>
    <d v="1899-12-30T18:36:00"/>
    <n v="69"/>
    <s v="Male"/>
    <n v="43"/>
    <x v="0"/>
    <n v="4"/>
    <n v="30"/>
    <n v="11.1"/>
    <n v="120"/>
    <x v="0"/>
    <s v="Valid"/>
    <n v="108.9"/>
  </r>
  <r>
    <n v="874"/>
    <x v="11"/>
    <d v="2022-01-17T00:00:00"/>
    <d v="1899-12-30T18:14:00"/>
    <n v="90"/>
    <s v="Male"/>
    <n v="60"/>
    <x v="0"/>
    <n v="1"/>
    <n v="30"/>
    <n v="12.6"/>
    <n v="30"/>
    <x v="0"/>
    <s v="Valid"/>
    <n v="17.399999999999999"/>
  </r>
  <r>
    <n v="1874"/>
    <x v="0"/>
    <d v="2022-05-14T00:00:00"/>
    <d v="1899-12-30T20:58:00"/>
    <n v="126"/>
    <s v="Male"/>
    <n v="60"/>
    <x v="0"/>
    <n v="1"/>
    <n v="30"/>
    <n v="12.6"/>
    <n v="30"/>
    <x v="0"/>
    <s v="Valid"/>
    <n v="17.399999999999999"/>
  </r>
  <r>
    <n v="878"/>
    <x v="12"/>
    <d v="2023-10-26T00:00:00"/>
    <d v="1899-12-30T18:53:00"/>
    <n v="31"/>
    <s v="Female"/>
    <n v="20"/>
    <x v="1"/>
    <n v="1"/>
    <n v="30"/>
    <n v="11.7"/>
    <n v="30"/>
    <x v="0"/>
    <s v="Valid"/>
    <n v="18.3"/>
  </r>
  <r>
    <n v="1878"/>
    <x v="13"/>
    <d v="2023-01-24T00:00:00"/>
    <d v="1899-12-30T22:56:00"/>
    <n v="97"/>
    <s v="Female"/>
    <n v="20"/>
    <x v="1"/>
    <n v="1"/>
    <n v="30"/>
    <n v="7.5"/>
    <n v="30"/>
    <x v="0"/>
    <s v="Valid"/>
    <n v="22.5"/>
  </r>
  <r>
    <n v="260"/>
    <x v="13"/>
    <d v="2023-01-19T00:00:00"/>
    <d v="1899-12-30T21:09:00"/>
    <n v="107"/>
    <s v="Male"/>
    <n v="28"/>
    <x v="0"/>
    <n v="2"/>
    <n v="30"/>
    <n v="10.5"/>
    <n v="60"/>
    <x v="0"/>
    <s v="Valid"/>
    <n v="49.5"/>
  </r>
  <r>
    <n v="837"/>
    <x v="13"/>
    <d v="2023-01-15T00:00:00"/>
    <d v="1899-12-30T20:35:00"/>
    <n v="53"/>
    <s v="Male"/>
    <n v="18"/>
    <x v="0"/>
    <n v="3"/>
    <n v="30"/>
    <n v="7.5"/>
    <n v="90"/>
    <x v="0"/>
    <s v="Valid"/>
    <n v="82.5"/>
  </r>
  <r>
    <n v="1260"/>
    <x v="15"/>
    <d v="2023-07-19T00:00:00"/>
    <d v="1899-12-30T17:26:00"/>
    <n v="117"/>
    <s v="Male"/>
    <n v="28"/>
    <x v="0"/>
    <n v="2"/>
    <n v="30"/>
    <n v="13.5"/>
    <n v="60"/>
    <x v="0"/>
    <s v="Valid"/>
    <n v="46.5"/>
  </r>
  <r>
    <n v="1837"/>
    <x v="23"/>
    <d v="2023-03-29T00:00:00"/>
    <d v="1899-12-30T20:45:00"/>
    <n v="32"/>
    <s v="Male"/>
    <n v="18"/>
    <x v="0"/>
    <n v="3"/>
    <n v="30"/>
    <n v="8.1"/>
    <n v="90"/>
    <x v="0"/>
    <s v="Valid"/>
    <n v="81.900000000000006"/>
  </r>
  <r>
    <n v="45"/>
    <x v="2"/>
    <d v="2022-03-20T00:00:00"/>
    <d v="1899-12-30T18:27:00"/>
    <n v="121"/>
    <s v="Female"/>
    <n v="55"/>
    <x v="2"/>
    <n v="1"/>
    <n v="30"/>
    <n v="10.5"/>
    <n v="30"/>
    <x v="0"/>
    <s v="Valid"/>
    <n v="19.5"/>
  </r>
  <r>
    <n v="1045"/>
    <x v="5"/>
    <d v="2022-02-26T00:00:00"/>
    <d v="1899-12-30T17:28:00"/>
    <n v="110"/>
    <s v="Female"/>
    <n v="55"/>
    <x v="2"/>
    <n v="1"/>
    <n v="30"/>
    <n v="9.9"/>
    <n v="30"/>
    <x v="0"/>
    <s v="Valid"/>
    <n v="20.100000000000001"/>
  </r>
  <r>
    <n v="802"/>
    <x v="22"/>
    <d v="2023-09-22T00:00:00"/>
    <d v="1899-12-30T18:00:00"/>
    <n v="57"/>
    <s v="Female"/>
    <n v="46"/>
    <x v="0"/>
    <n v="1"/>
    <n v="30"/>
    <n v="9.9"/>
    <n v="30"/>
    <x v="0"/>
    <s v="Valid"/>
    <n v="20.100000000000001"/>
  </r>
  <r>
    <n v="1802"/>
    <x v="9"/>
    <d v="2022-07-13T00:00:00"/>
    <d v="1899-12-30T22:17:00"/>
    <n v="33"/>
    <s v="Female"/>
    <n v="46"/>
    <x v="0"/>
    <n v="1"/>
    <n v="30"/>
    <n v="9.6"/>
    <n v="30"/>
    <x v="0"/>
    <s v="Valid"/>
    <n v="20.399999999999999"/>
  </r>
  <r>
    <n v="528"/>
    <x v="16"/>
    <d v="2023-12-11T00:00:00"/>
    <d v="1899-12-30T21:51:00"/>
    <n v="102"/>
    <s v="Female"/>
    <n v="36"/>
    <x v="1"/>
    <n v="2"/>
    <n v="30"/>
    <n v="9.6"/>
    <n v="60"/>
    <x v="0"/>
    <s v="Valid"/>
    <n v="50.4"/>
  </r>
  <r>
    <n v="1528"/>
    <x v="15"/>
    <d v="2023-07-06T00:00:00"/>
    <d v="1899-12-30T19:44:00"/>
    <n v="126"/>
    <s v="Female"/>
    <n v="36"/>
    <x v="1"/>
    <n v="2"/>
    <n v="30"/>
    <n v="12.3"/>
    <n v="60"/>
    <x v="0"/>
    <s v="Valid"/>
    <n v="47.7"/>
  </r>
  <r>
    <n v="870"/>
    <x v="4"/>
    <d v="2022-04-11T00:00:00"/>
    <d v="1899-12-30T19:41:00"/>
    <n v="16"/>
    <s v="Female"/>
    <n v="46"/>
    <x v="2"/>
    <n v="4"/>
    <n v="30"/>
    <n v="11.1"/>
    <n v="120"/>
    <x v="0"/>
    <s v="Valid"/>
    <n v="108.9"/>
  </r>
  <r>
    <n v="1870"/>
    <x v="20"/>
    <d v="2023-11-09T00:00:00"/>
    <d v="1899-12-30T20:38:00"/>
    <n v="119"/>
    <s v="Female"/>
    <n v="46"/>
    <x v="2"/>
    <n v="4"/>
    <n v="30"/>
    <n v="10.5"/>
    <n v="120"/>
    <x v="0"/>
    <s v="Valid"/>
    <n v="109.5"/>
  </r>
  <r>
    <n v="772"/>
    <x v="14"/>
    <d v="2023-04-14T00:00:00"/>
    <d v="1899-12-30T21:47:00"/>
    <n v="25"/>
    <s v="Male"/>
    <n v="26"/>
    <x v="2"/>
    <n v="1"/>
    <n v="30"/>
    <n v="16.2"/>
    <n v="30"/>
    <x v="0"/>
    <s v="Valid"/>
    <n v="13.8"/>
  </r>
  <r>
    <n v="1772"/>
    <x v="5"/>
    <d v="2022-02-03T00:00:00"/>
    <d v="1899-12-30T19:06:00"/>
    <n v="59"/>
    <s v="Male"/>
    <n v="26"/>
    <x v="2"/>
    <n v="1"/>
    <n v="30"/>
    <n v="13.2"/>
    <n v="30"/>
    <x v="0"/>
    <s v="Valid"/>
    <n v="16.8"/>
  </r>
  <r>
    <n v="681"/>
    <x v="21"/>
    <d v="2023-08-04T00:00:00"/>
    <d v="1899-12-30T22:12:00"/>
    <n v="24"/>
    <s v="Female"/>
    <n v="43"/>
    <x v="2"/>
    <n v="2"/>
    <n v="30"/>
    <n v="8.4"/>
    <n v="60"/>
    <x v="0"/>
    <s v="Valid"/>
    <n v="51.6"/>
  </r>
  <r>
    <n v="829"/>
    <x v="2"/>
    <d v="2022-03-24T00:00:00"/>
    <d v="1899-12-30T21:31:00"/>
    <n v="52"/>
    <s v="Male"/>
    <n v="61"/>
    <x v="0"/>
    <n v="3"/>
    <n v="30"/>
    <n v="9.6"/>
    <n v="90"/>
    <x v="0"/>
    <s v="Valid"/>
    <n v="80.400000000000006"/>
  </r>
  <r>
    <n v="1681"/>
    <x v="6"/>
    <d v="2022-11-09T00:00:00"/>
    <d v="1899-12-30T19:32:00"/>
    <n v="53"/>
    <s v="Female"/>
    <n v="43"/>
    <x v="2"/>
    <n v="2"/>
    <n v="30"/>
    <n v="11.1"/>
    <n v="60"/>
    <x v="0"/>
    <s v="Valid"/>
    <n v="48.9"/>
  </r>
  <r>
    <n v="1829"/>
    <x v="0"/>
    <d v="2022-05-30T00:00:00"/>
    <d v="1899-12-30T22:37:00"/>
    <n v="58"/>
    <s v="Male"/>
    <n v="61"/>
    <x v="0"/>
    <n v="3"/>
    <n v="30"/>
    <n v="12"/>
    <n v="90"/>
    <x v="0"/>
    <s v="Valid"/>
    <n v="78"/>
  </r>
  <r>
    <n v="603"/>
    <x v="4"/>
    <d v="2022-04-18T00:00:00"/>
    <d v="1899-12-30T20:17:00"/>
    <n v="95"/>
    <s v="Female"/>
    <n v="40"/>
    <x v="1"/>
    <n v="3"/>
    <n v="30"/>
    <n v="14.1"/>
    <n v="90"/>
    <x v="0"/>
    <s v="Valid"/>
    <n v="75.900000000000006"/>
  </r>
  <r>
    <n v="1603"/>
    <x v="16"/>
    <d v="2023-12-04T00:00:00"/>
    <d v="1899-12-30T20:50:00"/>
    <n v="132"/>
    <s v="Female"/>
    <n v="40"/>
    <x v="1"/>
    <n v="3"/>
    <n v="30"/>
    <n v="13.2"/>
    <n v="90"/>
    <x v="0"/>
    <s v="Valid"/>
    <n v="76.8"/>
  </r>
  <r>
    <n v="304"/>
    <x v="23"/>
    <d v="2023-03-23T00:00:00"/>
    <d v="1899-12-30T18:35:00"/>
    <n v="59"/>
    <s v="Female"/>
    <n v="37"/>
    <x v="2"/>
    <n v="2"/>
    <n v="30"/>
    <n v="15.6"/>
    <n v="60"/>
    <x v="0"/>
    <s v="Valid"/>
    <n v="44.4"/>
  </r>
  <r>
    <n v="1304"/>
    <x v="3"/>
    <d v="2022-09-26T00:00:00"/>
    <d v="1899-12-30T22:19:00"/>
    <n v="4"/>
    <s v="Female"/>
    <n v="37"/>
    <x v="2"/>
    <n v="2"/>
    <n v="30"/>
    <n v="9.3000000000000007"/>
    <n v="60"/>
    <x v="0"/>
    <s v="Valid"/>
    <n v="50.7"/>
  </r>
  <r>
    <n v="495"/>
    <x v="7"/>
    <d v="2022-06-24T00:00:00"/>
    <d v="1899-12-30T21:06:00"/>
    <n v="131"/>
    <s v="Male"/>
    <n v="24"/>
    <x v="0"/>
    <n v="2"/>
    <n v="30"/>
    <n v="11.7"/>
    <n v="60"/>
    <x v="0"/>
    <s v="Valid"/>
    <n v="48.3"/>
  </r>
  <r>
    <n v="1495"/>
    <x v="23"/>
    <d v="2023-03-14T00:00:00"/>
    <d v="1899-12-30T22:37:00"/>
    <n v="113"/>
    <s v="Male"/>
    <n v="24"/>
    <x v="0"/>
    <n v="2"/>
    <n v="30"/>
    <n v="16.2"/>
    <n v="60"/>
    <x v="0"/>
    <s v="Valid"/>
    <n v="43.8"/>
  </r>
  <r>
    <n v="557"/>
    <x v="22"/>
    <d v="2023-09-27T00:00:00"/>
    <d v="1899-12-30T20:01:00"/>
    <n v="155"/>
    <s v="Female"/>
    <n v="20"/>
    <x v="0"/>
    <n v="3"/>
    <n v="30"/>
    <n v="12.9"/>
    <n v="90"/>
    <x v="0"/>
    <s v="Valid"/>
    <n v="77.099999999999994"/>
  </r>
  <r>
    <n v="1557"/>
    <x v="1"/>
    <d v="2022-08-04T00:00:00"/>
    <d v="1899-12-30T17:01:00"/>
    <n v="14"/>
    <s v="Female"/>
    <n v="20"/>
    <x v="0"/>
    <n v="3"/>
    <n v="30"/>
    <n v="10.199999999999999"/>
    <n v="90"/>
    <x v="0"/>
    <s v="Valid"/>
    <n v="79.8"/>
  </r>
  <r>
    <n v="262"/>
    <x v="22"/>
    <d v="2023-09-15T00:00:00"/>
    <d v="1899-12-30T20:33:00"/>
    <n v="30"/>
    <s v="Female"/>
    <n v="32"/>
    <x v="0"/>
    <n v="4"/>
    <n v="30"/>
    <n v="12.6"/>
    <n v="120"/>
    <x v="0"/>
    <s v="Valid"/>
    <n v="107.4"/>
  </r>
  <r>
    <n v="1262"/>
    <x v="1"/>
    <d v="2022-08-13T00:00:00"/>
    <d v="1899-12-30T20:33:00"/>
    <n v="127"/>
    <s v="Female"/>
    <n v="32"/>
    <x v="0"/>
    <n v="4"/>
    <n v="30"/>
    <n v="8.4"/>
    <n v="120"/>
    <x v="0"/>
    <s v="Valid"/>
    <n v="111.6"/>
  </r>
  <r>
    <n v="598"/>
    <x v="7"/>
    <d v="2022-06-23T00:00:00"/>
    <d v="1899-12-30T17:02:00"/>
    <n v="7"/>
    <s v="Male"/>
    <n v="37"/>
    <x v="0"/>
    <n v="4"/>
    <n v="30"/>
    <n v="11.1"/>
    <n v="120"/>
    <x v="0"/>
    <s v="Valid"/>
    <n v="108.9"/>
  </r>
  <r>
    <n v="1598"/>
    <x v="13"/>
    <d v="2023-01-15T00:00:00"/>
    <d v="1899-12-30T19:17:00"/>
    <n v="126"/>
    <s v="Male"/>
    <n v="37"/>
    <x v="0"/>
    <n v="4"/>
    <n v="30"/>
    <n v="9.9"/>
    <n v="120"/>
    <x v="0"/>
    <s v="Valid"/>
    <n v="110.1"/>
  </r>
  <r>
    <n v="675"/>
    <x v="15"/>
    <d v="2023-07-19T00:00:00"/>
    <d v="1899-12-30T18:10:00"/>
    <n v="26"/>
    <s v="Female"/>
    <n v="45"/>
    <x v="1"/>
    <n v="2"/>
    <n v="30"/>
    <n v="15.9"/>
    <n v="60"/>
    <x v="0"/>
    <s v="Valid"/>
    <n v="44.1"/>
  </r>
  <r>
    <n v="1675"/>
    <x v="0"/>
    <d v="2022-05-17T00:00:00"/>
    <d v="1899-12-30T19:55:00"/>
    <n v="152"/>
    <s v="Female"/>
    <n v="45"/>
    <x v="1"/>
    <n v="2"/>
    <n v="30"/>
    <n v="16.2"/>
    <n v="60"/>
    <x v="0"/>
    <s v="Valid"/>
    <n v="43.8"/>
  </r>
  <r>
    <n v="140"/>
    <x v="9"/>
    <d v="2022-07-07T00:00:00"/>
    <d v="1899-12-30T20:20:00"/>
    <n v="61"/>
    <s v="Male"/>
    <n v="38"/>
    <x v="2"/>
    <n v="1"/>
    <n v="30"/>
    <n v="14.4"/>
    <n v="30"/>
    <x v="0"/>
    <s v="Valid"/>
    <n v="15.6"/>
  </r>
  <r>
    <n v="1140"/>
    <x v="0"/>
    <d v="2022-05-22T00:00:00"/>
    <d v="1899-12-30T19:26:00"/>
    <n v="154"/>
    <s v="Male"/>
    <n v="38"/>
    <x v="2"/>
    <n v="1"/>
    <n v="30"/>
    <n v="15.9"/>
    <n v="30"/>
    <x v="0"/>
    <s v="Valid"/>
    <n v="14.1"/>
  </r>
  <r>
    <n v="633"/>
    <x v="15"/>
    <d v="2023-07-06T00:00:00"/>
    <d v="1899-12-30T22:20:00"/>
    <n v="35"/>
    <s v="Male"/>
    <n v="39"/>
    <x v="0"/>
    <n v="4"/>
    <n v="30"/>
    <n v="12.3"/>
    <n v="120"/>
    <x v="0"/>
    <s v="Valid"/>
    <n v="107.7"/>
  </r>
  <r>
    <n v="1633"/>
    <x v="10"/>
    <d v="2022-12-31T00:00:00"/>
    <d v="1899-12-30T18:18:00"/>
    <n v="152"/>
    <s v="Male"/>
    <n v="39"/>
    <x v="0"/>
    <n v="4"/>
    <n v="30"/>
    <n v="11.4"/>
    <n v="120"/>
    <x v="0"/>
    <s v="Valid"/>
    <n v="108.6"/>
  </r>
  <r>
    <n v="960"/>
    <x v="23"/>
    <d v="2023-03-29T00:00:00"/>
    <d v="1899-12-30T19:01:00"/>
    <n v="134"/>
    <s v="Male"/>
    <n v="59"/>
    <x v="1"/>
    <n v="2"/>
    <n v="30"/>
    <n v="14.4"/>
    <n v="60"/>
    <x v="0"/>
    <s v="Valid"/>
    <n v="45.6"/>
  </r>
  <r>
    <n v="1960"/>
    <x v="7"/>
    <d v="2022-06-29T00:00:00"/>
    <d v="1899-12-30T22:04:00"/>
    <n v="67"/>
    <s v="Male"/>
    <n v="59"/>
    <x v="1"/>
    <n v="2"/>
    <n v="30"/>
    <n v="13.2"/>
    <n v="60"/>
    <x v="0"/>
    <s v="Valid"/>
    <n v="46.8"/>
  </r>
  <r>
    <n v="563"/>
    <x v="10"/>
    <d v="2022-12-21T00:00:00"/>
    <d v="1899-12-30T18:40:00"/>
    <n v="150"/>
    <s v="Male"/>
    <n v="20"/>
    <x v="1"/>
    <n v="2"/>
    <n v="30"/>
    <n v="16.2"/>
    <n v="60"/>
    <x v="0"/>
    <s v="Valid"/>
    <n v="43.8"/>
  </r>
  <r>
    <n v="1563"/>
    <x v="8"/>
    <d v="2022-10-13T00:00:00"/>
    <d v="1899-12-30T17:44:00"/>
    <n v="22"/>
    <s v="Male"/>
    <n v="20"/>
    <x v="1"/>
    <n v="2"/>
    <n v="30"/>
    <n v="15.3"/>
    <n v="60"/>
    <x v="0"/>
    <s v="Valid"/>
    <n v="44.7"/>
  </r>
  <r>
    <n v="521"/>
    <x v="12"/>
    <d v="2023-10-28T00:00:00"/>
    <d v="1899-12-30T19:56:00"/>
    <n v="133"/>
    <s v="Female"/>
    <n v="47"/>
    <x v="1"/>
    <n v="4"/>
    <n v="30"/>
    <n v="8.6999999999999993"/>
    <n v="120"/>
    <x v="0"/>
    <s v="Valid"/>
    <n v="111.3"/>
  </r>
  <r>
    <n v="1521"/>
    <x v="15"/>
    <d v="2023-07-23T00:00:00"/>
    <d v="1899-12-30T19:08:00"/>
    <n v="30"/>
    <s v="Female"/>
    <n v="47"/>
    <x v="1"/>
    <n v="4"/>
    <n v="30"/>
    <n v="12.9"/>
    <n v="120"/>
    <x v="0"/>
    <s v="Valid"/>
    <n v="107.1"/>
  </r>
  <r>
    <n v="926"/>
    <x v="12"/>
    <d v="2023-10-06T00:00:00"/>
    <d v="1899-12-30T22:53:00"/>
    <n v="53"/>
    <s v="Male"/>
    <n v="22"/>
    <x v="2"/>
    <n v="1"/>
    <n v="30"/>
    <n v="15.6"/>
    <n v="30"/>
    <x v="0"/>
    <s v="Valid"/>
    <n v="14.4"/>
  </r>
  <r>
    <n v="1926"/>
    <x v="21"/>
    <d v="2023-08-07T00:00:00"/>
    <d v="1899-12-30T20:22:00"/>
    <n v="74"/>
    <s v="Male"/>
    <n v="22"/>
    <x v="2"/>
    <n v="1"/>
    <n v="30"/>
    <n v="9.6"/>
    <n v="30"/>
    <x v="0"/>
    <s v="Valid"/>
    <n v="20.399999999999999"/>
  </r>
  <r>
    <n v="957"/>
    <x v="17"/>
    <d v="2023-06-19T00:00:00"/>
    <d v="1899-12-30T19:00:00"/>
    <n v="105"/>
    <s v="Female"/>
    <n v="60"/>
    <x v="2"/>
    <n v="4"/>
    <n v="30"/>
    <n v="9.3000000000000007"/>
    <n v="120"/>
    <x v="0"/>
    <s v="Valid"/>
    <n v="110.7"/>
  </r>
  <r>
    <n v="1957"/>
    <x v="8"/>
    <d v="2022-10-25T00:00:00"/>
    <d v="1899-12-30T19:00:00"/>
    <n v="75"/>
    <s v="Female"/>
    <n v="60"/>
    <x v="2"/>
    <n v="4"/>
    <n v="30"/>
    <n v="14.7"/>
    <n v="120"/>
    <x v="0"/>
    <s v="Valid"/>
    <n v="105.3"/>
  </r>
  <r>
    <n v="29"/>
    <x v="2"/>
    <d v="2022-03-08T00:00:00"/>
    <d v="1899-12-30T20:10:00"/>
    <n v="31"/>
    <s v="Female"/>
    <n v="42"/>
    <x v="2"/>
    <n v="1"/>
    <n v="30"/>
    <n v="13.5"/>
    <n v="30"/>
    <x v="0"/>
    <s v="Valid"/>
    <n v="16.5"/>
  </r>
  <r>
    <n v="1029"/>
    <x v="15"/>
    <d v="2023-07-18T00:00:00"/>
    <d v="1899-12-30T19:23:00"/>
    <n v="117"/>
    <s v="Female"/>
    <n v="42"/>
    <x v="2"/>
    <n v="1"/>
    <n v="30"/>
    <n v="12.3"/>
    <n v="30"/>
    <x v="0"/>
    <s v="Valid"/>
    <n v="17.7"/>
  </r>
  <r>
    <n v="981"/>
    <x v="5"/>
    <d v="2022-02-05T00:00:00"/>
    <d v="1899-12-30T21:08:00"/>
    <n v="5"/>
    <s v="Female"/>
    <n v="30"/>
    <x v="2"/>
    <n v="2"/>
    <n v="30"/>
    <n v="12.9"/>
    <n v="60"/>
    <x v="0"/>
    <s v="Valid"/>
    <n v="47.1"/>
  </r>
  <r>
    <n v="1981"/>
    <x v="7"/>
    <d v="2022-06-05T00:00:00"/>
    <d v="1899-12-30T22:50:00"/>
    <n v="19"/>
    <s v="Female"/>
    <n v="30"/>
    <x v="2"/>
    <n v="2"/>
    <n v="30"/>
    <n v="11.7"/>
    <n v="60"/>
    <x v="0"/>
    <s v="Valid"/>
    <n v="48.3"/>
  </r>
  <r>
    <n v="219"/>
    <x v="22"/>
    <d v="2023-09-16T00:00:00"/>
    <d v="1899-12-30T22:34:00"/>
    <n v="79"/>
    <s v="Female"/>
    <n v="53"/>
    <x v="2"/>
    <n v="3"/>
    <n v="30"/>
    <n v="10.199999999999999"/>
    <n v="90"/>
    <x v="0"/>
    <s v="Valid"/>
    <n v="79.8"/>
  </r>
  <r>
    <n v="1219"/>
    <x v="6"/>
    <d v="2022-11-02T00:00:00"/>
    <d v="1899-12-30T21:47:00"/>
    <n v="149"/>
    <s v="Female"/>
    <n v="53"/>
    <x v="2"/>
    <n v="3"/>
    <n v="30"/>
    <n v="11.1"/>
    <n v="90"/>
    <x v="0"/>
    <s v="Valid"/>
    <n v="78.900000000000006"/>
  </r>
  <r>
    <n v="73"/>
    <x v="11"/>
    <d v="2022-01-14T00:00:00"/>
    <d v="1899-12-30T21:47:00"/>
    <n v="42"/>
    <s v="Male"/>
    <n v="29"/>
    <x v="2"/>
    <n v="3"/>
    <n v="30"/>
    <n v="9"/>
    <n v="90"/>
    <x v="0"/>
    <s v="Valid"/>
    <n v="81"/>
  </r>
  <r>
    <n v="162"/>
    <x v="14"/>
    <d v="2023-04-11T00:00:00"/>
    <d v="1899-12-30T19:37:00"/>
    <n v="118"/>
    <s v="Male"/>
    <n v="39"/>
    <x v="1"/>
    <n v="2"/>
    <n v="30"/>
    <n v="9"/>
    <n v="60"/>
    <x v="0"/>
    <s v="Valid"/>
    <n v="51"/>
  </r>
  <r>
    <n v="992"/>
    <x v="12"/>
    <d v="2023-10-15T00:00:00"/>
    <d v="1899-12-30T19:34:00"/>
    <n v="134"/>
    <s v="Female"/>
    <n v="57"/>
    <x v="2"/>
    <n v="2"/>
    <n v="30"/>
    <n v="7.8"/>
    <n v="60"/>
    <x v="0"/>
    <s v="Valid"/>
    <n v="52.2"/>
  </r>
  <r>
    <n v="1073"/>
    <x v="5"/>
    <d v="2022-02-21T00:00:00"/>
    <d v="1899-12-30T18:16:00"/>
    <n v="82"/>
    <s v="Male"/>
    <n v="29"/>
    <x v="2"/>
    <n v="3"/>
    <n v="30"/>
    <n v="15.3"/>
    <n v="90"/>
    <x v="0"/>
    <s v="Valid"/>
    <n v="74.7"/>
  </r>
  <r>
    <n v="1162"/>
    <x v="9"/>
    <d v="2022-07-13T00:00:00"/>
    <d v="1899-12-30T17:08:00"/>
    <n v="101"/>
    <s v="Male"/>
    <n v="39"/>
    <x v="1"/>
    <n v="2"/>
    <n v="30"/>
    <n v="12.6"/>
    <n v="60"/>
    <x v="0"/>
    <s v="Valid"/>
    <n v="47.4"/>
  </r>
  <r>
    <n v="1992"/>
    <x v="18"/>
    <d v="2023-05-19T00:00:00"/>
    <d v="1899-12-30T21:35:00"/>
    <n v="70"/>
    <s v="Female"/>
    <n v="57"/>
    <x v="2"/>
    <n v="2"/>
    <n v="30"/>
    <n v="8.6999999999999993"/>
    <n v="60"/>
    <x v="0"/>
    <s v="Valid"/>
    <n v="51.3"/>
  </r>
  <r>
    <n v="116"/>
    <x v="17"/>
    <d v="2023-06-22T00:00:00"/>
    <d v="1899-12-30T20:04:00"/>
    <n v="58"/>
    <s v="Female"/>
    <n v="23"/>
    <x v="1"/>
    <n v="1"/>
    <n v="30"/>
    <n v="15"/>
    <n v="30"/>
    <x v="0"/>
    <s v="Valid"/>
    <n v="15"/>
  </r>
  <r>
    <n v="1116"/>
    <x v="1"/>
    <d v="2022-08-15T00:00:00"/>
    <d v="1899-12-30T22:26:00"/>
    <n v="145"/>
    <s v="Female"/>
    <n v="23"/>
    <x v="1"/>
    <n v="1"/>
    <n v="30"/>
    <n v="12.3"/>
    <n v="30"/>
    <x v="0"/>
    <s v="Valid"/>
    <n v="17.7"/>
  </r>
  <r>
    <n v="804"/>
    <x v="16"/>
    <d v="2023-12-11T00:00:00"/>
    <d v="1899-12-30T17:12:00"/>
    <n v="99"/>
    <s v="Male"/>
    <n v="42"/>
    <x v="2"/>
    <n v="1"/>
    <n v="30"/>
    <n v="10.8"/>
    <n v="30"/>
    <x v="0"/>
    <s v="Valid"/>
    <n v="19.2"/>
  </r>
  <r>
    <n v="1804"/>
    <x v="13"/>
    <d v="2023-01-10T00:00:00"/>
    <d v="1899-12-30T22:46:00"/>
    <n v="74"/>
    <s v="Male"/>
    <n v="42"/>
    <x v="2"/>
    <n v="1"/>
    <n v="30"/>
    <n v="14.7"/>
    <n v="30"/>
    <x v="0"/>
    <s v="Valid"/>
    <n v="15.3"/>
  </r>
  <r>
    <n v="92"/>
    <x v="2"/>
    <d v="2022-03-21T00:00:00"/>
    <d v="1899-12-30T19:41:00"/>
    <n v="10"/>
    <s v="Female"/>
    <n v="51"/>
    <x v="2"/>
    <n v="4"/>
    <n v="30"/>
    <n v="8.6999999999999993"/>
    <n v="120"/>
    <x v="0"/>
    <s v="Valid"/>
    <n v="111.3"/>
  </r>
  <r>
    <n v="1092"/>
    <x v="0"/>
    <d v="2022-05-03T00:00:00"/>
    <d v="1899-12-30T20:15:00"/>
    <n v="58"/>
    <s v="Female"/>
    <n v="51"/>
    <x v="2"/>
    <n v="4"/>
    <n v="30"/>
    <n v="31.5"/>
    <n v="120"/>
    <x v="0"/>
    <s v="Valid"/>
    <n v="88.5"/>
  </r>
  <r>
    <n v="617"/>
    <x v="1"/>
    <d v="2022-08-06T00:00:00"/>
    <d v="1899-12-30T19:12:00"/>
    <n v="30"/>
    <s v="Male"/>
    <n v="34"/>
    <x v="2"/>
    <n v="1"/>
    <n v="30"/>
    <n v="28.5"/>
    <n v="30"/>
    <x v="0"/>
    <s v="Valid"/>
    <n v="1.5"/>
  </r>
  <r>
    <n v="1617"/>
    <x v="0"/>
    <d v="2022-05-01T00:00:00"/>
    <d v="1899-12-30T17:09:00"/>
    <n v="77"/>
    <s v="Male"/>
    <n v="34"/>
    <x v="2"/>
    <n v="1"/>
    <n v="30"/>
    <n v="35.1"/>
    <n v="30"/>
    <x v="0"/>
    <s v="Valid"/>
    <n v="-5.1000000000000014"/>
  </r>
  <r>
    <n v="263"/>
    <x v="0"/>
    <d v="2022-05-04T00:00:00"/>
    <d v="1899-12-30T21:48:00"/>
    <n v="133"/>
    <s v="Male"/>
    <n v="23"/>
    <x v="0"/>
    <n v="2"/>
    <n v="30"/>
    <n v="34.799999999999997"/>
    <n v="60"/>
    <x v="0"/>
    <s v="Valid"/>
    <n v="25.200000000000003"/>
  </r>
  <r>
    <n v="704"/>
    <x v="22"/>
    <d v="2023-09-11T00:00:00"/>
    <d v="1899-12-30T22:40:00"/>
    <n v="141"/>
    <s v="Female"/>
    <n v="62"/>
    <x v="1"/>
    <n v="3"/>
    <n v="30"/>
    <n v="34.799999999999997"/>
    <n v="90"/>
    <x v="0"/>
    <s v="Valid"/>
    <n v="55.2"/>
  </r>
  <r>
    <n v="1263"/>
    <x v="3"/>
    <d v="2022-09-07T00:00:00"/>
    <d v="1899-12-30T20:49:00"/>
    <n v="47"/>
    <s v="Male"/>
    <n v="23"/>
    <x v="0"/>
    <n v="2"/>
    <n v="30"/>
    <n v="35.4"/>
    <n v="60"/>
    <x v="0"/>
    <s v="Valid"/>
    <n v="24.6"/>
  </r>
  <r>
    <n v="1704"/>
    <x v="3"/>
    <d v="2022-09-16T00:00:00"/>
    <d v="1899-12-30T20:07:00"/>
    <n v="155"/>
    <s v="Female"/>
    <n v="62"/>
    <x v="1"/>
    <n v="3"/>
    <n v="30"/>
    <n v="30.3"/>
    <n v="90"/>
    <x v="0"/>
    <s v="Valid"/>
    <n v="59.7"/>
  </r>
  <r>
    <n v="733"/>
    <x v="8"/>
    <d v="2022-10-25T00:00:00"/>
    <d v="1899-12-30T21:07:00"/>
    <n v="143"/>
    <s v="Male"/>
    <n v="34"/>
    <x v="0"/>
    <n v="1"/>
    <n v="30"/>
    <n v="28.5"/>
    <n v="30"/>
    <x v="0"/>
    <s v="Valid"/>
    <n v="1.5"/>
  </r>
  <r>
    <n v="1733"/>
    <x v="22"/>
    <d v="2023-09-03T00:00:00"/>
    <d v="1899-12-30T20:52:00"/>
    <n v="146"/>
    <s v="Male"/>
    <n v="34"/>
    <x v="0"/>
    <n v="1"/>
    <n v="30"/>
    <n v="36.6"/>
    <n v="30"/>
    <x v="0"/>
    <s v="Valid"/>
    <n v="-6.6000000000000014"/>
  </r>
  <r>
    <n v="871"/>
    <x v="20"/>
    <d v="2023-11-02T00:00:00"/>
    <d v="1899-12-30T23:00:00"/>
    <n v="57"/>
    <s v="Male"/>
    <n v="62"/>
    <x v="0"/>
    <n v="2"/>
    <n v="30"/>
    <n v="33.9"/>
    <n v="60"/>
    <x v="0"/>
    <s v="Valid"/>
    <n v="26.1"/>
  </r>
  <r>
    <n v="1871"/>
    <x v="3"/>
    <d v="2022-09-26T00:00:00"/>
    <d v="1899-12-30T18:39:00"/>
    <n v="41"/>
    <s v="Male"/>
    <n v="62"/>
    <x v="0"/>
    <n v="2"/>
    <n v="30"/>
    <n v="30.6"/>
    <n v="60"/>
    <x v="0"/>
    <s v="Valid"/>
    <n v="29.4"/>
  </r>
  <r>
    <n v="931"/>
    <x v="12"/>
    <d v="2023-10-07T00:00:00"/>
    <d v="1899-12-30T21:34:00"/>
    <n v="48"/>
    <s v="Male"/>
    <n v="30"/>
    <x v="0"/>
    <n v="4"/>
    <n v="30"/>
    <n v="29.1"/>
    <n v="120"/>
    <x v="0"/>
    <s v="Valid"/>
    <n v="90.9"/>
  </r>
  <r>
    <n v="1931"/>
    <x v="10"/>
    <d v="2022-12-01T00:00:00"/>
    <d v="1899-12-30T19:15:00"/>
    <n v="61"/>
    <s v="Male"/>
    <n v="30"/>
    <x v="0"/>
    <n v="4"/>
    <n v="30"/>
    <n v="34.200000000000003"/>
    <n v="120"/>
    <x v="0"/>
    <s v="Valid"/>
    <n v="85.8"/>
  </r>
  <r>
    <n v="894"/>
    <x v="3"/>
    <d v="2022-09-22T00:00:00"/>
    <d v="1899-12-30T22:53:00"/>
    <n v="111"/>
    <s v="Male"/>
    <n v="52"/>
    <x v="2"/>
    <n v="1"/>
    <n v="30"/>
    <n v="30.6"/>
    <n v="30"/>
    <x v="0"/>
    <s v="Valid"/>
    <n v="-0.60000000000000142"/>
  </r>
  <r>
    <n v="1894"/>
    <x v="16"/>
    <d v="2023-12-29T00:00:00"/>
    <d v="1899-12-30T18:11:00"/>
    <n v="92"/>
    <s v="Male"/>
    <n v="52"/>
    <x v="2"/>
    <n v="1"/>
    <n v="30"/>
    <n v="30"/>
    <n v="30"/>
    <x v="0"/>
    <s v="Valid"/>
    <n v="0"/>
  </r>
  <r>
    <n v="245"/>
    <x v="16"/>
    <d v="2023-12-01T00:00:00"/>
    <d v="1899-12-30T21:41:00"/>
    <n v="75"/>
    <s v="Male"/>
    <n v="47"/>
    <x v="1"/>
    <n v="3"/>
    <n v="30"/>
    <n v="36"/>
    <n v="90"/>
    <x v="0"/>
    <s v="Valid"/>
    <n v="54"/>
  </r>
  <r>
    <n v="1245"/>
    <x v="8"/>
    <d v="2022-10-25T00:00:00"/>
    <d v="1899-12-30T20:47:00"/>
    <n v="129"/>
    <s v="Male"/>
    <n v="47"/>
    <x v="1"/>
    <n v="3"/>
    <n v="30"/>
    <n v="36"/>
    <n v="90"/>
    <x v="0"/>
    <s v="Valid"/>
    <n v="54"/>
  </r>
  <r>
    <n v="312"/>
    <x v="8"/>
    <d v="2022-10-31T00:00:00"/>
    <d v="1899-12-30T18:08:00"/>
    <n v="18"/>
    <s v="Male"/>
    <n v="41"/>
    <x v="1"/>
    <n v="4"/>
    <n v="30"/>
    <n v="28.5"/>
    <n v="120"/>
    <x v="0"/>
    <s v="Valid"/>
    <n v="91.5"/>
  </r>
  <r>
    <n v="1312"/>
    <x v="10"/>
    <d v="2022-12-03T00:00:00"/>
    <d v="1899-12-30T17:28:00"/>
    <n v="73"/>
    <s v="Male"/>
    <n v="41"/>
    <x v="1"/>
    <n v="4"/>
    <n v="30"/>
    <n v="29.1"/>
    <n v="120"/>
    <x v="0"/>
    <s v="Valid"/>
    <n v="90.9"/>
  </r>
  <r>
    <n v="573"/>
    <x v="22"/>
    <d v="2023-09-19T00:00:00"/>
    <d v="1899-12-30T22:59:00"/>
    <n v="78"/>
    <s v="Male"/>
    <n v="49"/>
    <x v="0"/>
    <n v="2"/>
    <n v="30"/>
    <n v="36.299999999999997"/>
    <n v="60"/>
    <x v="0"/>
    <s v="Valid"/>
    <n v="23.700000000000003"/>
  </r>
  <r>
    <n v="1573"/>
    <x v="8"/>
    <d v="2022-10-13T00:00:00"/>
    <d v="1899-12-30T21:45:00"/>
    <n v="148"/>
    <s v="Male"/>
    <n v="49"/>
    <x v="0"/>
    <n v="2"/>
    <n v="30"/>
    <n v="31.2"/>
    <n v="60"/>
    <x v="0"/>
    <s v="Valid"/>
    <n v="28.8"/>
  </r>
  <r>
    <n v="579"/>
    <x v="12"/>
    <d v="2023-10-06T00:00:00"/>
    <d v="1899-12-30T17:43:00"/>
    <n v="41"/>
    <s v="Female"/>
    <n v="38"/>
    <x v="2"/>
    <n v="1"/>
    <n v="30"/>
    <n v="36.6"/>
    <n v="30"/>
    <x v="0"/>
    <s v="Valid"/>
    <n v="-6.6000000000000014"/>
  </r>
  <r>
    <n v="1579"/>
    <x v="22"/>
    <d v="2023-09-28T00:00:00"/>
    <d v="1899-12-30T17:38:00"/>
    <n v="119"/>
    <s v="Female"/>
    <n v="38"/>
    <x v="2"/>
    <n v="1"/>
    <n v="30"/>
    <n v="28.8"/>
    <n v="30"/>
    <x v="0"/>
    <s v="Valid"/>
    <n v="1.1999999999999993"/>
  </r>
  <r>
    <n v="218"/>
    <x v="6"/>
    <d v="2022-11-24T00:00:00"/>
    <d v="1899-12-30T20:39:00"/>
    <n v="144"/>
    <s v="Male"/>
    <n v="64"/>
    <x v="0"/>
    <n v="3"/>
    <n v="30"/>
    <n v="33.9"/>
    <n v="90"/>
    <x v="0"/>
    <s v="Valid"/>
    <n v="56.1"/>
  </r>
  <r>
    <n v="1218"/>
    <x v="12"/>
    <d v="2023-10-25T00:00:00"/>
    <d v="1899-12-30T22:11:00"/>
    <n v="30"/>
    <s v="Male"/>
    <n v="64"/>
    <x v="0"/>
    <n v="3"/>
    <n v="30"/>
    <n v="34.200000000000003"/>
    <n v="90"/>
    <x v="0"/>
    <s v="Valid"/>
    <n v="55.8"/>
  </r>
  <r>
    <n v="643"/>
    <x v="8"/>
    <d v="2022-10-05T00:00:00"/>
    <d v="1899-12-30T22:26:00"/>
    <n v="63"/>
    <s v="Female"/>
    <n v="28"/>
    <x v="2"/>
    <n v="3"/>
    <n v="30"/>
    <n v="28.8"/>
    <n v="90"/>
    <x v="0"/>
    <s v="Valid"/>
    <n v="61.2"/>
  </r>
  <r>
    <n v="1643"/>
    <x v="12"/>
    <d v="2023-10-17T00:00:00"/>
    <d v="1899-12-30T21:47:00"/>
    <n v="12"/>
    <s v="Female"/>
    <n v="28"/>
    <x v="2"/>
    <n v="3"/>
    <n v="30"/>
    <n v="33.299999999999997"/>
    <n v="90"/>
    <x v="0"/>
    <s v="Valid"/>
    <n v="56.7"/>
  </r>
  <r>
    <n v="351"/>
    <x v="20"/>
    <d v="2023-11-11T00:00:00"/>
    <d v="1899-12-30T22:16:00"/>
    <n v="38"/>
    <s v="Female"/>
    <n v="56"/>
    <x v="1"/>
    <n v="3"/>
    <n v="30"/>
    <n v="36.6"/>
    <n v="90"/>
    <x v="0"/>
    <s v="Valid"/>
    <n v="53.4"/>
  </r>
  <r>
    <n v="1351"/>
    <x v="8"/>
    <d v="2022-10-02T00:00:00"/>
    <d v="1899-12-30T20:58:00"/>
    <n v="88"/>
    <s v="Female"/>
    <n v="56"/>
    <x v="1"/>
    <n v="3"/>
    <n v="30"/>
    <n v="28.5"/>
    <n v="90"/>
    <x v="0"/>
    <s v="Valid"/>
    <n v="61.5"/>
  </r>
  <r>
    <n v="497"/>
    <x v="16"/>
    <d v="2023-12-31T00:00:00"/>
    <d v="1899-12-30T18:11:00"/>
    <n v="127"/>
    <s v="Male"/>
    <n v="41"/>
    <x v="1"/>
    <n v="4"/>
    <n v="30"/>
    <n v="37.200000000000003"/>
    <n v="120"/>
    <x v="0"/>
    <s v="Valid"/>
    <n v="82.8"/>
  </r>
  <r>
    <n v="1497"/>
    <x v="6"/>
    <d v="2022-11-19T00:00:00"/>
    <d v="1899-12-30T21:44:00"/>
    <n v="109"/>
    <s v="Male"/>
    <n v="41"/>
    <x v="1"/>
    <n v="4"/>
    <n v="30"/>
    <n v="32.4"/>
    <n v="120"/>
    <x v="0"/>
    <s v="Valid"/>
    <n v="87.6"/>
  </r>
  <r>
    <n v="122"/>
    <x v="16"/>
    <d v="2023-12-01T00:00:00"/>
    <d v="1899-12-30T19:02:00"/>
    <n v="1"/>
    <s v="Male"/>
    <n v="64"/>
    <x v="2"/>
    <n v="4"/>
    <n v="30"/>
    <n v="35.4"/>
    <n v="120"/>
    <x v="0"/>
    <s v="Valid"/>
    <n v="84.6"/>
  </r>
  <r>
    <n v="1122"/>
    <x v="3"/>
    <d v="2022-09-07T00:00:00"/>
    <d v="1899-12-30T19:53:00"/>
    <n v="138"/>
    <s v="Male"/>
    <n v="64"/>
    <x v="2"/>
    <n v="4"/>
    <n v="30"/>
    <n v="31.8"/>
    <n v="120"/>
    <x v="0"/>
    <s v="Valid"/>
    <n v="88.2"/>
  </r>
  <r>
    <n v="178"/>
    <x v="12"/>
    <d v="2023-10-11T00:00:00"/>
    <d v="1899-12-30T17:51:00"/>
    <n v="142"/>
    <s v="Male"/>
    <n v="40"/>
    <x v="1"/>
    <n v="2"/>
    <n v="30"/>
    <n v="34.200000000000003"/>
    <n v="60"/>
    <x v="0"/>
    <s v="Valid"/>
    <n v="25.799999999999997"/>
  </r>
  <r>
    <n v="247"/>
    <x v="10"/>
    <d v="2022-12-23T00:00:00"/>
    <d v="1899-12-30T17:56:00"/>
    <n v="82"/>
    <s v="Male"/>
    <n v="41"/>
    <x v="2"/>
    <n v="2"/>
    <n v="30"/>
    <n v="31.5"/>
    <n v="60"/>
    <x v="0"/>
    <s v="Valid"/>
    <n v="28.5"/>
  </r>
  <r>
    <n v="656"/>
    <x v="20"/>
    <d v="2023-11-12T00:00:00"/>
    <d v="1899-12-30T20:58:00"/>
    <n v="27"/>
    <s v="Male"/>
    <n v="29"/>
    <x v="0"/>
    <n v="3"/>
    <n v="30"/>
    <n v="29.4"/>
    <n v="90"/>
    <x v="0"/>
    <s v="Valid"/>
    <n v="60.6"/>
  </r>
  <r>
    <n v="1178"/>
    <x v="16"/>
    <d v="2023-12-29T00:00:00"/>
    <d v="1899-12-30T21:15:00"/>
    <n v="137"/>
    <s v="Male"/>
    <n v="40"/>
    <x v="1"/>
    <n v="2"/>
    <n v="30"/>
    <n v="33"/>
    <n v="60"/>
    <x v="0"/>
    <s v="Valid"/>
    <n v="27"/>
  </r>
  <r>
    <n v="1247"/>
    <x v="22"/>
    <d v="2023-09-02T00:00:00"/>
    <d v="1899-12-30T18:17:00"/>
    <n v="78"/>
    <s v="Male"/>
    <n v="41"/>
    <x v="2"/>
    <n v="2"/>
    <n v="30"/>
    <n v="35.700000000000003"/>
    <n v="60"/>
    <x v="0"/>
    <s v="Valid"/>
    <n v="24.299999999999997"/>
  </r>
  <r>
    <n v="1656"/>
    <x v="22"/>
    <d v="2023-09-16T00:00:00"/>
    <d v="1899-12-30T20:03:00"/>
    <n v="141"/>
    <s v="Male"/>
    <n v="29"/>
    <x v="0"/>
    <n v="3"/>
    <n v="30"/>
    <n v="35.4"/>
    <n v="90"/>
    <x v="0"/>
    <s v="Valid"/>
    <n v="54.6"/>
  </r>
  <r>
    <n v="670"/>
    <x v="22"/>
    <d v="2023-09-29T00:00:00"/>
    <d v="1899-12-30T17:24:00"/>
    <n v="59"/>
    <s v="Male"/>
    <n v="27"/>
    <x v="0"/>
    <n v="1"/>
    <n v="30"/>
    <n v="35.700000000000003"/>
    <n v="30"/>
    <x v="0"/>
    <s v="Valid"/>
    <n v="-5.7000000000000028"/>
  </r>
  <r>
    <n v="1670"/>
    <x v="12"/>
    <d v="2023-10-24T00:00:00"/>
    <d v="1899-12-30T21:32:00"/>
    <n v="58"/>
    <s v="Male"/>
    <n v="27"/>
    <x v="0"/>
    <n v="1"/>
    <n v="30"/>
    <n v="34.200000000000003"/>
    <n v="30"/>
    <x v="0"/>
    <s v="Valid"/>
    <n v="-4.2000000000000028"/>
  </r>
  <r>
    <n v="876"/>
    <x v="12"/>
    <d v="2023-10-03T00:00:00"/>
    <d v="1899-12-30T19:39:00"/>
    <n v="104"/>
    <s v="Male"/>
    <n v="43"/>
    <x v="1"/>
    <n v="4"/>
    <n v="30"/>
    <n v="30"/>
    <n v="120"/>
    <x v="0"/>
    <s v="Valid"/>
    <n v="90"/>
  </r>
  <r>
    <n v="1876"/>
    <x v="20"/>
    <d v="2023-11-05T00:00:00"/>
    <d v="1899-12-30T19:53:00"/>
    <n v="68"/>
    <s v="Male"/>
    <n v="43"/>
    <x v="1"/>
    <n v="4"/>
    <n v="30"/>
    <n v="32.1"/>
    <n v="120"/>
    <x v="0"/>
    <s v="Valid"/>
    <n v="87.9"/>
  </r>
  <r>
    <n v="55"/>
    <x v="22"/>
    <d v="2023-09-28T00:00:00"/>
    <d v="1899-12-30T20:32:00"/>
    <n v="57"/>
    <s v="Male"/>
    <n v="31"/>
    <x v="0"/>
    <n v="4"/>
    <n v="30"/>
    <n v="31.8"/>
    <n v="120"/>
    <x v="0"/>
    <s v="Valid"/>
    <n v="88.2"/>
  </r>
  <r>
    <n v="1055"/>
    <x v="8"/>
    <d v="2022-10-23T00:00:00"/>
    <d v="1899-12-30T21:35:00"/>
    <n v="97"/>
    <s v="Male"/>
    <n v="31"/>
    <x v="0"/>
    <n v="4"/>
    <n v="30"/>
    <n v="37.5"/>
    <n v="120"/>
    <x v="0"/>
    <s v="Valid"/>
    <n v="82.5"/>
  </r>
  <r>
    <n v="456"/>
    <x v="16"/>
    <d v="2023-12-15T00:00:00"/>
    <d v="1899-12-30T19:45:00"/>
    <n v="51"/>
    <s v="Male"/>
    <n v="57"/>
    <x v="2"/>
    <n v="2"/>
    <n v="30"/>
    <n v="33.9"/>
    <n v="60"/>
    <x v="0"/>
    <s v="Valid"/>
    <n v="26.1"/>
  </r>
  <r>
    <n v="1456"/>
    <x v="3"/>
    <d v="2022-09-02T00:00:00"/>
    <d v="1899-12-30T18:49:00"/>
    <n v="85"/>
    <s v="Male"/>
    <n v="57"/>
    <x v="2"/>
    <n v="2"/>
    <n v="30"/>
    <n v="37.200000000000003"/>
    <n v="60"/>
    <x v="0"/>
    <s v="Valid"/>
    <n v="22.799999999999997"/>
  </r>
  <r>
    <n v="370"/>
    <x v="12"/>
    <d v="2023-10-24T00:00:00"/>
    <d v="1899-12-30T21:04:00"/>
    <n v="61"/>
    <s v="Male"/>
    <n v="23"/>
    <x v="2"/>
    <n v="2"/>
    <n v="30"/>
    <n v="34.799999999999997"/>
    <n v="60"/>
    <x v="0"/>
    <s v="Valid"/>
    <n v="25.200000000000003"/>
  </r>
  <r>
    <n v="1370"/>
    <x v="6"/>
    <d v="2022-11-04T00:00:00"/>
    <d v="1899-12-30T22:51:00"/>
    <n v="90"/>
    <s v="Male"/>
    <n v="23"/>
    <x v="2"/>
    <n v="2"/>
    <n v="30"/>
    <n v="36"/>
    <n v="60"/>
    <x v="0"/>
    <s v="Valid"/>
    <n v="24"/>
  </r>
  <r>
    <n v="962"/>
    <x v="16"/>
    <d v="2023-12-15T00:00:00"/>
    <d v="1899-12-30T22:02:00"/>
    <n v="76"/>
    <s v="Male"/>
    <n v="44"/>
    <x v="1"/>
    <n v="2"/>
    <n v="30"/>
    <n v="35.1"/>
    <n v="60"/>
    <x v="0"/>
    <s v="Valid"/>
    <n v="24.9"/>
  </r>
  <r>
    <n v="1962"/>
    <x v="3"/>
    <d v="2022-09-07T00:00:00"/>
    <d v="1899-12-30T18:59:00"/>
    <n v="65"/>
    <s v="Male"/>
    <n v="44"/>
    <x v="1"/>
    <n v="2"/>
    <n v="30"/>
    <n v="32.700000000000003"/>
    <n v="60"/>
    <x v="0"/>
    <s v="Valid"/>
    <n v="27.299999999999997"/>
  </r>
  <r>
    <n v="126"/>
    <x v="6"/>
    <d v="2022-11-01T00:00:00"/>
    <d v="1899-12-30T18:16:00"/>
    <n v="63"/>
    <s v="Female"/>
    <n v="28"/>
    <x v="1"/>
    <n v="3"/>
    <n v="30"/>
    <n v="28.8"/>
    <n v="90"/>
    <x v="0"/>
    <s v="Valid"/>
    <n v="61.2"/>
  </r>
  <r>
    <n v="1126"/>
    <x v="3"/>
    <d v="2022-09-12T00:00:00"/>
    <d v="1899-12-30T17:12:00"/>
    <n v="62"/>
    <s v="Female"/>
    <n v="28"/>
    <x v="1"/>
    <n v="3"/>
    <n v="30"/>
    <n v="28.8"/>
    <n v="90"/>
    <x v="0"/>
    <s v="Valid"/>
    <n v="61.2"/>
  </r>
  <r>
    <n v="229"/>
    <x v="20"/>
    <d v="2023-11-09T00:00:00"/>
    <d v="1899-12-30T19:23:00"/>
    <n v="92"/>
    <s v="Male"/>
    <n v="58"/>
    <x v="0"/>
    <n v="3"/>
    <n v="30"/>
    <n v="36.9"/>
    <n v="90"/>
    <x v="0"/>
    <s v="Valid"/>
    <n v="53.1"/>
  </r>
  <r>
    <n v="959"/>
    <x v="3"/>
    <d v="2022-09-18T00:00:00"/>
    <d v="1899-12-30T17:59:00"/>
    <n v="54"/>
    <s v="Female"/>
    <n v="42"/>
    <x v="2"/>
    <n v="2"/>
    <n v="30"/>
    <n v="28.5"/>
    <n v="60"/>
    <x v="0"/>
    <s v="Valid"/>
    <n v="31.5"/>
  </r>
  <r>
    <n v="1229"/>
    <x v="20"/>
    <d v="2023-11-02T00:00:00"/>
    <d v="1899-12-30T21:08:00"/>
    <n v="62"/>
    <s v="Male"/>
    <n v="58"/>
    <x v="0"/>
    <n v="3"/>
    <n v="30"/>
    <n v="34.5"/>
    <n v="90"/>
    <x v="0"/>
    <s v="Valid"/>
    <n v="55.5"/>
  </r>
  <r>
    <n v="1959"/>
    <x v="8"/>
    <d v="2022-10-08T00:00:00"/>
    <d v="1899-12-30T19:56:00"/>
    <n v="95"/>
    <s v="Female"/>
    <n v="42"/>
    <x v="2"/>
    <n v="2"/>
    <n v="30"/>
    <n v="34.200000000000003"/>
    <n v="60"/>
    <x v="0"/>
    <s v="Valid"/>
    <n v="25.799999999999997"/>
  </r>
  <r>
    <n v="776"/>
    <x v="22"/>
    <d v="2023-09-08T00:00:00"/>
    <d v="1899-12-30T18:57:00"/>
    <n v="109"/>
    <s v="Male"/>
    <n v="35"/>
    <x v="1"/>
    <n v="3"/>
    <n v="30"/>
    <n v="30.9"/>
    <n v="90"/>
    <x v="0"/>
    <s v="Valid"/>
    <n v="59.1"/>
  </r>
  <r>
    <n v="1776"/>
    <x v="8"/>
    <d v="2022-10-23T00:00:00"/>
    <d v="1899-12-30T20:07:00"/>
    <n v="111"/>
    <s v="Male"/>
    <n v="35"/>
    <x v="1"/>
    <n v="3"/>
    <n v="30"/>
    <n v="32.1"/>
    <n v="90"/>
    <x v="0"/>
    <s v="Valid"/>
    <n v="57.9"/>
  </r>
  <r>
    <n v="898"/>
    <x v="22"/>
    <d v="2023-09-17T00:00:00"/>
    <d v="1899-12-30T20:55:00"/>
    <n v="53"/>
    <s v="Female"/>
    <n v="42"/>
    <x v="1"/>
    <n v="3"/>
    <n v="30"/>
    <n v="35.1"/>
    <n v="90"/>
    <x v="0"/>
    <s v="Valid"/>
    <n v="54.9"/>
  </r>
  <r>
    <n v="1898"/>
    <x v="20"/>
    <d v="2023-11-13T00:00:00"/>
    <d v="1899-12-30T18:17:00"/>
    <n v="81"/>
    <s v="Female"/>
    <n v="42"/>
    <x v="1"/>
    <n v="3"/>
    <n v="30"/>
    <n v="35.1"/>
    <n v="90"/>
    <x v="0"/>
    <s v="Valid"/>
    <n v="54.9"/>
  </r>
  <r>
    <n v="565"/>
    <x v="22"/>
    <d v="2023-09-05T00:00:00"/>
    <d v="1899-12-30T20:24:00"/>
    <n v="75"/>
    <s v="Female"/>
    <n v="45"/>
    <x v="0"/>
    <n v="2"/>
    <n v="30"/>
    <n v="9"/>
    <n v="60"/>
    <x v="0"/>
    <s v="Valid"/>
    <n v="51"/>
  </r>
  <r>
    <n v="1565"/>
    <x v="22"/>
    <d v="2023-09-04T00:00:00"/>
    <d v="1899-12-30T20:45:00"/>
    <n v="74"/>
    <s v="Female"/>
    <n v="45"/>
    <x v="0"/>
    <n v="2"/>
    <n v="30"/>
    <n v="11.1"/>
    <n v="60"/>
    <x v="0"/>
    <s v="Valid"/>
    <n v="48.9"/>
  </r>
  <r>
    <n v="86"/>
    <x v="22"/>
    <d v="2023-09-29T00:00:00"/>
    <d v="1899-12-30T18:55:00"/>
    <n v="69"/>
    <s v="Male"/>
    <n v="19"/>
    <x v="0"/>
    <n v="3"/>
    <n v="30"/>
    <n v="15.6"/>
    <n v="90"/>
    <x v="0"/>
    <s v="Valid"/>
    <n v="74.400000000000006"/>
  </r>
  <r>
    <n v="173"/>
    <x v="16"/>
    <d v="2023-12-19T00:00:00"/>
    <d v="1899-12-30T17:30:00"/>
    <n v="85"/>
    <s v="Male"/>
    <n v="64"/>
    <x v="2"/>
    <n v="4"/>
    <n v="30"/>
    <n v="14.1"/>
    <n v="120"/>
    <x v="0"/>
    <s v="Valid"/>
    <n v="105.9"/>
  </r>
  <r>
    <n v="1086"/>
    <x v="22"/>
    <d v="2023-09-14T00:00:00"/>
    <d v="1899-12-30T19:50:00"/>
    <n v="84"/>
    <s v="Male"/>
    <n v="19"/>
    <x v="0"/>
    <n v="3"/>
    <n v="30"/>
    <n v="16.5"/>
    <n v="90"/>
    <x v="0"/>
    <s v="Valid"/>
    <n v="73.5"/>
  </r>
  <r>
    <n v="1173"/>
    <x v="10"/>
    <d v="2022-12-04T00:00:00"/>
    <d v="1899-12-30T21:03:00"/>
    <n v="70"/>
    <s v="Male"/>
    <n v="64"/>
    <x v="2"/>
    <n v="4"/>
    <n v="30"/>
    <n v="15"/>
    <n v="120"/>
    <x v="0"/>
    <s v="Valid"/>
    <n v="105"/>
  </r>
  <r>
    <n v="631"/>
    <x v="12"/>
    <d v="2023-10-22T00:00:00"/>
    <d v="1899-12-30T22:18:00"/>
    <n v="92"/>
    <s v="Male"/>
    <n v="56"/>
    <x v="2"/>
    <n v="3"/>
    <n v="30"/>
    <n v="16.5"/>
    <n v="90"/>
    <x v="0"/>
    <s v="Valid"/>
    <n v="73.5"/>
  </r>
  <r>
    <n v="1631"/>
    <x v="6"/>
    <d v="2022-11-01T00:00:00"/>
    <d v="1899-12-30T19:11:00"/>
    <n v="75"/>
    <s v="Male"/>
    <n v="56"/>
    <x v="2"/>
    <n v="3"/>
    <n v="30"/>
    <n v="12.3"/>
    <n v="90"/>
    <x v="0"/>
    <s v="Valid"/>
    <n v="77.7"/>
  </r>
  <r>
    <n v="345"/>
    <x v="10"/>
    <d v="2022-12-07T00:00:00"/>
    <d v="1899-12-30T18:56:00"/>
    <n v="104"/>
    <s v="Male"/>
    <n v="62"/>
    <x v="2"/>
    <n v="1"/>
    <n v="30"/>
    <n v="13.5"/>
    <n v="30"/>
    <x v="0"/>
    <s v="Valid"/>
    <n v="16.5"/>
  </r>
  <r>
    <n v="1345"/>
    <x v="3"/>
    <d v="2022-09-29T00:00:00"/>
    <d v="1899-12-30T17:50:00"/>
    <n v="98"/>
    <s v="Male"/>
    <n v="62"/>
    <x v="2"/>
    <n v="1"/>
    <n v="30"/>
    <n v="11.4"/>
    <n v="30"/>
    <x v="0"/>
    <s v="Valid"/>
    <n v="18.600000000000001"/>
  </r>
  <r>
    <n v="747"/>
    <x v="8"/>
    <d v="2022-10-21T00:00:00"/>
    <d v="1899-12-30T18:12:00"/>
    <n v="51"/>
    <s v="Male"/>
    <n v="23"/>
    <x v="0"/>
    <n v="1"/>
    <n v="30"/>
    <n v="9.3000000000000007"/>
    <n v="30"/>
    <x v="0"/>
    <s v="Valid"/>
    <n v="20.7"/>
  </r>
  <r>
    <n v="1747"/>
    <x v="22"/>
    <d v="2023-09-05T00:00:00"/>
    <d v="1899-12-30T18:22:00"/>
    <n v="87"/>
    <s v="Male"/>
    <n v="23"/>
    <x v="0"/>
    <n v="1"/>
    <n v="30"/>
    <n v="16.2"/>
    <n v="30"/>
    <x v="0"/>
    <s v="Valid"/>
    <n v="13.8"/>
  </r>
  <r>
    <n v="645"/>
    <x v="10"/>
    <d v="2022-12-14T00:00:00"/>
    <d v="1899-12-30T22:11:00"/>
    <n v="51"/>
    <s v="Female"/>
    <n v="35"/>
    <x v="2"/>
    <n v="4"/>
    <n v="30"/>
    <n v="11.1"/>
    <n v="120"/>
    <x v="0"/>
    <s v="Valid"/>
    <n v="108.9"/>
  </r>
  <r>
    <n v="997"/>
    <x v="12"/>
    <d v="2023-10-01T00:00:00"/>
    <d v="1899-12-30T20:36:00"/>
    <n v="51"/>
    <s v="Male"/>
    <n v="52"/>
    <x v="0"/>
    <n v="3"/>
    <n v="30"/>
    <n v="15"/>
    <n v="90"/>
    <x v="0"/>
    <s v="Valid"/>
    <n v="75"/>
  </r>
  <r>
    <n v="1645"/>
    <x v="12"/>
    <d v="2023-10-12T00:00:00"/>
    <d v="1899-12-30T17:27:00"/>
    <n v="109"/>
    <s v="Female"/>
    <n v="35"/>
    <x v="2"/>
    <n v="4"/>
    <n v="30"/>
    <n v="9"/>
    <n v="120"/>
    <x v="0"/>
    <s v="Valid"/>
    <n v="111"/>
  </r>
  <r>
    <n v="1997"/>
    <x v="12"/>
    <d v="2023-10-29T00:00:00"/>
    <d v="1899-12-30T21:09:00"/>
    <n v="99"/>
    <s v="Male"/>
    <n v="52"/>
    <x v="0"/>
    <n v="3"/>
    <n v="30"/>
    <n v="10.199999999999999"/>
    <n v="90"/>
    <x v="0"/>
    <s v="Valid"/>
    <n v="79.8"/>
  </r>
  <r>
    <n v="57"/>
    <x v="8"/>
    <d v="2022-10-11T00:00:00"/>
    <d v="1899-12-30T20:12:00"/>
    <n v="64"/>
    <s v="Female"/>
    <n v="63"/>
    <x v="0"/>
    <n v="1"/>
    <n v="30"/>
    <n v="10.199999999999999"/>
    <n v="30"/>
    <x v="0"/>
    <s v="Valid"/>
    <n v="19.8"/>
  </r>
  <r>
    <n v="1057"/>
    <x v="22"/>
    <d v="2023-09-19T00:00:00"/>
    <d v="1899-12-30T22:31:00"/>
    <n v="114"/>
    <s v="Female"/>
    <n v="63"/>
    <x v="0"/>
    <n v="1"/>
    <n v="30"/>
    <n v="15.9"/>
    <n v="30"/>
    <x v="0"/>
    <s v="Valid"/>
    <n v="14.1"/>
  </r>
  <r>
    <n v="581"/>
    <x v="10"/>
    <d v="2022-12-15T00:00:00"/>
    <d v="1899-12-30T21:16:00"/>
    <n v="103"/>
    <s v="Female"/>
    <n v="48"/>
    <x v="0"/>
    <n v="2"/>
    <n v="30"/>
    <n v="13.8"/>
    <n v="60"/>
    <x v="0"/>
    <s v="Valid"/>
    <n v="46.2"/>
  </r>
  <r>
    <n v="1581"/>
    <x v="10"/>
    <d v="2022-12-20T00:00:00"/>
    <d v="1899-12-30T18:57:00"/>
    <n v="108"/>
    <s v="Female"/>
    <n v="48"/>
    <x v="0"/>
    <n v="2"/>
    <n v="30"/>
    <n v="9.9"/>
    <n v="60"/>
    <x v="0"/>
    <s v="Valid"/>
    <n v="50.1"/>
  </r>
  <r>
    <n v="918"/>
    <x v="12"/>
    <d v="2023-10-13T00:00:00"/>
    <d v="1899-12-30T21:59:00"/>
    <n v="114"/>
    <s v="Female"/>
    <n v="42"/>
    <x v="2"/>
    <n v="3"/>
    <n v="30"/>
    <n v="16.2"/>
    <n v="90"/>
    <x v="0"/>
    <s v="Valid"/>
    <n v="73.8"/>
  </r>
  <r>
    <n v="1918"/>
    <x v="10"/>
    <d v="2022-12-10T00:00:00"/>
    <d v="1899-12-30T21:57:00"/>
    <n v="56"/>
    <s v="Female"/>
    <n v="42"/>
    <x v="2"/>
    <n v="3"/>
    <n v="30"/>
    <n v="13.2"/>
    <n v="90"/>
    <x v="0"/>
    <s v="Valid"/>
    <n v="76.8"/>
  </r>
  <r>
    <n v="95"/>
    <x v="6"/>
    <d v="2022-11-06T00:00:00"/>
    <d v="1899-12-30T19:57:00"/>
    <n v="103"/>
    <s v="Female"/>
    <n v="32"/>
    <x v="1"/>
    <n v="2"/>
    <n v="30"/>
    <n v="7.5"/>
    <n v="60"/>
    <x v="0"/>
    <s v="Valid"/>
    <n v="52.5"/>
  </r>
  <r>
    <n v="1095"/>
    <x v="3"/>
    <d v="2022-09-05T00:00:00"/>
    <d v="1899-12-30T17:56:00"/>
    <n v="56"/>
    <s v="Female"/>
    <n v="32"/>
    <x v="1"/>
    <n v="2"/>
    <n v="30"/>
    <n v="9.9"/>
    <n v="60"/>
    <x v="0"/>
    <s v="Valid"/>
    <n v="50.1"/>
  </r>
  <r>
    <n v="267"/>
    <x v="6"/>
    <d v="2022-11-19T00:00:00"/>
    <d v="1899-12-30T17:53:00"/>
    <n v="84"/>
    <s v="Female"/>
    <n v="32"/>
    <x v="0"/>
    <n v="3"/>
    <n v="30"/>
    <n v="12"/>
    <n v="90"/>
    <x v="0"/>
    <s v="Valid"/>
    <n v="78"/>
  </r>
  <r>
    <n v="856"/>
    <x v="6"/>
    <d v="2022-11-05T00:00:00"/>
    <d v="1899-12-30T17:43:00"/>
    <n v="102"/>
    <s v="Male"/>
    <n v="54"/>
    <x v="2"/>
    <n v="4"/>
    <n v="30"/>
    <n v="9.3000000000000007"/>
    <n v="120"/>
    <x v="0"/>
    <s v="Valid"/>
    <n v="110.7"/>
  </r>
  <r>
    <n v="1267"/>
    <x v="10"/>
    <d v="2022-12-23T00:00:00"/>
    <d v="1899-12-30T21:03:00"/>
    <n v="91"/>
    <s v="Female"/>
    <n v="32"/>
    <x v="0"/>
    <n v="3"/>
    <n v="30"/>
    <n v="9.6"/>
    <n v="90"/>
    <x v="0"/>
    <s v="Valid"/>
    <n v="80.400000000000006"/>
  </r>
  <r>
    <n v="1856"/>
    <x v="16"/>
    <d v="2023-12-20T00:00:00"/>
    <d v="1899-12-30T21:34:00"/>
    <n v="114"/>
    <s v="Male"/>
    <n v="54"/>
    <x v="2"/>
    <n v="4"/>
    <n v="30"/>
    <n v="16.2"/>
    <n v="120"/>
    <x v="0"/>
    <s v="Valid"/>
    <n v="103.8"/>
  </r>
  <r>
    <n v="84"/>
    <x v="20"/>
    <d v="2023-11-10T00:00:00"/>
    <d v="1899-12-30T17:17:00"/>
    <n v="89"/>
    <s v="Female"/>
    <n v="38"/>
    <x v="2"/>
    <n v="3"/>
    <n v="30"/>
    <n v="10.199999999999999"/>
    <n v="90"/>
    <x v="0"/>
    <s v="Valid"/>
    <n v="79.8"/>
  </r>
  <r>
    <n v="1084"/>
    <x v="8"/>
    <d v="2022-10-23T00:00:00"/>
    <d v="1899-12-30T20:37:00"/>
    <n v="93"/>
    <s v="Female"/>
    <n v="38"/>
    <x v="2"/>
    <n v="3"/>
    <n v="30"/>
    <n v="7.8"/>
    <n v="90"/>
    <x v="0"/>
    <s v="Valid"/>
    <n v="82.2"/>
  </r>
  <r>
    <n v="289"/>
    <x v="22"/>
    <d v="2023-09-09T00:00:00"/>
    <d v="1899-12-30T20:29:00"/>
    <n v="107"/>
    <s v="Male"/>
    <n v="53"/>
    <x v="2"/>
    <n v="2"/>
    <n v="30"/>
    <n v="8.1"/>
    <n v="60"/>
    <x v="0"/>
    <s v="Valid"/>
    <n v="51.9"/>
  </r>
  <r>
    <n v="1289"/>
    <x v="12"/>
    <d v="2023-10-10T00:00:00"/>
    <d v="1899-12-30T19:35:00"/>
    <n v="83"/>
    <s v="Male"/>
    <n v="53"/>
    <x v="2"/>
    <n v="2"/>
    <n v="30"/>
    <n v="16.2"/>
    <n v="60"/>
    <x v="0"/>
    <s v="Valid"/>
    <n v="43.8"/>
  </r>
  <r>
    <n v="266"/>
    <x v="3"/>
    <d v="2022-09-12T00:00:00"/>
    <d v="1899-12-30T18:26:00"/>
    <n v="66"/>
    <s v="Female"/>
    <n v="19"/>
    <x v="2"/>
    <n v="2"/>
    <n v="30"/>
    <n v="14.4"/>
    <n v="60"/>
    <x v="0"/>
    <s v="Valid"/>
    <n v="45.6"/>
  </r>
  <r>
    <n v="1266"/>
    <x v="22"/>
    <d v="2023-09-03T00:00:00"/>
    <d v="1899-12-30T20:08:00"/>
    <n v="79"/>
    <s v="Female"/>
    <n v="19"/>
    <x v="2"/>
    <n v="2"/>
    <n v="30"/>
    <n v="15.6"/>
    <n v="60"/>
    <x v="0"/>
    <s v="Valid"/>
    <n v="44.4"/>
  </r>
  <r>
    <n v="566"/>
    <x v="6"/>
    <d v="2022-11-26T00:00:00"/>
    <d v="1899-12-30T19:15:00"/>
    <n v="106"/>
    <s v="Female"/>
    <n v="64"/>
    <x v="1"/>
    <n v="1"/>
    <n v="30"/>
    <n v="8.4"/>
    <n v="30"/>
    <x v="0"/>
    <s v="Valid"/>
    <n v="21.6"/>
  </r>
  <r>
    <n v="1566"/>
    <x v="8"/>
    <d v="2022-10-03T00:00:00"/>
    <d v="1899-12-30T18:17:00"/>
    <n v="56"/>
    <s v="Female"/>
    <n v="64"/>
    <x v="1"/>
    <n v="1"/>
    <n v="30"/>
    <n v="15.6"/>
    <n v="30"/>
    <x v="0"/>
    <s v="Valid"/>
    <n v="14.4"/>
  </r>
  <r>
    <n v="485"/>
    <x v="6"/>
    <d v="2022-11-08T00:00:00"/>
    <d v="1899-12-30T17:30:00"/>
    <n v="101"/>
    <s v="Male"/>
    <n v="24"/>
    <x v="2"/>
    <n v="1"/>
    <n v="30"/>
    <n v="11.4"/>
    <n v="30"/>
    <x v="0"/>
    <s v="Valid"/>
    <n v="18.600000000000001"/>
  </r>
  <r>
    <n v="1485"/>
    <x v="3"/>
    <d v="2022-09-24T00:00:00"/>
    <d v="1899-12-30T18:29:00"/>
    <n v="66"/>
    <s v="Male"/>
    <n v="24"/>
    <x v="2"/>
    <n v="1"/>
    <n v="30"/>
    <n v="15.6"/>
    <n v="30"/>
    <x v="0"/>
    <s v="Valid"/>
    <n v="14.4"/>
  </r>
  <r>
    <n v="535"/>
    <x v="20"/>
    <d v="2023-11-20T00:00:00"/>
    <d v="1899-12-30T13:46:00"/>
    <n v="59"/>
    <s v="Male"/>
    <n v="47"/>
    <x v="0"/>
    <n v="3"/>
    <n v="30"/>
    <n v="16.2"/>
    <n v="90"/>
    <x v="0"/>
    <s v="Valid"/>
    <n v="73.8"/>
  </r>
  <r>
    <n v="1535"/>
    <x v="16"/>
    <d v="2023-12-18T00:00:00"/>
    <d v="1899-12-30T15:31:00"/>
    <n v="52"/>
    <s v="Male"/>
    <n v="47"/>
    <x v="0"/>
    <n v="3"/>
    <n v="30"/>
    <n v="9.9"/>
    <n v="90"/>
    <x v="0"/>
    <s v="Valid"/>
    <n v="80.099999999999994"/>
  </r>
  <r>
    <n v="80"/>
    <x v="12"/>
    <d v="2023-10-22T00:00:00"/>
    <d v="1899-12-30T16:51:00"/>
    <n v="82"/>
    <s v="Female"/>
    <n v="64"/>
    <x v="1"/>
    <n v="2"/>
    <n v="30"/>
    <n v="12.3"/>
    <n v="60"/>
    <x v="0"/>
    <s v="Valid"/>
    <n v="47.7"/>
  </r>
  <r>
    <n v="214"/>
    <x v="6"/>
    <d v="2022-11-05T00:00:00"/>
    <d v="1899-12-30T16:31:00"/>
    <n v="53"/>
    <s v="Male"/>
    <n v="20"/>
    <x v="0"/>
    <n v="2"/>
    <n v="30"/>
    <n v="8.1"/>
    <n v="60"/>
    <x v="0"/>
    <s v="Valid"/>
    <n v="51.9"/>
  </r>
  <r>
    <n v="1080"/>
    <x v="10"/>
    <d v="2022-12-08T00:00:00"/>
    <d v="1899-12-30T13:31:00"/>
    <n v="70"/>
    <s v="Female"/>
    <n v="64"/>
    <x v="1"/>
    <n v="2"/>
    <n v="30"/>
    <n v="13.2"/>
    <n v="60"/>
    <x v="0"/>
    <s v="Valid"/>
    <n v="46.8"/>
  </r>
  <r>
    <n v="1214"/>
    <x v="20"/>
    <d v="2023-11-18T00:00:00"/>
    <d v="1899-12-30T14:24:00"/>
    <n v="50"/>
    <s v="Male"/>
    <n v="20"/>
    <x v="0"/>
    <n v="2"/>
    <n v="30"/>
    <n v="11.1"/>
    <n v="60"/>
    <x v="0"/>
    <s v="Valid"/>
    <n v="48.9"/>
  </r>
  <r>
    <n v="701"/>
    <x v="20"/>
    <d v="2023-11-29T00:00:00"/>
    <d v="1899-12-30T16:33:00"/>
    <n v="93"/>
    <s v="Female"/>
    <n v="52"/>
    <x v="0"/>
    <n v="2"/>
    <n v="30"/>
    <n v="14.1"/>
    <n v="60"/>
    <x v="0"/>
    <s v="Valid"/>
    <n v="45.9"/>
  </r>
  <r>
    <n v="1701"/>
    <x v="12"/>
    <d v="2023-10-13T00:00:00"/>
    <d v="1899-12-30T15:09:00"/>
    <n v="62"/>
    <s v="Female"/>
    <n v="52"/>
    <x v="0"/>
    <n v="2"/>
    <n v="30"/>
    <n v="15.9"/>
    <n v="60"/>
    <x v="0"/>
    <s v="Valid"/>
    <n v="44.1"/>
  </r>
  <r>
    <n v="451"/>
    <x v="12"/>
    <d v="2023-10-09T00:00:00"/>
    <d v="1899-12-30T15:38:00"/>
    <n v="74"/>
    <s v="Female"/>
    <n v="45"/>
    <x v="2"/>
    <n v="1"/>
    <n v="30"/>
    <n v="13.5"/>
    <n v="30"/>
    <x v="0"/>
    <s v="Valid"/>
    <n v="16.5"/>
  </r>
  <r>
    <n v="1451"/>
    <x v="3"/>
    <d v="2022-09-23T00:00:00"/>
    <d v="1899-12-30T12:10:00"/>
    <n v="94"/>
    <s v="Female"/>
    <n v="45"/>
    <x v="2"/>
    <n v="1"/>
    <n v="30"/>
    <n v="13.2"/>
    <n v="30"/>
    <x v="0"/>
    <s v="Valid"/>
    <n v="16.8"/>
  </r>
  <r>
    <n v="982"/>
    <x v="6"/>
    <d v="2022-11-10T00:00:00"/>
    <d v="1899-12-30T14:08:00"/>
    <n v="50"/>
    <s v="Female"/>
    <n v="46"/>
    <x v="0"/>
    <n v="3"/>
    <n v="30"/>
    <n v="15.6"/>
    <n v="90"/>
    <x v="0"/>
    <s v="Valid"/>
    <n v="74.400000000000006"/>
  </r>
  <r>
    <n v="1982"/>
    <x v="22"/>
    <d v="2023-09-09T00:00:00"/>
    <d v="1899-12-30T12:46:00"/>
    <n v="110"/>
    <s v="Female"/>
    <n v="46"/>
    <x v="0"/>
    <n v="3"/>
    <n v="30"/>
    <n v="16.5"/>
    <n v="90"/>
    <x v="0"/>
    <s v="Valid"/>
    <n v="73.5"/>
  </r>
  <r>
    <n v="879"/>
    <x v="6"/>
    <d v="2022-11-13T00:00:00"/>
    <d v="1899-12-30T16:51:00"/>
    <n v="50"/>
    <s v="Male"/>
    <n v="23"/>
    <x v="1"/>
    <n v="1"/>
    <n v="30"/>
    <n v="15.3"/>
    <n v="30"/>
    <x v="0"/>
    <s v="Valid"/>
    <n v="14.7"/>
  </r>
  <r>
    <n v="1879"/>
    <x v="6"/>
    <d v="2022-11-18T00:00:00"/>
    <d v="1899-12-30T15:27:00"/>
    <n v="66"/>
    <s v="Male"/>
    <n v="23"/>
    <x v="1"/>
    <n v="1"/>
    <n v="30"/>
    <n v="16.2"/>
    <n v="30"/>
    <x v="0"/>
    <s v="Valid"/>
    <n v="13.8"/>
  </r>
  <r>
    <n v="650"/>
    <x v="12"/>
    <d v="2023-10-08T00:00:00"/>
    <d v="1899-12-30T12:41:00"/>
    <n v="98"/>
    <s v="Male"/>
    <n v="55"/>
    <x v="2"/>
    <n v="1"/>
    <n v="30"/>
    <n v="15"/>
    <n v="30"/>
    <x v="0"/>
    <s v="Valid"/>
    <n v="15"/>
  </r>
  <r>
    <n v="1650"/>
    <x v="3"/>
    <d v="2022-09-23T00:00:00"/>
    <d v="1899-12-30T16:24:00"/>
    <n v="89"/>
    <s v="Male"/>
    <n v="55"/>
    <x v="2"/>
    <n v="1"/>
    <n v="30"/>
    <n v="10.8"/>
    <n v="30"/>
    <x v="0"/>
    <s v="Valid"/>
    <n v="19.2"/>
  </r>
  <r>
    <n v="163"/>
    <x v="8"/>
    <d v="2022-10-31T00:00:00"/>
    <d v="1899-12-30T09:38:00"/>
    <n v="144"/>
    <s v="Female"/>
    <n v="64"/>
    <x v="1"/>
    <n v="3"/>
    <n v="50"/>
    <n v="23"/>
    <n v="150"/>
    <x v="0"/>
    <s v="Valid"/>
    <n v="127"/>
  </r>
  <r>
    <n v="1163"/>
    <x v="0"/>
    <d v="2022-05-04T00:00:00"/>
    <d v="1899-12-30T10:52:00"/>
    <n v="120"/>
    <s v="Female"/>
    <n v="64"/>
    <x v="1"/>
    <n v="3"/>
    <n v="50"/>
    <n v="27"/>
    <n v="150"/>
    <x v="0"/>
    <s v="Valid"/>
    <n v="123"/>
  </r>
  <r>
    <n v="231"/>
    <x v="9"/>
    <d v="2022-07-09T00:00:00"/>
    <d v="1899-12-30T07:02:00"/>
    <n v="50"/>
    <s v="Female"/>
    <n v="23"/>
    <x v="1"/>
    <n v="3"/>
    <n v="50"/>
    <n v="26.5"/>
    <n v="150"/>
    <x v="0"/>
    <s v="Valid"/>
    <n v="123.5"/>
  </r>
  <r>
    <n v="1231"/>
    <x v="11"/>
    <d v="2022-01-29T00:00:00"/>
    <d v="1899-12-30T07:05:00"/>
    <n v="12"/>
    <s v="Female"/>
    <n v="23"/>
    <x v="1"/>
    <n v="3"/>
    <n v="50"/>
    <n v="23"/>
    <n v="150"/>
    <x v="0"/>
    <s v="Valid"/>
    <n v="127"/>
  </r>
  <r>
    <n v="367"/>
    <x v="10"/>
    <d v="2022-12-30T00:00:00"/>
    <d v="1899-12-30T07:03:00"/>
    <n v="123"/>
    <s v="Female"/>
    <n v="57"/>
    <x v="2"/>
    <n v="1"/>
    <n v="50"/>
    <n v="18"/>
    <n v="50"/>
    <x v="0"/>
    <s v="Valid"/>
    <n v="32"/>
  </r>
  <r>
    <n v="1367"/>
    <x v="4"/>
    <d v="2022-04-15T00:00:00"/>
    <d v="1899-12-30T11:38:00"/>
    <n v="16"/>
    <s v="Female"/>
    <m/>
    <x v="2"/>
    <n v="1"/>
    <n v="50"/>
    <n v="15.5"/>
    <n v="50"/>
    <x v="0"/>
    <s v="Valid"/>
    <n v="34.5"/>
  </r>
  <r>
    <n v="860"/>
    <x v="4"/>
    <d v="2022-04-11T00:00:00"/>
    <d v="1899-12-30T08:58:00"/>
    <n v="85"/>
    <s v="Male"/>
    <n v="63"/>
    <x v="1"/>
    <n v="4"/>
    <n v="50"/>
    <n v="16"/>
    <n v="200"/>
    <x v="0"/>
    <s v="Valid"/>
    <n v="184"/>
  </r>
  <r>
    <n v="1860"/>
    <x v="2"/>
    <d v="2022-03-12T00:00:00"/>
    <d v="1899-12-30T11:21:00"/>
    <n v="57"/>
    <s v="Male"/>
    <n v="63"/>
    <x v="1"/>
    <n v="4"/>
    <n v="50"/>
    <n v="18"/>
    <n v="200"/>
    <x v="0"/>
    <s v="Valid"/>
    <n v="182"/>
  </r>
  <r>
    <n v="184"/>
    <x v="5"/>
    <d v="2022-02-13T00:00:00"/>
    <d v="1899-12-30T06:44:00"/>
    <n v="128"/>
    <s v="Male"/>
    <n v="31"/>
    <x v="2"/>
    <n v="4"/>
    <n v="50"/>
    <n v="17"/>
    <n v="200"/>
    <x v="0"/>
    <s v="Valid"/>
    <n v="183"/>
  </r>
  <r>
    <n v="1184"/>
    <x v="5"/>
    <d v="2022-02-12T00:00:00"/>
    <d v="1899-12-30T08:28:00"/>
    <n v="23"/>
    <s v="Male"/>
    <n v="31"/>
    <x v="2"/>
    <n v="4"/>
    <n v="50"/>
    <n v="27.5"/>
    <n v="200"/>
    <x v="0"/>
    <s v="Valid"/>
    <n v="172.5"/>
  </r>
  <r>
    <n v="505"/>
    <x v="10"/>
    <d v="2022-12-17T00:00:00"/>
    <d v="1899-12-30T07:25:00"/>
    <n v="86"/>
    <s v="Male"/>
    <n v="24"/>
    <x v="0"/>
    <n v="1"/>
    <n v="50"/>
    <n v="19.5"/>
    <n v="50"/>
    <x v="0"/>
    <s v="Valid"/>
    <n v="30.5"/>
  </r>
  <r>
    <n v="1505"/>
    <x v="8"/>
    <d v="2022-10-30T00:00:00"/>
    <d v="1899-12-30T08:00:00"/>
    <n v="98"/>
    <s v="Male"/>
    <n v="24"/>
    <x v="0"/>
    <n v="1"/>
    <n v="50"/>
    <n v="14.5"/>
    <n v="50"/>
    <x v="0"/>
    <s v="Valid"/>
    <n v="35.5"/>
  </r>
  <r>
    <n v="912"/>
    <x v="8"/>
    <d v="2022-10-31T00:00:00"/>
    <d v="1899-12-30T06:18:00"/>
    <n v="122"/>
    <s v="Male"/>
    <n v="51"/>
    <x v="0"/>
    <n v="3"/>
    <n v="50"/>
    <n v="20.5"/>
    <n v="150"/>
    <x v="0"/>
    <s v="Valid"/>
    <n v="129.5"/>
  </r>
  <r>
    <n v="1912"/>
    <x v="0"/>
    <d v="2022-05-27T00:00:00"/>
    <d v="1899-12-30T07:40:00"/>
    <n v="146"/>
    <s v="Male"/>
    <n v="51"/>
    <x v="0"/>
    <n v="3"/>
    <n v="50"/>
    <n v="22"/>
    <n v="150"/>
    <x v="0"/>
    <s v="Valid"/>
    <n v="128"/>
  </r>
  <r>
    <n v="134"/>
    <x v="1"/>
    <d v="2022-08-25T00:00:00"/>
    <d v="1899-12-30T09:03:00"/>
    <n v="132"/>
    <s v="Male"/>
    <n v="49"/>
    <x v="2"/>
    <n v="1"/>
    <n v="50"/>
    <n v="16"/>
    <n v="50"/>
    <x v="0"/>
    <s v="Valid"/>
    <n v="34"/>
  </r>
  <r>
    <n v="1134"/>
    <x v="1"/>
    <d v="2022-08-05T00:00:00"/>
    <d v="1899-12-30T09:04:00"/>
    <n v="106"/>
    <s v="Male"/>
    <n v="49"/>
    <x v="2"/>
    <n v="1"/>
    <n v="50"/>
    <n v="24"/>
    <n v="50"/>
    <x v="0"/>
    <s v="Valid"/>
    <n v="26"/>
  </r>
  <r>
    <n v="618"/>
    <x v="8"/>
    <d v="2022-10-13T00:00:00"/>
    <d v="1899-12-30T10:22:00"/>
    <n v="5"/>
    <s v="Female"/>
    <n v="27"/>
    <x v="0"/>
    <n v="1"/>
    <n v="50"/>
    <n v="26"/>
    <n v="50"/>
    <x v="0"/>
    <s v="Valid"/>
    <n v="24"/>
  </r>
  <r>
    <n v="1618"/>
    <x v="3"/>
    <d v="2022-09-15T00:00:00"/>
    <d v="1899-12-30T06:27:00"/>
    <n v="118"/>
    <s v="Female"/>
    <n v="27"/>
    <x v="0"/>
    <n v="1"/>
    <n v="50"/>
    <n v="13.5"/>
    <n v="50"/>
    <x v="0"/>
    <s v="Valid"/>
    <n v="36.5"/>
  </r>
  <r>
    <n v="189"/>
    <x v="11"/>
    <d v="2022-01-02T00:00:00"/>
    <d v="1899-12-30T09:44:00"/>
    <n v="143"/>
    <s v="Male"/>
    <n v="63"/>
    <x v="0"/>
    <n v="1"/>
    <n v="50"/>
    <n v="14.5"/>
    <n v="50"/>
    <x v="0"/>
    <s v="Valid"/>
    <n v="35.5"/>
  </r>
  <r>
    <n v="1189"/>
    <x v="10"/>
    <d v="2022-12-07T00:00:00"/>
    <d v="1899-12-30T06:08:00"/>
    <n v="104"/>
    <s v="Male"/>
    <n v="63"/>
    <x v="0"/>
    <n v="1"/>
    <n v="50"/>
    <n v="20.5"/>
    <n v="50"/>
    <x v="0"/>
    <s v="Valid"/>
    <n v="29.5"/>
  </r>
  <r>
    <n v="300"/>
    <x v="11"/>
    <d v="2022-01-08T00:00:00"/>
    <d v="1899-12-30T09:41:00"/>
    <n v="138"/>
    <s v="Female"/>
    <n v="19"/>
    <x v="2"/>
    <n v="4"/>
    <n v="50"/>
    <n v="26.5"/>
    <n v="200"/>
    <x v="0"/>
    <s v="Valid"/>
    <n v="173.5"/>
  </r>
  <r>
    <n v="1300"/>
    <x v="1"/>
    <d v="2022-08-08T00:00:00"/>
    <d v="1899-12-30T08:57:00"/>
    <n v="7"/>
    <s v="Female"/>
    <n v="19"/>
    <x v="2"/>
    <n v="4"/>
    <n v="50"/>
    <n v="24"/>
    <n v="200"/>
    <x v="0"/>
    <s v="Valid"/>
    <n v="176"/>
  </r>
  <r>
    <n v="666"/>
    <x v="2"/>
    <d v="2022-03-03T00:00:00"/>
    <d v="1899-12-30T10:59:00"/>
    <n v="49"/>
    <s v="Male"/>
    <n v="51"/>
    <x v="2"/>
    <n v="3"/>
    <n v="50"/>
    <n v="16"/>
    <n v="150"/>
    <x v="0"/>
    <s v="Valid"/>
    <n v="134"/>
  </r>
  <r>
    <n v="1666"/>
    <x v="10"/>
    <d v="2022-12-08T00:00:00"/>
    <d v="1899-12-30T10:10:00"/>
    <n v="125"/>
    <s v="Male"/>
    <n v="51"/>
    <x v="2"/>
    <n v="3"/>
    <n v="50"/>
    <n v="21"/>
    <n v="150"/>
    <x v="0"/>
    <s v="Valid"/>
    <n v="129"/>
  </r>
  <r>
    <n v="490"/>
    <x v="11"/>
    <d v="2022-01-27T00:00:00"/>
    <d v="1899-12-30T06:07:00"/>
    <n v="43"/>
    <s v="Male"/>
    <n v="34"/>
    <x v="1"/>
    <n v="3"/>
    <n v="50"/>
    <n v="18.5"/>
    <n v="150"/>
    <x v="0"/>
    <s v="Valid"/>
    <n v="131.5"/>
  </r>
  <r>
    <n v="740"/>
    <x v="10"/>
    <d v="2022-12-01T00:00:00"/>
    <d v="1899-12-30T06:58:00"/>
    <n v="33"/>
    <s v="Female"/>
    <n v="25"/>
    <x v="0"/>
    <n v="4"/>
    <n v="50"/>
    <n v="13"/>
    <n v="200"/>
    <x v="0"/>
    <s v="Valid"/>
    <n v="187"/>
  </r>
  <r>
    <n v="1490"/>
    <x v="8"/>
    <d v="2022-10-26T00:00:00"/>
    <d v="1899-12-30T07:15:00"/>
    <n v="155"/>
    <s v="Male"/>
    <n v="34"/>
    <x v="1"/>
    <n v="3"/>
    <n v="50"/>
    <n v="17"/>
    <n v="150"/>
    <x v="0"/>
    <s v="Valid"/>
    <n v="133"/>
  </r>
  <r>
    <n v="1740"/>
    <x v="9"/>
    <d v="2022-07-16T00:00:00"/>
    <d v="1899-12-30T06:01:00"/>
    <n v="66"/>
    <s v="Female"/>
    <n v="25"/>
    <x v="0"/>
    <n v="4"/>
    <n v="50"/>
    <n v="27"/>
    <n v="200"/>
    <x v="0"/>
    <s v="Valid"/>
    <n v="173"/>
  </r>
  <r>
    <n v="85"/>
    <x v="3"/>
    <d v="2022-09-03T00:00:00"/>
    <d v="1899-12-30T08:05:00"/>
    <n v="68"/>
    <s v="Male"/>
    <n v="31"/>
    <x v="1"/>
    <n v="3"/>
    <n v="50"/>
    <n v="19"/>
    <n v="150"/>
    <x v="0"/>
    <s v="Valid"/>
    <n v="131"/>
  </r>
  <r>
    <n v="993"/>
    <x v="3"/>
    <d v="2022-09-07T00:00:00"/>
    <d v="1899-12-30T09:21:00"/>
    <n v="134"/>
    <s v="Female"/>
    <n v="48"/>
    <x v="2"/>
    <n v="3"/>
    <n v="50"/>
    <n v="17"/>
    <n v="150"/>
    <x v="0"/>
    <s v="Valid"/>
    <n v="133"/>
  </r>
  <r>
    <n v="1085"/>
    <x v="1"/>
    <d v="2022-08-12T00:00:00"/>
    <d v="1899-12-30T09:29:00"/>
    <n v="76"/>
    <s v="Male"/>
    <n v="31"/>
    <x v="1"/>
    <n v="3"/>
    <n v="50"/>
    <n v="17"/>
    <n v="150"/>
    <x v="0"/>
    <s v="Valid"/>
    <n v="133"/>
  </r>
  <r>
    <n v="1993"/>
    <x v="10"/>
    <d v="2022-12-29T00:00:00"/>
    <d v="1899-12-30T11:53:00"/>
    <n v="123"/>
    <s v="Female"/>
    <n v="48"/>
    <x v="2"/>
    <n v="3"/>
    <n v="50"/>
    <n v="26.5"/>
    <n v="150"/>
    <x v="0"/>
    <s v="Valid"/>
    <n v="123.5"/>
  </r>
  <r>
    <n v="366"/>
    <x v="8"/>
    <d v="2022-10-29T00:00:00"/>
    <d v="1899-12-30T09:32:00"/>
    <n v="116"/>
    <s v="Male"/>
    <n v="57"/>
    <x v="1"/>
    <n v="2"/>
    <n v="50"/>
    <n v="17.5"/>
    <n v="100"/>
    <x v="0"/>
    <s v="Valid"/>
    <n v="82.5"/>
  </r>
  <r>
    <n v="936"/>
    <x v="11"/>
    <d v="2022-01-05T00:00:00"/>
    <d v="1899-12-30T10:51:00"/>
    <n v="143"/>
    <s v="Male"/>
    <n v="57"/>
    <x v="0"/>
    <n v="4"/>
    <n v="50"/>
    <n v="19.5"/>
    <n v="200"/>
    <x v="0"/>
    <s v="Valid"/>
    <n v="180.5"/>
  </r>
  <r>
    <n v="1366"/>
    <x v="11"/>
    <d v="2022-01-01T00:00:00"/>
    <d v="1899-12-30T11:34:00"/>
    <n v="25"/>
    <s v="Male"/>
    <n v="57"/>
    <x v="1"/>
    <n v="2"/>
    <n v="50"/>
    <n v="23.5"/>
    <n v="100"/>
    <x v="0"/>
    <s v="Valid"/>
    <n v="76.5"/>
  </r>
  <r>
    <n v="1936"/>
    <x v="7"/>
    <d v="2022-06-19T00:00:00"/>
    <d v="1899-12-30T11:32:00"/>
    <n v="60"/>
    <s v="Male"/>
    <n v="57"/>
    <x v="0"/>
    <n v="4"/>
    <n v="50"/>
    <n v="12.5"/>
    <n v="200"/>
    <x v="0"/>
    <s v="Valid"/>
    <n v="187.5"/>
  </r>
  <r>
    <n v="284"/>
    <x v="6"/>
    <d v="2022-11-12T00:00:00"/>
    <d v="1899-12-30T09:17:00"/>
    <n v="129"/>
    <s v="Male"/>
    <n v="43"/>
    <x v="1"/>
    <n v="4"/>
    <n v="50"/>
    <n v="20.5"/>
    <n v="200"/>
    <x v="0"/>
    <s v="Valid"/>
    <n v="179.5"/>
  </r>
  <r>
    <n v="1284"/>
    <x v="10"/>
    <d v="2022-12-16T00:00:00"/>
    <d v="1899-12-30T11:43:00"/>
    <n v="145"/>
    <s v="Male"/>
    <n v="43"/>
    <x v="1"/>
    <n v="4"/>
    <n v="50"/>
    <n v="18"/>
    <n v="200"/>
    <x v="0"/>
    <s v="Valid"/>
    <n v="182"/>
  </r>
  <r>
    <n v="192"/>
    <x v="6"/>
    <d v="2022-11-08T00:00:00"/>
    <d v="1899-12-30T08:05:00"/>
    <n v="134"/>
    <s v="Male"/>
    <n v="62"/>
    <x v="0"/>
    <n v="2"/>
    <n v="50"/>
    <n v="13"/>
    <n v="100"/>
    <x v="0"/>
    <s v="Valid"/>
    <n v="87"/>
  </r>
  <r>
    <n v="1192"/>
    <x v="2"/>
    <d v="2022-03-29T00:00:00"/>
    <d v="1899-12-30T08:41:00"/>
    <n v="37"/>
    <s v="Male"/>
    <n v="62"/>
    <x v="0"/>
    <n v="2"/>
    <n v="50"/>
    <n v="20.5"/>
    <n v="100"/>
    <x v="0"/>
    <s v="Valid"/>
    <n v="79.5"/>
  </r>
  <r>
    <n v="11"/>
    <x v="5"/>
    <d v="2022-02-27T00:00:00"/>
    <d v="1899-12-30T10:30:00"/>
    <n v="151"/>
    <s v="Male"/>
    <n v="23"/>
    <x v="1"/>
    <n v="2"/>
    <n v="50"/>
    <n v="23.5"/>
    <n v="100"/>
    <x v="0"/>
    <s v="Valid"/>
    <n v="76.5"/>
  </r>
  <r>
    <n v="1011"/>
    <x v="4"/>
    <d v="2022-04-01T00:00:00"/>
    <d v="1899-12-30T06:48:00"/>
    <n v="15"/>
    <s v="Male"/>
    <n v="23"/>
    <x v="1"/>
    <n v="2"/>
    <n v="50"/>
    <n v="19"/>
    <n v="100"/>
    <x v="0"/>
    <s v="Valid"/>
    <n v="81"/>
  </r>
  <r>
    <n v="584"/>
    <x v="10"/>
    <d v="2022-12-31T00:00:00"/>
    <d v="1899-12-30T10:21:00"/>
    <n v="106"/>
    <s v="Female"/>
    <n v="27"/>
    <x v="0"/>
    <n v="4"/>
    <n v="50"/>
    <n v="16.5"/>
    <n v="200"/>
    <x v="0"/>
    <s v="Valid"/>
    <n v="183.5"/>
  </r>
  <r>
    <n v="1584"/>
    <x v="3"/>
    <d v="2022-09-03T00:00:00"/>
    <d v="1899-12-30T11:07:00"/>
    <n v="62"/>
    <s v="Female"/>
    <n v="27"/>
    <x v="0"/>
    <n v="4"/>
    <n v="50"/>
    <n v="16.5"/>
    <n v="200"/>
    <x v="0"/>
    <s v="Valid"/>
    <n v="183.5"/>
  </r>
  <r>
    <n v="400"/>
    <x v="2"/>
    <d v="2022-03-08T00:00:00"/>
    <d v="1899-12-30T09:52:00"/>
    <n v="2"/>
    <s v="Male"/>
    <n v="53"/>
    <x v="1"/>
    <n v="4"/>
    <n v="50"/>
    <n v="24"/>
    <n v="200"/>
    <x v="0"/>
    <s v="Valid"/>
    <n v="176"/>
  </r>
  <r>
    <n v="1400"/>
    <x v="3"/>
    <d v="2022-09-12T00:00:00"/>
    <d v="1899-12-30T11:54:00"/>
    <n v="115"/>
    <s v="Male"/>
    <n v="53"/>
    <x v="1"/>
    <n v="4"/>
    <n v="50"/>
    <n v="20"/>
    <n v="200"/>
    <x v="0"/>
    <s v="Valid"/>
    <n v="180"/>
  </r>
  <r>
    <n v="272"/>
    <x v="7"/>
    <d v="2022-06-10T00:00:00"/>
    <d v="1899-12-30T11:57:00"/>
    <n v="112"/>
    <s v="Female"/>
    <n v="61"/>
    <x v="2"/>
    <n v="2"/>
    <n v="50"/>
    <n v="27.5"/>
    <n v="100"/>
    <x v="0"/>
    <s v="Valid"/>
    <n v="72.5"/>
  </r>
  <r>
    <n v="473"/>
    <x v="3"/>
    <d v="2022-09-25T00:00:00"/>
    <d v="1899-12-30T10:09:00"/>
    <n v="1"/>
    <s v="Male"/>
    <n v="64"/>
    <x v="0"/>
    <n v="1"/>
    <n v="50"/>
    <n v="14.5"/>
    <n v="50"/>
    <x v="0"/>
    <s v="Valid"/>
    <n v="35.5"/>
  </r>
  <r>
    <n v="1272"/>
    <x v="4"/>
    <d v="2022-04-14T00:00:00"/>
    <d v="1899-12-30T11:59:00"/>
    <n v="66"/>
    <s v="Female"/>
    <n v="61"/>
    <x v="2"/>
    <n v="2"/>
    <n v="50"/>
    <n v="17"/>
    <n v="100"/>
    <x v="0"/>
    <s v="Valid"/>
    <n v="83"/>
  </r>
  <r>
    <n v="1473"/>
    <x v="2"/>
    <d v="2022-03-19T00:00:00"/>
    <d v="1899-12-30T09:06:00"/>
    <n v="30"/>
    <s v="Male"/>
    <n v="64"/>
    <x v="0"/>
    <n v="1"/>
    <n v="50"/>
    <n v="13"/>
    <n v="50"/>
    <x v="0"/>
    <s v="Valid"/>
    <n v="37"/>
  </r>
  <r>
    <n v="433"/>
    <x v="9"/>
    <d v="2022-07-29T00:00:00"/>
    <d v="1899-12-30T08:48:00"/>
    <n v="144"/>
    <s v="Male"/>
    <n v="29"/>
    <x v="0"/>
    <n v="4"/>
    <n v="50"/>
    <n v="20"/>
    <n v="200"/>
    <x v="0"/>
    <s v="Valid"/>
    <n v="180"/>
  </r>
  <r>
    <n v="1433"/>
    <x v="11"/>
    <d v="2022-01-16T00:00:00"/>
    <d v="1899-12-30T11:41:00"/>
    <n v="113"/>
    <s v="Male"/>
    <n v="29"/>
    <x v="0"/>
    <n v="4"/>
    <n v="50"/>
    <n v="15.5"/>
    <n v="200"/>
    <x v="0"/>
    <s v="Valid"/>
    <n v="184.5"/>
  </r>
  <r>
    <n v="785"/>
    <x v="8"/>
    <d v="2022-10-19T00:00:00"/>
    <d v="1899-12-30T06:09:00"/>
    <n v="88"/>
    <s v="Female"/>
    <n v="31"/>
    <x v="0"/>
    <n v="4"/>
    <n v="50"/>
    <n v="13"/>
    <n v="200"/>
    <x v="0"/>
    <s v="Valid"/>
    <n v="187"/>
  </r>
  <r>
    <n v="1785"/>
    <x v="5"/>
    <d v="2022-02-20T00:00:00"/>
    <d v="1899-12-30T11:17:00"/>
    <n v="144"/>
    <s v="Female"/>
    <n v="31"/>
    <x v="0"/>
    <n v="4"/>
    <n v="50"/>
    <n v="17"/>
    <n v="200"/>
    <x v="0"/>
    <s v="Valid"/>
    <n v="183"/>
  </r>
  <r>
    <n v="197"/>
    <x v="4"/>
    <d v="2022-04-03T00:00:00"/>
    <d v="1899-12-30T11:57:00"/>
    <n v="14"/>
    <s v="Female"/>
    <n v="42"/>
    <x v="1"/>
    <n v="4"/>
    <n v="50"/>
    <n v="25.5"/>
    <n v="200"/>
    <x v="0"/>
    <s v="Valid"/>
    <n v="174.5"/>
  </r>
  <r>
    <n v="910"/>
    <x v="1"/>
    <d v="2022-08-21T00:00:00"/>
    <d v="1899-12-30T06:29:00"/>
    <n v="138"/>
    <s v="Female"/>
    <n v="20"/>
    <x v="0"/>
    <n v="3"/>
    <n v="50"/>
    <n v="22.5"/>
    <n v="150"/>
    <x v="0"/>
    <s v="Valid"/>
    <n v="127.5"/>
  </r>
  <r>
    <n v="917"/>
    <x v="5"/>
    <d v="2022-02-15T00:00:00"/>
    <d v="1899-12-30T11:50:00"/>
    <n v="120"/>
    <s v="Female"/>
    <n v="57"/>
    <x v="2"/>
    <n v="4"/>
    <n v="50"/>
    <n v="16.5"/>
    <n v="200"/>
    <x v="0"/>
    <s v="Valid"/>
    <n v="183.5"/>
  </r>
  <r>
    <n v="1197"/>
    <x v="1"/>
    <d v="2022-08-13T00:00:00"/>
    <d v="1899-12-30T10:07:00"/>
    <n v="77"/>
    <s v="Female"/>
    <n v="42"/>
    <x v="1"/>
    <n v="4"/>
    <n v="50"/>
    <n v="19"/>
    <n v="200"/>
    <x v="0"/>
    <s v="Valid"/>
    <n v="181"/>
  </r>
  <r>
    <n v="1910"/>
    <x v="8"/>
    <d v="2022-10-09T00:00:00"/>
    <d v="1899-12-30T06:22:00"/>
    <n v="141"/>
    <s v="Female"/>
    <n v="20"/>
    <x v="0"/>
    <n v="3"/>
    <n v="50"/>
    <n v="18"/>
    <n v="150"/>
    <x v="0"/>
    <s v="Valid"/>
    <n v="132"/>
  </r>
  <r>
    <n v="1917"/>
    <x v="0"/>
    <d v="2022-05-02T00:00:00"/>
    <d v="1899-12-30T07:17:00"/>
    <n v="52"/>
    <s v="Female"/>
    <n v="57"/>
    <x v="2"/>
    <n v="4"/>
    <n v="50"/>
    <n v="24"/>
    <n v="200"/>
    <x v="0"/>
    <s v="Valid"/>
    <n v="176"/>
  </r>
  <r>
    <n v="377"/>
    <x v="3"/>
    <d v="2022-09-13T00:00:00"/>
    <d v="1899-12-30T08:30:00"/>
    <n v="141"/>
    <s v="Female"/>
    <n v="46"/>
    <x v="1"/>
    <n v="4"/>
    <n v="50"/>
    <n v="18"/>
    <n v="200"/>
    <x v="0"/>
    <s v="Valid"/>
    <n v="182"/>
  </r>
  <r>
    <n v="1377"/>
    <x v="2"/>
    <d v="2022-03-21T00:00:00"/>
    <d v="1899-12-30T07:52:00"/>
    <n v="71"/>
    <s v="Female"/>
    <n v="46"/>
    <x v="1"/>
    <n v="4"/>
    <n v="50"/>
    <n v="14"/>
    <n v="200"/>
    <x v="0"/>
    <s v="Valid"/>
    <n v="186"/>
  </r>
  <r>
    <n v="623"/>
    <x v="20"/>
    <d v="2023-11-15T00:00:00"/>
    <d v="1899-12-30T10:00:00"/>
    <n v="39"/>
    <s v="Male"/>
    <n v="34"/>
    <x v="1"/>
    <n v="3"/>
    <n v="50"/>
    <n v="26"/>
    <n v="150"/>
    <x v="0"/>
    <s v="Valid"/>
    <n v="124"/>
  </r>
  <r>
    <n v="1623"/>
    <x v="23"/>
    <d v="2023-03-05T00:00:00"/>
    <d v="1899-12-30T06:14:00"/>
    <n v="76"/>
    <s v="Male"/>
    <n v="34"/>
    <x v="1"/>
    <n v="3"/>
    <n v="50"/>
    <n v="22"/>
    <n v="150"/>
    <x v="0"/>
    <s v="Valid"/>
    <n v="128"/>
  </r>
  <r>
    <n v="119"/>
    <x v="22"/>
    <d v="2023-09-01T00:00:00"/>
    <d v="1899-12-30T09:11:00"/>
    <n v="127"/>
    <s v="Female"/>
    <n v="60"/>
    <x v="1"/>
    <n v="3"/>
    <n v="50"/>
    <n v="27.5"/>
    <n v="150"/>
    <x v="0"/>
    <s v="Valid"/>
    <n v="122.5"/>
  </r>
  <r>
    <n v="1119"/>
    <x v="20"/>
    <d v="2023-11-19T00:00:00"/>
    <d v="1899-12-30T09:36:00"/>
    <n v="1"/>
    <s v="Female"/>
    <n v="60"/>
    <x v="1"/>
    <n v="3"/>
    <n v="50"/>
    <n v="25.5"/>
    <n v="150"/>
    <x v="0"/>
    <s v="Valid"/>
    <n v="124.5"/>
  </r>
  <r>
    <n v="748"/>
    <x v="23"/>
    <d v="2023-03-01T00:00:00"/>
    <d v="1899-12-30T09:35:00"/>
    <n v="132"/>
    <s v="Male"/>
    <n v="25"/>
    <x v="1"/>
    <n v="3"/>
    <n v="50"/>
    <n v="24"/>
    <n v="150"/>
    <x v="0"/>
    <s v="Valid"/>
    <n v="126"/>
  </r>
  <r>
    <n v="1748"/>
    <x v="23"/>
    <d v="2023-03-02T00:00:00"/>
    <d v="1899-12-30T10:24:00"/>
    <n v="119"/>
    <s v="Male"/>
    <n v="25"/>
    <x v="1"/>
    <n v="3"/>
    <n v="50"/>
    <n v="15.5"/>
    <n v="150"/>
    <x v="0"/>
    <s v="Valid"/>
    <n v="134.5"/>
  </r>
  <r>
    <n v="38"/>
    <x v="19"/>
    <d v="2023-02-25T00:00:00"/>
    <d v="1899-12-30T11:39:00"/>
    <n v="147"/>
    <s v="Male"/>
    <n v="38"/>
    <x v="0"/>
    <n v="4"/>
    <n v="50"/>
    <n v="26"/>
    <n v="200"/>
    <x v="0"/>
    <s v="Valid"/>
    <n v="174"/>
  </r>
  <r>
    <n v="1038"/>
    <x v="16"/>
    <d v="2023-12-30T00:00:00"/>
    <d v="1899-12-30T09:09:00"/>
    <n v="11"/>
    <s v="Male"/>
    <n v="38"/>
    <x v="0"/>
    <n v="4"/>
    <n v="50"/>
    <n v="20.5"/>
    <n v="200"/>
    <x v="0"/>
    <s v="Valid"/>
    <n v="179.5"/>
  </r>
  <r>
    <n v="328"/>
    <x v="12"/>
    <d v="2023-10-29T00:00:00"/>
    <d v="1899-12-30T06:56:00"/>
    <n v="9"/>
    <s v="Male"/>
    <n v="39"/>
    <x v="0"/>
    <n v="2"/>
    <n v="50"/>
    <n v="27"/>
    <n v="100"/>
    <x v="0"/>
    <s v="Valid"/>
    <n v="73"/>
  </r>
  <r>
    <n v="973"/>
    <x v="22"/>
    <d v="2023-09-03T00:00:00"/>
    <d v="1899-12-30T08:44:00"/>
    <n v="51"/>
    <s v="Male"/>
    <n v="60"/>
    <x v="1"/>
    <n v="1"/>
    <n v="50"/>
    <n v="13"/>
    <n v="50"/>
    <x v="0"/>
    <s v="Valid"/>
    <n v="37"/>
  </r>
  <r>
    <n v="978"/>
    <x v="15"/>
    <d v="2023-07-27T00:00:00"/>
    <d v="1899-12-30T09:58:00"/>
    <n v="16"/>
    <s v="Female"/>
    <n v="53"/>
    <x v="1"/>
    <n v="3"/>
    <n v="50"/>
    <n v="19"/>
    <n v="150"/>
    <x v="0"/>
    <s v="Valid"/>
    <n v="131"/>
  </r>
  <r>
    <n v="1328"/>
    <x v="16"/>
    <d v="2023-12-10T00:00:00"/>
    <d v="1899-12-30T07:49:00"/>
    <n v="60"/>
    <s v="Male"/>
    <n v="39"/>
    <x v="0"/>
    <n v="2"/>
    <n v="50"/>
    <n v="24.5"/>
    <n v="100"/>
    <x v="0"/>
    <s v="Valid"/>
    <n v="75.5"/>
  </r>
  <r>
    <n v="1973"/>
    <x v="21"/>
    <d v="2023-08-19T00:00:00"/>
    <d v="1899-12-30T10:10:00"/>
    <n v="22"/>
    <s v="Male"/>
    <n v="60"/>
    <x v="1"/>
    <n v="1"/>
    <n v="50"/>
    <n v="21.5"/>
    <n v="50"/>
    <x v="0"/>
    <s v="Valid"/>
    <n v="28.5"/>
  </r>
  <r>
    <n v="1978"/>
    <x v="21"/>
    <d v="2023-08-31T00:00:00"/>
    <d v="1899-12-30T11:59:00"/>
    <n v="41"/>
    <s v="Female"/>
    <n v="53"/>
    <x v="1"/>
    <n v="3"/>
    <n v="50"/>
    <n v="15.5"/>
    <n v="150"/>
    <x v="0"/>
    <s v="Valid"/>
    <n v="134.5"/>
  </r>
  <r>
    <n v="33"/>
    <x v="16"/>
    <d v="2023-12-24T00:00:00"/>
    <d v="1899-12-30T07:40:00"/>
    <n v="33"/>
    <s v="Female"/>
    <n v="50"/>
    <x v="2"/>
    <n v="2"/>
    <n v="50"/>
    <n v="21"/>
    <n v="100"/>
    <x v="0"/>
    <s v="Valid"/>
    <n v="79"/>
  </r>
  <r>
    <n v="138"/>
    <x v="14"/>
    <d v="2023-04-27T00:00:00"/>
    <d v="1899-12-30T10:56:00"/>
    <n v="127"/>
    <s v="Male"/>
    <n v="49"/>
    <x v="1"/>
    <n v="4"/>
    <n v="50"/>
    <n v="26.5"/>
    <n v="200"/>
    <x v="0"/>
    <s v="Valid"/>
    <n v="173.5"/>
  </r>
  <r>
    <n v="471"/>
    <x v="23"/>
    <d v="2023-03-08T00:00:00"/>
    <d v="1899-12-30T10:21:00"/>
    <n v="136"/>
    <s v="Male"/>
    <n v="32"/>
    <x v="1"/>
    <n v="3"/>
    <n v="50"/>
    <n v="13"/>
    <n v="150"/>
    <x v="0"/>
    <s v="Valid"/>
    <n v="137"/>
  </r>
  <r>
    <n v="1033"/>
    <x v="14"/>
    <d v="2023-04-12T00:00:00"/>
    <d v="1899-12-30T06:52:00"/>
    <n v="32"/>
    <s v="Female"/>
    <n v="50"/>
    <x v="2"/>
    <n v="2"/>
    <n v="50"/>
    <n v="19"/>
    <n v="100"/>
    <x v="0"/>
    <s v="Valid"/>
    <n v="81"/>
  </r>
  <r>
    <n v="1138"/>
    <x v="12"/>
    <d v="2023-10-16T00:00:00"/>
    <d v="1899-12-30T11:59:00"/>
    <n v="27"/>
    <s v="Male"/>
    <n v="49"/>
    <x v="1"/>
    <n v="4"/>
    <n v="50"/>
    <n v="14.5"/>
    <n v="200"/>
    <x v="0"/>
    <s v="Valid"/>
    <n v="185.5"/>
  </r>
  <r>
    <n v="1471"/>
    <x v="17"/>
    <d v="2023-06-25T00:00:00"/>
    <d v="1899-12-30T10:34:00"/>
    <n v="30"/>
    <s v="Male"/>
    <n v="32"/>
    <x v="1"/>
    <n v="3"/>
    <n v="50"/>
    <n v="13"/>
    <n v="150"/>
    <x v="0"/>
    <s v="Valid"/>
    <n v="137"/>
  </r>
  <r>
    <n v="177"/>
    <x v="23"/>
    <d v="2023-03-24T00:00:00"/>
    <d v="1899-12-30T08:40:00"/>
    <n v="30"/>
    <s v="Male"/>
    <n v="45"/>
    <x v="0"/>
    <n v="2"/>
    <n v="50"/>
    <n v="26.5"/>
    <n v="100"/>
    <x v="0"/>
    <s v="Valid"/>
    <n v="73.5"/>
  </r>
  <r>
    <n v="426"/>
    <x v="16"/>
    <d v="2023-12-13T00:00:00"/>
    <d v="1899-12-30T08:11:00"/>
    <n v="137"/>
    <s v="Male"/>
    <n v="23"/>
    <x v="2"/>
    <n v="3"/>
    <n v="50"/>
    <n v="12.5"/>
    <n v="150"/>
    <x v="0"/>
    <s v="Valid"/>
    <n v="137.5"/>
  </r>
  <r>
    <n v="1177"/>
    <x v="19"/>
    <d v="2023-02-20T00:00:00"/>
    <d v="1899-12-30T09:19:00"/>
    <n v="89"/>
    <s v="Male"/>
    <n v="45"/>
    <x v="0"/>
    <n v="2"/>
    <n v="50"/>
    <n v="15"/>
    <n v="100"/>
    <x v="0"/>
    <s v="Valid"/>
    <n v="85"/>
  </r>
  <r>
    <n v="1426"/>
    <x v="16"/>
    <d v="2023-12-12T00:00:00"/>
    <d v="1899-12-30T11:32:00"/>
    <n v="114"/>
    <s v="Male"/>
    <n v="23"/>
    <x v="2"/>
    <n v="3"/>
    <n v="50"/>
    <n v="25"/>
    <n v="150"/>
    <x v="0"/>
    <s v="Valid"/>
    <n v="125"/>
  </r>
  <r>
    <n v="76"/>
    <x v="22"/>
    <d v="2023-09-09T00:00:00"/>
    <d v="1899-12-30T07:33:00"/>
    <n v="70"/>
    <s v="Female"/>
    <n v="22"/>
    <x v="2"/>
    <n v="2"/>
    <n v="50"/>
    <n v="14.5"/>
    <n v="100"/>
    <x v="0"/>
    <s v="Valid"/>
    <n v="85.5"/>
  </r>
  <r>
    <n v="1076"/>
    <x v="15"/>
    <d v="2023-07-14T00:00:00"/>
    <d v="1899-12-30T11:09:00"/>
    <n v="99"/>
    <s v="Female"/>
    <n v="22"/>
    <x v="2"/>
    <n v="2"/>
    <n v="50"/>
    <n v="15"/>
    <n v="100"/>
    <x v="0"/>
    <s v="Valid"/>
    <n v="85"/>
  </r>
  <r>
    <n v="703"/>
    <x v="15"/>
    <d v="2023-07-31T00:00:00"/>
    <d v="1899-12-30T09:56:00"/>
    <n v="140"/>
    <s v="Male"/>
    <n v="34"/>
    <x v="2"/>
    <n v="2"/>
    <n v="50"/>
    <n v="18.5"/>
    <n v="100"/>
    <x v="0"/>
    <s v="Valid"/>
    <n v="81.5"/>
  </r>
  <r>
    <n v="1703"/>
    <x v="17"/>
    <d v="2023-06-10T00:00:00"/>
    <d v="1899-12-30T08:36:00"/>
    <n v="2"/>
    <s v="Male"/>
    <n v="34"/>
    <x v="2"/>
    <n v="2"/>
    <n v="50"/>
    <n v="17"/>
    <n v="100"/>
    <x v="0"/>
    <s v="Valid"/>
    <n v="83"/>
  </r>
  <r>
    <n v="575"/>
    <x v="16"/>
    <d v="2023-12-12T00:00:00"/>
    <d v="1899-12-30T10:29:00"/>
    <n v="14"/>
    <s v="Male"/>
    <n v="60"/>
    <x v="1"/>
    <n v="2"/>
    <n v="50"/>
    <n v="23"/>
    <n v="100"/>
    <x v="0"/>
    <s v="Valid"/>
    <n v="77"/>
  </r>
  <r>
    <n v="1575"/>
    <x v="15"/>
    <d v="2023-07-28T00:00:00"/>
    <d v="1899-12-30T11:54:00"/>
    <n v="26"/>
    <s v="Male"/>
    <n v="60"/>
    <x v="1"/>
    <n v="2"/>
    <n v="50"/>
    <n v="22.5"/>
    <n v="100"/>
    <x v="0"/>
    <s v="Valid"/>
    <n v="77.5"/>
  </r>
  <r>
    <n v="975"/>
    <x v="13"/>
    <d v="2023-01-09T00:00:00"/>
    <d v="1899-12-30T07:41:00"/>
    <n v="145"/>
    <s v="Female"/>
    <n v="56"/>
    <x v="1"/>
    <n v="4"/>
    <n v="50"/>
    <n v="19.5"/>
    <n v="200"/>
    <x v="0"/>
    <s v="Valid"/>
    <n v="180.5"/>
  </r>
  <r>
    <n v="1975"/>
    <x v="21"/>
    <d v="2023-08-21T00:00:00"/>
    <d v="1899-12-30T10:48:00"/>
    <n v="63"/>
    <s v="Female"/>
    <n v="56"/>
    <x v="1"/>
    <n v="4"/>
    <n v="50"/>
    <n v="25.5"/>
    <n v="200"/>
    <x v="0"/>
    <s v="Valid"/>
    <n v="174.5"/>
  </r>
  <r>
    <n v="465"/>
    <x v="19"/>
    <d v="2023-02-22T00:00:00"/>
    <d v="1899-12-30T11:52:00"/>
    <n v="40"/>
    <s v="Female"/>
    <n v="43"/>
    <x v="2"/>
    <n v="3"/>
    <n v="50"/>
    <n v="15.5"/>
    <n v="150"/>
    <x v="0"/>
    <s v="Valid"/>
    <n v="134.5"/>
  </r>
  <r>
    <n v="502"/>
    <x v="15"/>
    <d v="2023-07-22T00:00:00"/>
    <d v="1899-12-30T11:00:00"/>
    <n v="31"/>
    <s v="Male"/>
    <n v="43"/>
    <x v="2"/>
    <n v="3"/>
    <n v="50"/>
    <n v="22.5"/>
    <n v="150"/>
    <x v="0"/>
    <s v="Valid"/>
    <n v="127.5"/>
  </r>
  <r>
    <n v="1465"/>
    <x v="14"/>
    <d v="2023-04-17T00:00:00"/>
    <d v="1899-12-30T09:36:00"/>
    <n v="131"/>
    <s v="Female"/>
    <n v="43"/>
    <x v="2"/>
    <n v="3"/>
    <n v="50"/>
    <n v="26"/>
    <n v="150"/>
    <x v="0"/>
    <s v="Valid"/>
    <n v="124"/>
  </r>
  <r>
    <n v="1502"/>
    <x v="14"/>
    <d v="2023-04-08T00:00:00"/>
    <d v="1899-12-30T08:30:00"/>
    <n v="152"/>
    <s v="Male"/>
    <n v="43"/>
    <x v="2"/>
    <n v="3"/>
    <n v="50"/>
    <n v="18"/>
    <n v="150"/>
    <x v="0"/>
    <s v="Valid"/>
    <n v="132"/>
  </r>
  <r>
    <n v="61"/>
    <x v="15"/>
    <d v="2023-07-07T00:00:00"/>
    <d v="1899-12-30T11:47:00"/>
    <n v="4"/>
    <s v="Male"/>
    <n v="21"/>
    <x v="0"/>
    <n v="4"/>
    <n v="50"/>
    <n v="20"/>
    <n v="200"/>
    <x v="0"/>
    <s v="Valid"/>
    <n v="180"/>
  </r>
  <r>
    <n v="892"/>
    <x v="22"/>
    <d v="2023-09-13T00:00:00"/>
    <d v="1899-12-30T11:39:00"/>
    <n v="1"/>
    <s v="Male"/>
    <n v="20"/>
    <x v="2"/>
    <n v="1"/>
    <n v="50"/>
    <n v="24"/>
    <n v="50"/>
    <x v="0"/>
    <s v="Valid"/>
    <n v="26"/>
  </r>
  <r>
    <n v="1061"/>
    <x v="22"/>
    <d v="2023-09-18T00:00:00"/>
    <d v="1899-12-30T07:56:00"/>
    <n v="3"/>
    <s v="Male"/>
    <n v="21"/>
    <x v="0"/>
    <n v="4"/>
    <n v="50"/>
    <n v="12.5"/>
    <n v="200"/>
    <x v="0"/>
    <s v="Valid"/>
    <n v="187.5"/>
  </r>
  <r>
    <n v="1892"/>
    <x v="12"/>
    <d v="2023-10-01T00:00:00"/>
    <d v="1899-12-30T07:22:00"/>
    <n v="3"/>
    <s v="Male"/>
    <n v="20"/>
    <x v="2"/>
    <n v="1"/>
    <n v="50"/>
    <n v="23.5"/>
    <n v="50"/>
    <x v="0"/>
    <s v="Valid"/>
    <n v="26.5"/>
  </r>
  <r>
    <n v="210"/>
    <x v="12"/>
    <d v="2023-10-07T00:00:00"/>
    <d v="1899-12-30T08:50:00"/>
    <n v="2"/>
    <s v="Male"/>
    <n v="37"/>
    <x v="2"/>
    <n v="4"/>
    <n v="50"/>
    <n v="19"/>
    <n v="200"/>
    <x v="0"/>
    <s v="Valid"/>
    <n v="181"/>
  </r>
  <r>
    <n v="745"/>
    <x v="21"/>
    <d v="2023-08-14T00:00:00"/>
    <d v="1899-12-30T07:30:00"/>
    <n v="3"/>
    <s v="Male"/>
    <n v="54"/>
    <x v="0"/>
    <n v="2"/>
    <n v="50"/>
    <n v="17"/>
    <n v="100"/>
    <x v="0"/>
    <s v="Valid"/>
    <n v="83"/>
  </r>
  <r>
    <n v="1210"/>
    <x v="23"/>
    <d v="2023-03-10T00:00:00"/>
    <d v="1899-12-30T10:02:00"/>
    <n v="5"/>
    <s v="Male"/>
    <n v="37"/>
    <x v="2"/>
    <n v="4"/>
    <n v="50"/>
    <n v="12.5"/>
    <n v="200"/>
    <x v="0"/>
    <s v="Valid"/>
    <n v="187.5"/>
  </r>
  <r>
    <n v="1745"/>
    <x v="22"/>
    <d v="2023-09-28T00:00:00"/>
    <d v="1899-12-30T10:38:00"/>
    <n v="4"/>
    <s v="Male"/>
    <n v="54"/>
    <x v="0"/>
    <n v="2"/>
    <n v="50"/>
    <n v="21"/>
    <n v="100"/>
    <x v="0"/>
    <s v="Valid"/>
    <n v="79"/>
  </r>
  <r>
    <n v="354"/>
    <x v="16"/>
    <d v="2023-12-16T00:00:00"/>
    <d v="1899-12-30T07:58:00"/>
    <n v="5"/>
    <s v="Female"/>
    <n v="49"/>
    <x v="0"/>
    <n v="4"/>
    <n v="50"/>
    <n v="24.5"/>
    <n v="200"/>
    <x v="0"/>
    <s v="Valid"/>
    <n v="175.5"/>
  </r>
  <r>
    <n v="1354"/>
    <x v="22"/>
    <d v="2023-09-17T00:00:00"/>
    <d v="1899-12-30T09:34:00"/>
    <n v="5"/>
    <s v="Female"/>
    <n v="49"/>
    <x v="0"/>
    <n v="4"/>
    <n v="50"/>
    <n v="26.5"/>
    <n v="200"/>
    <x v="0"/>
    <s v="Valid"/>
    <n v="173.5"/>
  </r>
  <r>
    <n v="724"/>
    <x v="17"/>
    <d v="2023-06-14T00:00:00"/>
    <d v="1899-12-30T06:56:00"/>
    <n v="3"/>
    <s v="Male"/>
    <n v="61"/>
    <x v="1"/>
    <n v="3"/>
    <n v="50"/>
    <n v="20"/>
    <n v="150"/>
    <x v="0"/>
    <s v="Valid"/>
    <n v="130"/>
  </r>
  <r>
    <n v="836"/>
    <x v="17"/>
    <d v="2023-06-21T00:00:00"/>
    <d v="1899-12-30T06:32:00"/>
    <n v="2"/>
    <s v="Female"/>
    <n v="22"/>
    <x v="1"/>
    <n v="1"/>
    <n v="50"/>
    <n v="27.5"/>
    <n v="50"/>
    <x v="0"/>
    <s v="Valid"/>
    <n v="22.5"/>
  </r>
  <r>
    <n v="1724"/>
    <x v="22"/>
    <d v="2023-09-15T00:00:00"/>
    <d v="1899-12-30T20:53:00"/>
    <n v="4"/>
    <s v="Male"/>
    <n v="61"/>
    <x v="1"/>
    <n v="3"/>
    <n v="50"/>
    <n v="17"/>
    <n v="150"/>
    <x v="0"/>
    <s v="Valid"/>
    <n v="133"/>
  </r>
  <r>
    <n v="1836"/>
    <x v="19"/>
    <d v="2023-02-13T00:00:00"/>
    <d v="1899-12-30T17:19:00"/>
    <n v="3"/>
    <s v="Female"/>
    <n v="22"/>
    <x v="1"/>
    <n v="1"/>
    <n v="50"/>
    <n v="23.5"/>
    <n v="50"/>
    <x v="0"/>
    <s v="Valid"/>
    <n v="26.5"/>
  </r>
  <r>
    <n v="665"/>
    <x v="12"/>
    <d v="2023-10-03T00:00:00"/>
    <d v="1899-12-30T22:49:00"/>
    <n v="1"/>
    <s v="Male"/>
    <n v="57"/>
    <x v="1"/>
    <n v="1"/>
    <n v="50"/>
    <n v="19"/>
    <n v="50"/>
    <x v="0"/>
    <s v="Valid"/>
    <n v="31"/>
  </r>
  <r>
    <n v="1665"/>
    <x v="20"/>
    <d v="2023-11-01T00:00:00"/>
    <d v="1899-12-30T19:38:00"/>
    <n v="4"/>
    <s v="Male"/>
    <n v="57"/>
    <x v="1"/>
    <n v="1"/>
    <n v="50"/>
    <n v="14"/>
    <n v="50"/>
    <x v="0"/>
    <s v="Valid"/>
    <n v="36"/>
  </r>
  <r>
    <n v="893"/>
    <x v="14"/>
    <d v="2023-04-29T00:00:00"/>
    <d v="1899-12-30T18:52:00"/>
    <n v="1"/>
    <s v="Male"/>
    <n v="49"/>
    <x v="2"/>
    <n v="1"/>
    <n v="50"/>
    <n v="17"/>
    <n v="50"/>
    <x v="0"/>
    <s v="Valid"/>
    <n v="33"/>
  </r>
  <r>
    <n v="1893"/>
    <x v="19"/>
    <d v="2023-02-25T00:00:00"/>
    <d v="1899-12-30T17:04:00"/>
    <n v="3"/>
    <s v="Male"/>
    <n v="49"/>
    <x v="2"/>
    <n v="1"/>
    <n v="50"/>
    <n v="22.5"/>
    <n v="50"/>
    <x v="0"/>
    <s v="Valid"/>
    <n v="27.5"/>
  </r>
  <r>
    <n v="98"/>
    <x v="14"/>
    <d v="2023-04-09T00:00:00"/>
    <d v="1899-12-30T19:41:00"/>
    <n v="1"/>
    <s v="Female"/>
    <n v="55"/>
    <x v="0"/>
    <n v="2"/>
    <n v="50"/>
    <n v="19.5"/>
    <n v="100"/>
    <x v="0"/>
    <s v="Valid"/>
    <n v="80.5"/>
  </r>
  <r>
    <n v="1098"/>
    <x v="15"/>
    <d v="2023-07-06T00:00:00"/>
    <d v="1899-12-30T22:34:00"/>
    <n v="3"/>
    <s v="Female"/>
    <n v="55"/>
    <x v="0"/>
    <n v="2"/>
    <n v="50"/>
    <n v="19.5"/>
    <n v="100"/>
    <x v="0"/>
    <s v="Valid"/>
    <n v="80.5"/>
  </r>
  <r>
    <n v="738"/>
    <x v="19"/>
    <d v="2023-02-05T00:00:00"/>
    <d v="1899-12-30T18:24:00"/>
    <n v="5"/>
    <s v="Male"/>
    <n v="41"/>
    <x v="1"/>
    <n v="2"/>
    <n v="50"/>
    <n v="26"/>
    <n v="100"/>
    <x v="0"/>
    <s v="Valid"/>
    <n v="74"/>
  </r>
  <r>
    <n v="1738"/>
    <x v="20"/>
    <d v="2023-11-12T00:00:00"/>
    <d v="1899-12-30T21:33:00"/>
    <n v="1"/>
    <s v="Male"/>
    <n v="41"/>
    <x v="1"/>
    <n v="2"/>
    <n v="50"/>
    <n v="16"/>
    <n v="100"/>
    <x v="0"/>
    <s v="Valid"/>
    <n v="84"/>
  </r>
  <r>
    <n v="903"/>
    <x v="15"/>
    <d v="2023-07-27T00:00:00"/>
    <d v="1899-12-30T22:14:00"/>
    <n v="3"/>
    <s v="Female"/>
    <n v="51"/>
    <x v="0"/>
    <n v="4"/>
    <n v="50"/>
    <n v="14"/>
    <n v="200"/>
    <x v="0"/>
    <s v="Valid"/>
    <n v="186"/>
  </r>
  <r>
    <n v="1903"/>
    <x v="15"/>
    <d v="2023-07-27T00:00:00"/>
    <d v="1899-12-30T21:44:00"/>
    <n v="5"/>
    <s v="Female"/>
    <n v="51"/>
    <x v="0"/>
    <n v="4"/>
    <n v="50"/>
    <n v="19"/>
    <n v="200"/>
    <x v="0"/>
    <s v="Valid"/>
    <n v="181"/>
  </r>
  <r>
    <n v="652"/>
    <x v="12"/>
    <d v="2023-10-31T00:00:00"/>
    <d v="1899-12-30T17:05:00"/>
    <n v="4"/>
    <s v="Female"/>
    <n v="34"/>
    <x v="0"/>
    <n v="2"/>
    <n v="50"/>
    <n v="20.5"/>
    <n v="100"/>
    <x v="0"/>
    <s v="Valid"/>
    <n v="79.5"/>
  </r>
  <r>
    <n v="1652"/>
    <x v="20"/>
    <d v="2023-11-16T00:00:00"/>
    <d v="1899-12-30T20:00:00"/>
    <n v="2"/>
    <s v="Female"/>
    <n v="34"/>
    <x v="0"/>
    <n v="2"/>
    <n v="50"/>
    <n v="20.5"/>
    <n v="100"/>
    <x v="0"/>
    <s v="Valid"/>
    <n v="79.5"/>
  </r>
  <r>
    <n v="460"/>
    <x v="18"/>
    <d v="2023-05-01T00:00:00"/>
    <d v="1899-12-30T23:00:00"/>
    <n v="2"/>
    <s v="Male"/>
    <n v="40"/>
    <x v="0"/>
    <n v="1"/>
    <n v="50"/>
    <n v="19"/>
    <n v="50"/>
    <x v="0"/>
    <s v="Valid"/>
    <n v="31"/>
  </r>
  <r>
    <n v="1460"/>
    <x v="13"/>
    <d v="2023-01-25T00:00:00"/>
    <d v="1899-12-30T19:42:00"/>
    <n v="4"/>
    <s v="Male"/>
    <n v="40"/>
    <x v="0"/>
    <n v="1"/>
    <n v="50"/>
    <n v="22"/>
    <n v="50"/>
    <x v="0"/>
    <s v="Valid"/>
    <n v="28"/>
  </r>
  <r>
    <n v="606"/>
    <x v="17"/>
    <d v="2023-06-13T00:00:00"/>
    <d v="1899-12-30T20:19:00"/>
    <n v="2"/>
    <s v="Male"/>
    <n v="22"/>
    <x v="2"/>
    <n v="1"/>
    <n v="50"/>
    <n v="19.5"/>
    <n v="50"/>
    <x v="0"/>
    <s v="Valid"/>
    <n v="30.5"/>
  </r>
  <r>
    <n v="866"/>
    <x v="15"/>
    <d v="2023-07-06T00:00:00"/>
    <d v="1899-12-30T18:16:00"/>
    <n v="4"/>
    <s v="Male"/>
    <n v="24"/>
    <x v="2"/>
    <n v="1"/>
    <n v="50"/>
    <n v="22.5"/>
    <n v="50"/>
    <x v="0"/>
    <s v="Valid"/>
    <n v="27.5"/>
  </r>
  <r>
    <n v="1606"/>
    <x v="12"/>
    <d v="2023-10-19T00:00:00"/>
    <d v="1899-12-30T19:52:00"/>
    <n v="2"/>
    <s v="Male"/>
    <n v="22"/>
    <x v="2"/>
    <n v="1"/>
    <n v="50"/>
    <n v="26.5"/>
    <n v="50"/>
    <x v="0"/>
    <s v="Valid"/>
    <n v="23.5"/>
  </r>
  <r>
    <n v="1866"/>
    <x v="21"/>
    <d v="2023-08-17T00:00:00"/>
    <d v="1899-12-30T22:38:00"/>
    <n v="5"/>
    <s v="Male"/>
    <n v="24"/>
    <x v="2"/>
    <n v="1"/>
    <n v="50"/>
    <n v="20"/>
    <n v="50"/>
    <x v="0"/>
    <s v="Valid"/>
    <n v="30"/>
  </r>
  <r>
    <n v="5"/>
    <x v="22"/>
    <d v="2023-09-05T00:00:00"/>
    <d v="1899-12-30T22:10:00"/>
    <n v="3"/>
    <s v="Male"/>
    <n v="30"/>
    <x v="0"/>
    <n v="2"/>
    <n v="50"/>
    <n v="24"/>
    <n v="100"/>
    <x v="0"/>
    <s v="Valid"/>
    <n v="76"/>
  </r>
  <r>
    <n v="820"/>
    <x v="19"/>
    <d v="2023-02-17T00:00:00"/>
    <d v="1899-12-30T22:49:00"/>
    <n v="1"/>
    <s v="Male"/>
    <n v="49"/>
    <x v="2"/>
    <n v="4"/>
    <n v="50"/>
    <n v="24"/>
    <n v="200"/>
    <x v="0"/>
    <s v="Valid"/>
    <n v="176"/>
  </r>
  <r>
    <n v="1005"/>
    <x v="21"/>
    <d v="2023-08-12T00:00:00"/>
    <d v="1899-12-30T20:38:00"/>
    <n v="2"/>
    <s v="Male"/>
    <n v="30"/>
    <x v="0"/>
    <n v="2"/>
    <n v="50"/>
    <n v="17.5"/>
    <n v="100"/>
    <x v="0"/>
    <s v="Valid"/>
    <n v="82.5"/>
  </r>
  <r>
    <n v="1820"/>
    <x v="18"/>
    <d v="2023-05-13T00:00:00"/>
    <d v="1899-12-30T21:31:00"/>
    <n v="1"/>
    <s v="Male"/>
    <n v="49"/>
    <x v="2"/>
    <n v="4"/>
    <n v="50"/>
    <n v="22"/>
    <n v="200"/>
    <x v="0"/>
    <s v="Valid"/>
    <n v="178"/>
  </r>
  <r>
    <n v="120"/>
    <x v="23"/>
    <d v="2023-03-31T00:00:00"/>
    <d v="1899-12-30T19:35:00"/>
    <n v="4"/>
    <s v="Male"/>
    <n v="60"/>
    <x v="0"/>
    <n v="1"/>
    <n v="50"/>
    <n v="12.5"/>
    <n v="50"/>
    <x v="0"/>
    <s v="Valid"/>
    <n v="37.5"/>
  </r>
  <r>
    <n v="341"/>
    <x v="13"/>
    <d v="2023-01-20T00:00:00"/>
    <d v="1899-12-30T17:06:00"/>
    <n v="5"/>
    <s v="Male"/>
    <n v="31"/>
    <x v="1"/>
    <n v="4"/>
    <n v="50"/>
    <n v="18.5"/>
    <n v="200"/>
    <x v="0"/>
    <s v="Valid"/>
    <n v="181.5"/>
  </r>
  <r>
    <n v="1120"/>
    <x v="23"/>
    <d v="2023-03-02T00:00:00"/>
    <d v="1899-12-30T19:32:00"/>
    <n v="4"/>
    <s v="Male"/>
    <n v="60"/>
    <x v="0"/>
    <n v="1"/>
    <n v="50"/>
    <n v="26.5"/>
    <n v="50"/>
    <x v="0"/>
    <s v="Valid"/>
    <n v="23.5"/>
  </r>
  <r>
    <n v="1341"/>
    <x v="13"/>
    <d v="2023-01-30T00:00:00"/>
    <d v="1899-12-30T22:10:00"/>
    <n v="1"/>
    <s v="Male"/>
    <n v="31"/>
    <x v="1"/>
    <n v="4"/>
    <n v="50"/>
    <n v="21"/>
    <n v="200"/>
    <x v="0"/>
    <s v="Valid"/>
    <n v="179"/>
  </r>
  <r>
    <n v="273"/>
    <x v="22"/>
    <d v="2023-09-26T00:00:00"/>
    <d v="1899-12-30T20:24:00"/>
    <n v="1"/>
    <s v="Female"/>
    <n v="22"/>
    <x v="0"/>
    <n v="1"/>
    <n v="50"/>
    <n v="14.5"/>
    <n v="50"/>
    <x v="0"/>
    <s v="Valid"/>
    <n v="35.5"/>
  </r>
  <r>
    <n v="1273"/>
    <x v="17"/>
    <d v="2023-06-20T00:00:00"/>
    <d v="1899-12-30T20:39:00"/>
    <n v="1"/>
    <s v="Female"/>
    <n v="22"/>
    <x v="0"/>
    <n v="1"/>
    <n v="50"/>
    <n v="25.5"/>
    <n v="50"/>
    <x v="0"/>
    <s v="Valid"/>
    <n v="24.5"/>
  </r>
  <r>
    <n v="930"/>
    <x v="13"/>
    <d v="2023-01-12T00:00:00"/>
    <d v="1899-12-30T17:54:00"/>
    <n v="1"/>
    <s v="Male"/>
    <n v="54"/>
    <x v="1"/>
    <n v="4"/>
    <n v="50"/>
    <n v="26"/>
    <n v="200"/>
    <x v="0"/>
    <s v="Valid"/>
    <n v="174"/>
  </r>
  <r>
    <n v="1930"/>
    <x v="16"/>
    <d v="2023-12-21T00:00:00"/>
    <d v="1899-12-30T19:58:00"/>
    <n v="5"/>
    <s v="Male"/>
    <n v="54"/>
    <x v="1"/>
    <n v="4"/>
    <n v="50"/>
    <n v="13"/>
    <n v="200"/>
    <x v="0"/>
    <s v="Valid"/>
    <n v="187"/>
  </r>
  <r>
    <n v="639"/>
    <x v="21"/>
    <d v="2023-08-01T00:00:00"/>
    <d v="1899-12-30T19:47:00"/>
    <n v="4"/>
    <s v="Female"/>
    <n v="62"/>
    <x v="0"/>
    <n v="4"/>
    <n v="50"/>
    <n v="26.5"/>
    <n v="200"/>
    <x v="0"/>
    <s v="Valid"/>
    <n v="173.5"/>
  </r>
  <r>
    <n v="1639"/>
    <x v="16"/>
    <d v="2023-12-20T00:00:00"/>
    <d v="1899-12-30T18:13:00"/>
    <n v="5"/>
    <s v="Female"/>
    <n v="62"/>
    <x v="0"/>
    <n v="4"/>
    <n v="50"/>
    <n v="24"/>
    <n v="200"/>
    <x v="0"/>
    <s v="Valid"/>
    <n v="176"/>
  </r>
  <r>
    <n v="411"/>
    <x v="15"/>
    <d v="2023-07-25T00:00:00"/>
    <d v="1899-12-30T20:04:00"/>
    <n v="3"/>
    <s v="Male"/>
    <n v="62"/>
    <x v="2"/>
    <n v="4"/>
    <n v="50"/>
    <n v="24.5"/>
    <n v="200"/>
    <x v="0"/>
    <s v="Valid"/>
    <n v="175.5"/>
  </r>
  <r>
    <n v="504"/>
    <x v="23"/>
    <d v="2023-03-31T00:00:00"/>
    <d v="1899-12-30T18:07:00"/>
    <n v="4"/>
    <s v="Female"/>
    <n v="38"/>
    <x v="0"/>
    <n v="3"/>
    <n v="50"/>
    <n v="22"/>
    <n v="150"/>
    <x v="0"/>
    <s v="Valid"/>
    <n v="128"/>
  </r>
  <r>
    <n v="996"/>
    <x v="15"/>
    <d v="2023-07-03T00:00:00"/>
    <d v="1899-12-30T17:38:00"/>
    <n v="2"/>
    <s v="Male"/>
    <n v="62"/>
    <x v="1"/>
    <n v="1"/>
    <n v="50"/>
    <n v="13.5"/>
    <n v="50"/>
    <x v="0"/>
    <s v="Valid"/>
    <n v="36.5"/>
  </r>
  <r>
    <n v="1411"/>
    <x v="20"/>
    <d v="2023-11-24T00:00:00"/>
    <d v="1899-12-30T20:27:00"/>
    <n v="1"/>
    <s v="Male"/>
    <n v="62"/>
    <x v="2"/>
    <n v="4"/>
    <n v="50"/>
    <n v="26"/>
    <n v="200"/>
    <x v="0"/>
    <s v="Valid"/>
    <n v="174"/>
  </r>
  <r>
    <n v="1504"/>
    <x v="13"/>
    <d v="2023-01-25T00:00:00"/>
    <d v="1899-12-30T17:01:00"/>
    <n v="4"/>
    <s v="Female"/>
    <n v="38"/>
    <x v="0"/>
    <n v="3"/>
    <n v="50"/>
    <n v="25.5"/>
    <n v="150"/>
    <x v="0"/>
    <s v="Valid"/>
    <n v="124.5"/>
  </r>
  <r>
    <n v="1996"/>
    <x v="16"/>
    <d v="2023-12-07T00:00:00"/>
    <d v="1899-12-30T18:49:00"/>
    <n v="2"/>
    <s v="Male"/>
    <n v="62"/>
    <x v="1"/>
    <n v="1"/>
    <n v="50"/>
    <n v="25"/>
    <n v="50"/>
    <x v="0"/>
    <s v="Valid"/>
    <n v="25"/>
  </r>
  <r>
    <n v="81"/>
    <x v="17"/>
    <d v="2023-06-07T00:00:00"/>
    <d v="1899-12-30T22:48:00"/>
    <n v="4"/>
    <s v="Male"/>
    <n v="40"/>
    <x v="2"/>
    <n v="1"/>
    <n v="50"/>
    <n v="14.5"/>
    <n v="50"/>
    <x v="0"/>
    <s v="Valid"/>
    <n v="35.5"/>
  </r>
  <r>
    <n v="1081"/>
    <x v="17"/>
    <d v="2023-06-27T00:00:00"/>
    <d v="1899-12-30T22:23:00"/>
    <n v="5"/>
    <s v="Male"/>
    <n v="40"/>
    <x v="2"/>
    <n v="1"/>
    <n v="50"/>
    <n v="17"/>
    <n v="50"/>
    <x v="0"/>
    <s v="Valid"/>
    <n v="33"/>
  </r>
  <r>
    <n v="106"/>
    <x v="18"/>
    <d v="2023-05-17T00:00:00"/>
    <d v="1899-12-30T18:58:00"/>
    <n v="1"/>
    <s v="Female"/>
    <n v="46"/>
    <x v="1"/>
    <n v="1"/>
    <n v="50"/>
    <n v="15"/>
    <n v="50"/>
    <x v="0"/>
    <s v="Valid"/>
    <n v="35"/>
  </r>
  <r>
    <n v="1106"/>
    <x v="21"/>
    <d v="2023-08-12T00:00:00"/>
    <d v="1899-12-30T17:50:00"/>
    <n v="3"/>
    <s v="Female"/>
    <n v="46"/>
    <x v="1"/>
    <n v="1"/>
    <n v="50"/>
    <n v="14"/>
    <n v="50"/>
    <x v="0"/>
    <s v="Valid"/>
    <n v="36"/>
  </r>
  <r>
    <n v="822"/>
    <x v="19"/>
    <d v="2023-02-16T00:00:00"/>
    <d v="1899-12-30T17:39:00"/>
    <n v="3"/>
    <s v="Female"/>
    <n v="52"/>
    <x v="0"/>
    <n v="3"/>
    <n v="50"/>
    <n v="13.5"/>
    <n v="150"/>
    <x v="0"/>
    <s v="Valid"/>
    <n v="136.5"/>
  </r>
  <r>
    <n v="1822"/>
    <x v="22"/>
    <d v="2023-09-09T00:00:00"/>
    <d v="1899-12-30T17:15:00"/>
    <n v="15"/>
    <s v="Female"/>
    <n v="52"/>
    <x v="0"/>
    <n v="3"/>
    <n v="50"/>
    <n v="21"/>
    <n v="150"/>
    <x v="0"/>
    <s v="Valid"/>
    <n v="129"/>
  </r>
  <r>
    <n v="651"/>
    <x v="22"/>
    <d v="2023-09-28T00:00:00"/>
    <d v="1899-12-30T21:02:00"/>
    <n v="30"/>
    <s v="Male"/>
    <n v="51"/>
    <x v="1"/>
    <n v="3"/>
    <n v="50"/>
    <n v="26"/>
    <n v="150"/>
    <x v="0"/>
    <s v="Valid"/>
    <n v="124"/>
  </r>
  <r>
    <n v="1651"/>
    <x v="10"/>
    <d v="2022-12-04T00:00:00"/>
    <d v="1899-12-30T21:29:00"/>
    <n v="155"/>
    <s v="Male"/>
    <n v="51"/>
    <x v="1"/>
    <n v="3"/>
    <n v="50"/>
    <n v="23.5"/>
    <n v="150"/>
    <x v="0"/>
    <s v="Valid"/>
    <n v="126.5"/>
  </r>
  <r>
    <n v="159"/>
    <x v="6"/>
    <d v="2022-11-10T00:00:00"/>
    <d v="1899-12-30T21:30:00"/>
    <n v="42"/>
    <s v="Male"/>
    <n v="26"/>
    <x v="1"/>
    <n v="4"/>
    <n v="50"/>
    <n v="23.5"/>
    <n v="200"/>
    <x v="0"/>
    <s v="Valid"/>
    <n v="176.5"/>
  </r>
  <r>
    <n v="1159"/>
    <x v="14"/>
    <d v="2023-04-02T00:00:00"/>
    <d v="1899-12-30T18:08:00"/>
    <n v="41"/>
    <s v="Male"/>
    <n v="26"/>
    <x v="1"/>
    <n v="4"/>
    <n v="50"/>
    <n v="18"/>
    <n v="200"/>
    <x v="0"/>
    <s v="Valid"/>
    <n v="182"/>
  </r>
  <r>
    <n v="902"/>
    <x v="5"/>
    <d v="2022-02-14T00:00:00"/>
    <d v="1899-12-30T17:16:00"/>
    <n v="108"/>
    <s v="Female"/>
    <n v="54"/>
    <x v="0"/>
    <n v="1"/>
    <n v="50"/>
    <n v="21.5"/>
    <n v="50"/>
    <x v="0"/>
    <s v="Valid"/>
    <n v="28.5"/>
  </r>
  <r>
    <n v="1902"/>
    <x v="10"/>
    <d v="2022-12-21T00:00:00"/>
    <d v="1899-12-30T17:12:00"/>
    <n v="97"/>
    <s v="Female"/>
    <n v="54"/>
    <x v="0"/>
    <n v="1"/>
    <n v="50"/>
    <n v="14"/>
    <n v="50"/>
    <x v="0"/>
    <s v="Valid"/>
    <n v="36"/>
  </r>
  <r>
    <n v="556"/>
    <x v="5"/>
    <d v="2022-02-05T00:00:00"/>
    <d v="1899-12-30T17:37:00"/>
    <n v="42"/>
    <s v="Female"/>
    <n v="18"/>
    <x v="2"/>
    <n v="1"/>
    <n v="50"/>
    <n v="12.5"/>
    <n v="50"/>
    <x v="0"/>
    <s v="Valid"/>
    <n v="37.5"/>
  </r>
  <r>
    <n v="906"/>
    <x v="9"/>
    <d v="2022-07-19T00:00:00"/>
    <d v="1899-12-30T17:55:00"/>
    <n v="6"/>
    <s v="Female"/>
    <n v="20"/>
    <x v="1"/>
    <n v="1"/>
    <n v="50"/>
    <n v="17"/>
    <n v="50"/>
    <x v="0"/>
    <s v="Valid"/>
    <n v="33"/>
  </r>
  <r>
    <n v="1556"/>
    <x v="18"/>
    <d v="2023-05-17T00:00:00"/>
    <d v="1899-12-30T19:13:00"/>
    <n v="35"/>
    <s v="Female"/>
    <n v="18"/>
    <x v="2"/>
    <n v="1"/>
    <n v="50"/>
    <n v="22.5"/>
    <n v="50"/>
    <x v="0"/>
    <s v="Valid"/>
    <n v="27.5"/>
  </r>
  <r>
    <n v="1906"/>
    <x v="8"/>
    <d v="2022-10-01T00:00:00"/>
    <d v="1899-12-30T20:10:00"/>
    <n v="58"/>
    <s v="Female"/>
    <n v="20"/>
    <x v="1"/>
    <n v="1"/>
    <n v="50"/>
    <n v="26.5"/>
    <n v="50"/>
    <x v="0"/>
    <s v="Valid"/>
    <n v="23.5"/>
  </r>
  <r>
    <n v="560"/>
    <x v="12"/>
    <d v="2023-10-23T00:00:00"/>
    <d v="1899-12-30T22:51:00"/>
    <n v="7"/>
    <s v="Female"/>
    <n v="25"/>
    <x v="2"/>
    <n v="1"/>
    <n v="50"/>
    <n v="19"/>
    <n v="50"/>
    <x v="0"/>
    <s v="Valid"/>
    <n v="31"/>
  </r>
  <r>
    <n v="1560"/>
    <x v="6"/>
    <d v="2022-11-13T00:00:00"/>
    <d v="1899-12-30T17:16:00"/>
    <n v="91"/>
    <s v="Female"/>
    <n v="25"/>
    <x v="2"/>
    <n v="1"/>
    <n v="50"/>
    <n v="18.5"/>
    <n v="50"/>
    <x v="0"/>
    <s v="Valid"/>
    <n v="31.5"/>
  </r>
  <r>
    <n v="961"/>
    <x v="23"/>
    <d v="2023-03-22T00:00:00"/>
    <d v="1899-12-30T22:36:00"/>
    <n v="86"/>
    <s v="Male"/>
    <n v="53"/>
    <x v="0"/>
    <n v="4"/>
    <n v="50"/>
    <n v="23"/>
    <n v="200"/>
    <x v="0"/>
    <s v="Valid"/>
    <n v="177"/>
  </r>
  <r>
    <n v="1961"/>
    <x v="0"/>
    <d v="2022-05-15T00:00:00"/>
    <d v="1899-12-30T21:17:00"/>
    <n v="95"/>
    <s v="Male"/>
    <n v="53"/>
    <x v="0"/>
    <n v="4"/>
    <n v="50"/>
    <n v="20.5"/>
    <n v="200"/>
    <x v="0"/>
    <s v="Valid"/>
    <n v="179.5"/>
  </r>
  <r>
    <n v="187"/>
    <x v="5"/>
    <d v="2022-02-20T00:00:00"/>
    <d v="1899-12-30T20:19:00"/>
    <n v="88"/>
    <s v="Female"/>
    <n v="64"/>
    <x v="1"/>
    <n v="2"/>
    <n v="50"/>
    <n v="21"/>
    <n v="100"/>
    <x v="0"/>
    <s v="Valid"/>
    <n v="79"/>
  </r>
  <r>
    <n v="446"/>
    <x v="6"/>
    <d v="2022-11-02T00:00:00"/>
    <d v="1899-12-30T19:57:00"/>
    <n v="104"/>
    <s v="Male"/>
    <n v="21"/>
    <x v="2"/>
    <n v="1"/>
    <n v="50"/>
    <n v="13"/>
    <n v="50"/>
    <x v="0"/>
    <s v="Valid"/>
    <n v="37"/>
  </r>
  <r>
    <n v="1187"/>
    <x v="15"/>
    <d v="2023-07-07T00:00:00"/>
    <d v="1899-12-30T17:05:00"/>
    <n v="52"/>
    <s v="Female"/>
    <n v="64"/>
    <x v="1"/>
    <n v="2"/>
    <n v="50"/>
    <n v="12.5"/>
    <n v="100"/>
    <x v="0"/>
    <s v="Valid"/>
    <n v="87.5"/>
  </r>
  <r>
    <n v="1446"/>
    <x v="11"/>
    <d v="2022-01-23T00:00:00"/>
    <d v="1899-12-30T18:55:00"/>
    <n v="155"/>
    <s v="Male"/>
    <n v="21"/>
    <x v="2"/>
    <n v="1"/>
    <n v="50"/>
    <n v="23.5"/>
    <n v="50"/>
    <x v="0"/>
    <s v="Valid"/>
    <n v="26.5"/>
  </r>
  <r>
    <n v="765"/>
    <x v="8"/>
    <d v="2022-10-16T00:00:00"/>
    <d v="1899-12-30T19:03:00"/>
    <n v="77"/>
    <s v="Male"/>
    <n v="43"/>
    <x v="1"/>
    <n v="4"/>
    <n v="50"/>
    <n v="12.5"/>
    <n v="200"/>
    <x v="0"/>
    <s v="Valid"/>
    <n v="187.5"/>
  </r>
  <r>
    <n v="1765"/>
    <x v="8"/>
    <d v="2022-10-18T00:00:00"/>
    <d v="1899-12-30T22:49:00"/>
    <n v="13"/>
    <s v="Male"/>
    <n v="43"/>
    <x v="1"/>
    <n v="4"/>
    <n v="50"/>
    <n v="16"/>
    <n v="200"/>
    <x v="0"/>
    <s v="Valid"/>
    <n v="184"/>
  </r>
  <r>
    <n v="510"/>
    <x v="18"/>
    <d v="2023-05-29T00:00:00"/>
    <d v="1899-12-30T17:04:00"/>
    <n v="14"/>
    <s v="Female"/>
    <n v="39"/>
    <x v="0"/>
    <n v="4"/>
    <n v="50"/>
    <n v="13"/>
    <n v="200"/>
    <x v="0"/>
    <s v="Valid"/>
    <n v="187"/>
  </r>
  <r>
    <n v="1510"/>
    <x v="6"/>
    <d v="2022-11-20T00:00:00"/>
    <d v="1899-12-30T18:21:00"/>
    <n v="124"/>
    <s v="Female"/>
    <n v="39"/>
    <x v="0"/>
    <n v="4"/>
    <n v="50"/>
    <n v="19"/>
    <n v="200"/>
    <x v="0"/>
    <s v="Valid"/>
    <n v="181"/>
  </r>
  <r>
    <n v="819"/>
    <x v="21"/>
    <d v="2023-08-15T00:00:00"/>
    <d v="1899-12-30T21:59:00"/>
    <n v="111"/>
    <s v="Female"/>
    <n v="35"/>
    <x v="0"/>
    <n v="2"/>
    <n v="50"/>
    <n v="26"/>
    <n v="100"/>
    <x v="0"/>
    <s v="Valid"/>
    <n v="74"/>
  </r>
  <r>
    <n v="1819"/>
    <x v="6"/>
    <d v="2022-11-05T00:00:00"/>
    <d v="1899-12-30T20:44:00"/>
    <n v="83"/>
    <s v="Female"/>
    <n v="35"/>
    <x v="0"/>
    <n v="2"/>
    <n v="50"/>
    <n v="13.5"/>
    <n v="100"/>
    <x v="0"/>
    <s v="Valid"/>
    <n v="86.5"/>
  </r>
  <r>
    <n v="833"/>
    <x v="18"/>
    <d v="2023-05-09T00:00:00"/>
    <d v="1899-12-30T18:39:00"/>
    <n v="85"/>
    <s v="Male"/>
    <n v="42"/>
    <x v="0"/>
    <n v="4"/>
    <n v="50"/>
    <n v="24.5"/>
    <n v="200"/>
    <x v="0"/>
    <s v="Valid"/>
    <n v="175.5"/>
  </r>
  <r>
    <n v="1833"/>
    <x v="11"/>
    <d v="2022-01-30T00:00:00"/>
    <d v="1899-12-30T17:20:00"/>
    <n v="56"/>
    <s v="Male"/>
    <n v="42"/>
    <x v="0"/>
    <n v="4"/>
    <n v="50"/>
    <n v="18"/>
    <n v="200"/>
    <x v="0"/>
    <s v="Valid"/>
    <n v="182"/>
  </r>
  <r>
    <n v="542"/>
    <x v="17"/>
    <d v="2023-06-01T00:00:00"/>
    <d v="1899-12-30T18:41:00"/>
    <n v="50"/>
    <s v="Female"/>
    <n v="20"/>
    <x v="0"/>
    <n v="1"/>
    <n v="50"/>
    <n v="24"/>
    <n v="50"/>
    <x v="0"/>
    <s v="Valid"/>
    <n v="26"/>
  </r>
  <r>
    <n v="723"/>
    <x v="9"/>
    <d v="2022-07-14T00:00:00"/>
    <d v="1899-12-30T21:57:00"/>
    <n v="120"/>
    <s v="Female"/>
    <n v="54"/>
    <x v="0"/>
    <n v="4"/>
    <n v="50"/>
    <n v="20.5"/>
    <n v="200"/>
    <x v="0"/>
    <s v="Valid"/>
    <n v="179.5"/>
  </r>
  <r>
    <n v="1542"/>
    <x v="18"/>
    <d v="2023-05-17T00:00:00"/>
    <d v="1899-12-30T20:30:00"/>
    <n v="147"/>
    <s v="Female"/>
    <n v="20"/>
    <x v="0"/>
    <n v="1"/>
    <n v="50"/>
    <n v="14.5"/>
    <n v="50"/>
    <x v="0"/>
    <s v="Valid"/>
    <n v="35.5"/>
  </r>
  <r>
    <n v="1723"/>
    <x v="5"/>
    <d v="2022-02-10T00:00:00"/>
    <d v="1899-12-30T17:43:00"/>
    <n v="40"/>
    <s v="Female"/>
    <n v="54"/>
    <x v="0"/>
    <n v="4"/>
    <n v="50"/>
    <n v="18"/>
    <n v="200"/>
    <x v="0"/>
    <s v="Valid"/>
    <n v="182"/>
  </r>
  <r>
    <n v="40"/>
    <x v="7"/>
    <d v="2022-06-07T00:00:00"/>
    <d v="1899-12-30T21:33:00"/>
    <n v="78"/>
    <s v="Male"/>
    <n v="45"/>
    <x v="0"/>
    <n v="1"/>
    <n v="50"/>
    <n v="24.5"/>
    <n v="50"/>
    <x v="0"/>
    <s v="Valid"/>
    <n v="25.5"/>
  </r>
  <r>
    <n v="830"/>
    <x v="3"/>
    <d v="2022-09-29T00:00:00"/>
    <d v="1899-12-30T20:19:00"/>
    <n v="77"/>
    <s v="Female"/>
    <n v="64"/>
    <x v="1"/>
    <n v="3"/>
    <n v="50"/>
    <n v="18.5"/>
    <n v="150"/>
    <x v="0"/>
    <s v="Valid"/>
    <n v="131.5"/>
  </r>
  <r>
    <n v="1040"/>
    <x v="16"/>
    <d v="2023-12-12T00:00:00"/>
    <d v="1899-12-30T21:24:00"/>
    <n v="112"/>
    <s v="Male"/>
    <n v="45"/>
    <x v="0"/>
    <n v="1"/>
    <n v="50"/>
    <n v="21"/>
    <n v="50"/>
    <x v="0"/>
    <s v="Valid"/>
    <n v="29"/>
  </r>
  <r>
    <n v="1830"/>
    <x v="23"/>
    <d v="2023-03-04T00:00:00"/>
    <d v="1899-12-30T18:04:00"/>
    <n v="87"/>
    <s v="Female"/>
    <n v="64"/>
    <x v="1"/>
    <n v="3"/>
    <n v="50"/>
    <n v="21"/>
    <n v="150"/>
    <x v="0"/>
    <s v="Valid"/>
    <n v="129"/>
  </r>
  <r>
    <n v="224"/>
    <x v="6"/>
    <d v="2022-11-11T00:00:00"/>
    <d v="1899-12-30T21:32:00"/>
    <n v="99"/>
    <s v="Female"/>
    <n v="25"/>
    <x v="1"/>
    <n v="1"/>
    <n v="50"/>
    <n v="24"/>
    <n v="50"/>
    <x v="0"/>
    <s v="Valid"/>
    <n v="26"/>
  </r>
  <r>
    <n v="1224"/>
    <x v="11"/>
    <d v="2022-01-20T00:00:00"/>
    <d v="1899-12-30T17:10:00"/>
    <n v="103"/>
    <s v="Female"/>
    <n v="25"/>
    <x v="1"/>
    <n v="1"/>
    <n v="50"/>
    <n v="20"/>
    <n v="50"/>
    <x v="0"/>
    <s v="Valid"/>
    <n v="30"/>
  </r>
  <r>
    <n v="737"/>
    <x v="23"/>
    <d v="2023-03-23T00:00:00"/>
    <d v="1899-12-30T21:11:00"/>
    <n v="26"/>
    <s v="Female"/>
    <n v="33"/>
    <x v="1"/>
    <n v="1"/>
    <n v="50"/>
    <n v="14"/>
    <n v="50"/>
    <x v="0"/>
    <s v="Valid"/>
    <n v="36"/>
  </r>
  <r>
    <n v="1737"/>
    <x v="6"/>
    <d v="2022-11-14T00:00:00"/>
    <d v="1899-12-30T22:32:00"/>
    <n v="40"/>
    <s v="Female"/>
    <n v="33"/>
    <x v="1"/>
    <n v="1"/>
    <n v="50"/>
    <n v="14"/>
    <n v="50"/>
    <x v="0"/>
    <s v="Valid"/>
    <n v="36"/>
  </r>
  <r>
    <n v="449"/>
    <x v="11"/>
    <d v="2022-01-03T00:00:00"/>
    <d v="1899-12-30T18:28:00"/>
    <n v="58"/>
    <s v="Male"/>
    <n v="25"/>
    <x v="2"/>
    <n v="4"/>
    <n v="50"/>
    <n v="26.5"/>
    <n v="200"/>
    <x v="0"/>
    <s v="Valid"/>
    <n v="173.5"/>
  </r>
  <r>
    <n v="1449"/>
    <x v="4"/>
    <d v="2022-04-26T00:00:00"/>
    <d v="1899-12-30T18:42:00"/>
    <n v="12"/>
    <s v="Male"/>
    <n v="25"/>
    <x v="2"/>
    <n v="4"/>
    <n v="50"/>
    <n v="23.5"/>
    <n v="200"/>
    <x v="0"/>
    <s v="Valid"/>
    <n v="176.5"/>
  </r>
  <r>
    <n v="59"/>
    <x v="6"/>
    <d v="2022-11-14T00:00:00"/>
    <d v="1899-12-30T18:28:00"/>
    <n v="61"/>
    <s v="Male"/>
    <n v="62"/>
    <x v="1"/>
    <n v="1"/>
    <n v="50"/>
    <n v="27"/>
    <n v="50"/>
    <x v="0"/>
    <s v="Valid"/>
    <n v="23"/>
  </r>
  <r>
    <n v="186"/>
    <x v="2"/>
    <d v="2022-03-31T00:00:00"/>
    <d v="1899-12-30T18:15:00"/>
    <n v="92"/>
    <s v="Male"/>
    <n v="20"/>
    <x v="1"/>
    <n v="4"/>
    <n v="50"/>
    <n v="23.5"/>
    <n v="200"/>
    <x v="0"/>
    <s v="Valid"/>
    <n v="176.5"/>
  </r>
  <r>
    <n v="1059"/>
    <x v="9"/>
    <d v="2022-07-12T00:00:00"/>
    <d v="1899-12-30T22:05:00"/>
    <n v="89"/>
    <s v="Male"/>
    <n v="62"/>
    <x v="1"/>
    <n v="1"/>
    <n v="50"/>
    <n v="12.5"/>
    <n v="50"/>
    <x v="0"/>
    <s v="Valid"/>
    <n v="37.5"/>
  </r>
  <r>
    <n v="1186"/>
    <x v="22"/>
    <d v="2023-09-10T00:00:00"/>
    <d v="1899-12-30T18:24:00"/>
    <n v="5"/>
    <s v="Male"/>
    <n v="20"/>
    <x v="1"/>
    <n v="4"/>
    <n v="50"/>
    <n v="18.5"/>
    <n v="200"/>
    <x v="0"/>
    <s v="Valid"/>
    <n v="181.5"/>
  </r>
  <r>
    <n v="75"/>
    <x v="18"/>
    <d v="2023-05-15T00:00:00"/>
    <d v="1899-12-30T20:51:00"/>
    <n v="110"/>
    <s v="Male"/>
    <n v="61"/>
    <x v="0"/>
    <n v="4"/>
    <n v="50"/>
    <n v="13.5"/>
    <n v="200"/>
    <x v="0"/>
    <s v="Valid"/>
    <n v="186.5"/>
  </r>
  <r>
    <n v="1075"/>
    <x v="3"/>
    <d v="2022-09-14T00:00:00"/>
    <d v="1899-12-30T19:17:00"/>
    <n v="92"/>
    <s v="Male"/>
    <n v="61"/>
    <x v="0"/>
    <n v="4"/>
    <n v="50"/>
    <n v="21.5"/>
    <n v="200"/>
    <x v="0"/>
    <s v="Valid"/>
    <n v="178.5"/>
  </r>
  <r>
    <n v="759"/>
    <x v="18"/>
    <d v="2023-05-23T00:00:00"/>
    <d v="1899-12-30T21:21:00"/>
    <n v="75"/>
    <s v="Male"/>
    <n v="49"/>
    <x v="2"/>
    <n v="2"/>
    <n v="50"/>
    <n v="21.5"/>
    <n v="100"/>
    <x v="0"/>
    <s v="Valid"/>
    <n v="78.5"/>
  </r>
  <r>
    <n v="1759"/>
    <x v="6"/>
    <d v="2022-11-03T00:00:00"/>
    <d v="1899-12-30T17:27:00"/>
    <n v="102"/>
    <s v="Male"/>
    <n v="49"/>
    <x v="2"/>
    <n v="2"/>
    <n v="50"/>
    <n v="23"/>
    <n v="100"/>
    <x v="0"/>
    <s v="Valid"/>
    <n v="77"/>
  </r>
  <r>
    <n v="77"/>
    <x v="4"/>
    <d v="2022-04-07T00:00:00"/>
    <d v="1899-12-30T20:45:00"/>
    <n v="44"/>
    <s v="Female"/>
    <n v="47"/>
    <x v="1"/>
    <n v="2"/>
    <n v="50"/>
    <n v="24"/>
    <n v="100"/>
    <x v="0"/>
    <s v="Valid"/>
    <n v="76"/>
  </r>
  <r>
    <n v="792"/>
    <x v="13"/>
    <d v="2023-01-04T00:00:00"/>
    <d v="1899-12-30T22:50:00"/>
    <n v="4"/>
    <s v="Female"/>
    <n v="20"/>
    <x v="0"/>
    <n v="1"/>
    <n v="50"/>
    <n v="26.5"/>
    <n v="50"/>
    <x v="0"/>
    <s v="Valid"/>
    <n v="23.5"/>
  </r>
  <r>
    <n v="1077"/>
    <x v="10"/>
    <d v="2022-12-16T00:00:00"/>
    <d v="1899-12-30T18:45:00"/>
    <n v="141"/>
    <s v="Female"/>
    <n v="47"/>
    <x v="1"/>
    <n v="2"/>
    <n v="50"/>
    <n v="15"/>
    <n v="100"/>
    <x v="0"/>
    <s v="Valid"/>
    <n v="85"/>
  </r>
  <r>
    <n v="1792"/>
    <x v="21"/>
    <d v="2023-08-26T00:00:00"/>
    <d v="1899-12-30T17:37:00"/>
    <n v="88"/>
    <s v="Female"/>
    <n v="20"/>
    <x v="0"/>
    <n v="1"/>
    <n v="50"/>
    <n v="26.5"/>
    <n v="50"/>
    <x v="0"/>
    <s v="Valid"/>
    <n v="23.5"/>
  </r>
  <r>
    <n v="176"/>
    <x v="18"/>
    <d v="2023-05-26T00:00:00"/>
    <d v="1899-12-30T18:15:00"/>
    <n v="53"/>
    <s v="Female"/>
    <n v="43"/>
    <x v="0"/>
    <n v="2"/>
    <n v="50"/>
    <n v="25.5"/>
    <n v="100"/>
    <x v="0"/>
    <s v="Valid"/>
    <n v="74.5"/>
  </r>
  <r>
    <n v="216"/>
    <x v="6"/>
    <d v="2022-11-04T00:00:00"/>
    <d v="1899-12-30T17:28:00"/>
    <n v="141"/>
    <s v="Male"/>
    <n v="62"/>
    <x v="2"/>
    <n v="2"/>
    <n v="50"/>
    <n v="26.5"/>
    <n v="100"/>
    <x v="0"/>
    <s v="Valid"/>
    <n v="73.5"/>
  </r>
  <r>
    <n v="1176"/>
    <x v="13"/>
    <d v="2023-01-04T00:00:00"/>
    <d v="1899-12-30T20:33:00"/>
    <n v="34"/>
    <s v="Female"/>
    <n v="43"/>
    <x v="0"/>
    <n v="2"/>
    <n v="50"/>
    <n v="21"/>
    <n v="100"/>
    <x v="0"/>
    <s v="Valid"/>
    <n v="79"/>
  </r>
  <r>
    <n v="1216"/>
    <x v="23"/>
    <d v="2023-03-01T00:00:00"/>
    <d v="1899-12-30T22:53:00"/>
    <n v="23"/>
    <s v="Male"/>
    <n v="62"/>
    <x v="2"/>
    <n v="2"/>
    <n v="50"/>
    <n v="13"/>
    <n v="100"/>
    <x v="0"/>
    <s v="Valid"/>
    <n v="87"/>
  </r>
  <r>
    <n v="53"/>
    <x v="11"/>
    <d v="2022-01-06T00:00:00"/>
    <d v="1899-12-30T17:57:00"/>
    <n v="32"/>
    <s v="Male"/>
    <n v="34"/>
    <x v="2"/>
    <n v="2"/>
    <n v="50"/>
    <n v="22"/>
    <n v="100"/>
    <x v="0"/>
    <s v="Valid"/>
    <n v="78"/>
  </r>
  <r>
    <n v="1053"/>
    <x v="19"/>
    <d v="2023-02-10T00:00:00"/>
    <d v="1899-12-30T21:13:00"/>
    <n v="40"/>
    <s v="Male"/>
    <n v="34"/>
    <x v="2"/>
    <n v="2"/>
    <n v="50"/>
    <n v="20.5"/>
    <n v="100"/>
    <x v="0"/>
    <s v="Valid"/>
    <n v="79.5"/>
  </r>
  <r>
    <n v="728"/>
    <x v="7"/>
    <d v="2022-06-02T00:00:00"/>
    <d v="1899-12-30T19:35:00"/>
    <n v="78"/>
    <s v="Male"/>
    <n v="51"/>
    <x v="2"/>
    <n v="3"/>
    <n v="50"/>
    <n v="18"/>
    <n v="150"/>
    <x v="0"/>
    <s v="Valid"/>
    <n v="132"/>
  </r>
  <r>
    <n v="1728"/>
    <x v="18"/>
    <d v="2023-05-23T00:00:00"/>
    <d v="1899-12-30T22:30:00"/>
    <n v="77"/>
    <s v="Male"/>
    <n v="51"/>
    <x v="2"/>
    <n v="3"/>
    <n v="50"/>
    <n v="25"/>
    <n v="150"/>
    <x v="0"/>
    <s v="Valid"/>
    <n v="125"/>
  </r>
  <r>
    <n v="143"/>
    <x v="19"/>
    <d v="2023-02-11T00:00:00"/>
    <d v="1899-12-30T22:20:00"/>
    <n v="118"/>
    <s v="Female"/>
    <n v="45"/>
    <x v="1"/>
    <n v="1"/>
    <n v="50"/>
    <n v="27.5"/>
    <n v="50"/>
    <x v="0"/>
    <s v="Valid"/>
    <n v="22.5"/>
  </r>
  <r>
    <n v="1143"/>
    <x v="18"/>
    <d v="2023-05-01T00:00:00"/>
    <d v="1899-12-30T21:10:00"/>
    <n v="23"/>
    <s v="Female"/>
    <n v="45"/>
    <x v="1"/>
    <n v="1"/>
    <n v="50"/>
    <n v="15"/>
    <n v="50"/>
    <x v="0"/>
    <s v="Valid"/>
    <n v="35"/>
  </r>
  <r>
    <n v="686"/>
    <x v="11"/>
    <d v="2022-01-06T00:00:00"/>
    <d v="1899-12-30T17:14:00"/>
    <n v="68"/>
    <s v="Female"/>
    <n v="28"/>
    <x v="2"/>
    <n v="4"/>
    <n v="50"/>
    <n v="23.5"/>
    <n v="200"/>
    <x v="0"/>
    <s v="Valid"/>
    <n v="176.5"/>
  </r>
  <r>
    <n v="1686"/>
    <x v="16"/>
    <d v="2023-12-10T00:00:00"/>
    <d v="1899-12-30T20:41:00"/>
    <n v="151"/>
    <s v="Female"/>
    <n v="28"/>
    <x v="2"/>
    <n v="4"/>
    <n v="50"/>
    <n v="26"/>
    <n v="200"/>
    <x v="0"/>
    <s v="Valid"/>
    <n v="174"/>
  </r>
  <r>
    <n v="359"/>
    <x v="10"/>
    <d v="2022-12-15T00:00:00"/>
    <d v="1899-12-30T21:49:00"/>
    <n v="122"/>
    <s v="Male"/>
    <n v="50"/>
    <x v="1"/>
    <n v="1"/>
    <n v="50"/>
    <n v="22.5"/>
    <n v="50"/>
    <x v="0"/>
    <s v="Valid"/>
    <n v="27.5"/>
  </r>
  <r>
    <n v="1359"/>
    <x v="0"/>
    <d v="2022-05-17T00:00:00"/>
    <d v="1899-12-30T22:21:00"/>
    <n v="55"/>
    <s v="Male"/>
    <n v="50"/>
    <x v="1"/>
    <n v="1"/>
    <n v="50"/>
    <n v="19"/>
    <n v="50"/>
    <x v="0"/>
    <s v="Valid"/>
    <n v="31"/>
  </r>
  <r>
    <n v="338"/>
    <x v="5"/>
    <d v="2022-02-05T00:00:00"/>
    <d v="1899-12-30T21:26:00"/>
    <n v="44"/>
    <s v="Male"/>
    <n v="54"/>
    <x v="0"/>
    <n v="2"/>
    <n v="50"/>
    <n v="20"/>
    <n v="100"/>
    <x v="0"/>
    <s v="Valid"/>
    <n v="80"/>
  </r>
  <r>
    <n v="1338"/>
    <x v="11"/>
    <d v="2022-01-25T00:00:00"/>
    <d v="1899-12-30T19:55:00"/>
    <n v="31"/>
    <s v="Male"/>
    <n v="54"/>
    <x v="0"/>
    <n v="2"/>
    <n v="50"/>
    <n v="19"/>
    <n v="100"/>
    <x v="0"/>
    <s v="Valid"/>
    <n v="81"/>
  </r>
  <r>
    <n v="668"/>
    <x v="7"/>
    <d v="2022-06-17T00:00:00"/>
    <d v="1899-12-30T20:33:00"/>
    <n v="135"/>
    <s v="Female"/>
    <n v="62"/>
    <x v="2"/>
    <n v="3"/>
    <n v="50"/>
    <n v="24.5"/>
    <n v="150"/>
    <x v="0"/>
    <s v="Valid"/>
    <n v="125.5"/>
  </r>
  <r>
    <n v="1668"/>
    <x v="23"/>
    <d v="2023-03-13T00:00:00"/>
    <d v="1899-12-30T21:40:00"/>
    <n v="132"/>
    <s v="Female"/>
    <n v="62"/>
    <x v="2"/>
    <n v="3"/>
    <n v="50"/>
    <n v="14"/>
    <n v="150"/>
    <x v="0"/>
    <s v="Valid"/>
    <n v="136"/>
  </r>
  <r>
    <n v="467"/>
    <x v="11"/>
    <d v="2022-01-24T00:00:00"/>
    <d v="1899-12-30T22:39:00"/>
    <n v="151"/>
    <s v="Female"/>
    <n v="53"/>
    <x v="2"/>
    <n v="3"/>
    <n v="50"/>
    <n v="14.5"/>
    <n v="150"/>
    <x v="0"/>
    <s v="Valid"/>
    <n v="135.5"/>
  </r>
  <r>
    <n v="1467"/>
    <x v="21"/>
    <d v="2023-08-13T00:00:00"/>
    <d v="1899-12-30T19:31:00"/>
    <n v="89"/>
    <s v="Female"/>
    <n v="53"/>
    <x v="2"/>
    <n v="3"/>
    <n v="50"/>
    <n v="14"/>
    <n v="150"/>
    <x v="0"/>
    <s v="Valid"/>
    <n v="136"/>
  </r>
  <r>
    <n v="672"/>
    <x v="5"/>
    <d v="2022-02-17T00:00:00"/>
    <d v="1899-12-30T19:44:00"/>
    <n v="1"/>
    <s v="Female"/>
    <n v="34"/>
    <x v="0"/>
    <n v="2"/>
    <n v="50"/>
    <n v="27.5"/>
    <n v="100"/>
    <x v="0"/>
    <s v="Valid"/>
    <n v="72.5"/>
  </r>
  <r>
    <n v="1672"/>
    <x v="23"/>
    <d v="2023-03-28T00:00:00"/>
    <d v="1899-12-30T22:34:00"/>
    <n v="87"/>
    <s v="Female"/>
    <n v="34"/>
    <x v="0"/>
    <n v="2"/>
    <n v="50"/>
    <n v="15.5"/>
    <n v="100"/>
    <x v="0"/>
    <s v="Valid"/>
    <n v="84.5"/>
  </r>
  <r>
    <n v="549"/>
    <x v="6"/>
    <d v="2022-11-03T00:00:00"/>
    <d v="1899-12-30T19:39:00"/>
    <n v="114"/>
    <s v="Female"/>
    <n v="50"/>
    <x v="0"/>
    <n v="2"/>
    <n v="50"/>
    <n v="12.5"/>
    <n v="100"/>
    <x v="0"/>
    <s v="Valid"/>
    <n v="87.5"/>
  </r>
  <r>
    <n v="798"/>
    <x v="13"/>
    <d v="2023-01-20T00:00:00"/>
    <d v="1899-12-30T21:19:00"/>
    <n v="73"/>
    <s v="Male"/>
    <n v="61"/>
    <x v="1"/>
    <n v="1"/>
    <n v="50"/>
    <n v="15"/>
    <n v="50"/>
    <x v="0"/>
    <s v="Valid"/>
    <n v="35"/>
  </r>
  <r>
    <n v="1549"/>
    <x v="20"/>
    <d v="2023-11-15T00:00:00"/>
    <d v="1899-12-30T19:25:00"/>
    <n v="109"/>
    <s v="Female"/>
    <n v="50"/>
    <x v="0"/>
    <n v="2"/>
    <n v="50"/>
    <n v="14.5"/>
    <n v="100"/>
    <x v="0"/>
    <s v="Valid"/>
    <n v="85.5"/>
  </r>
  <r>
    <n v="1798"/>
    <x v="15"/>
    <d v="2023-07-18T00:00:00"/>
    <d v="1899-12-30T20:26:00"/>
    <n v="96"/>
    <s v="Male"/>
    <n v="61"/>
    <x v="1"/>
    <n v="1"/>
    <n v="50"/>
    <n v="20"/>
    <n v="50"/>
    <x v="0"/>
    <s v="Valid"/>
    <n v="30"/>
  </r>
  <r>
    <n v="125"/>
    <x v="3"/>
    <d v="2022-09-28T00:00:00"/>
    <d v="1899-12-30T18:48:00"/>
    <n v="137"/>
    <s v="Male"/>
    <n v="48"/>
    <x v="1"/>
    <n v="2"/>
    <n v="50"/>
    <n v="19"/>
    <n v="100"/>
    <x v="0"/>
    <s v="Valid"/>
    <n v="81"/>
  </r>
  <r>
    <n v="1125"/>
    <x v="20"/>
    <d v="2023-11-12T00:00:00"/>
    <d v="1899-12-30T17:51:00"/>
    <n v="79"/>
    <s v="Male"/>
    <n v="48"/>
    <x v="1"/>
    <n v="2"/>
    <n v="50"/>
    <n v="21.5"/>
    <n v="100"/>
    <x v="0"/>
    <s v="Valid"/>
    <n v="78.5"/>
  </r>
  <r>
    <n v="259"/>
    <x v="23"/>
    <d v="2023-03-11T00:00:00"/>
    <d v="1899-12-30T20:26:00"/>
    <n v="93"/>
    <s v="Female"/>
    <n v="45"/>
    <x v="1"/>
    <n v="4"/>
    <n v="50"/>
    <n v="22.5"/>
    <n v="200"/>
    <x v="0"/>
    <s v="Valid"/>
    <n v="177.5"/>
  </r>
  <r>
    <n v="529"/>
    <x v="6"/>
    <d v="2022-11-29T00:00:00"/>
    <d v="1899-12-30T17:43:00"/>
    <n v="46"/>
    <s v="Female"/>
    <n v="35"/>
    <x v="1"/>
    <n v="3"/>
    <n v="50"/>
    <n v="20.5"/>
    <n v="150"/>
    <x v="0"/>
    <s v="Valid"/>
    <n v="129.5"/>
  </r>
  <r>
    <n v="1259"/>
    <x v="6"/>
    <d v="2022-11-03T00:00:00"/>
    <d v="1899-12-30T17:31:00"/>
    <n v="105"/>
    <s v="Female"/>
    <n v="45"/>
    <x v="1"/>
    <n v="4"/>
    <n v="50"/>
    <n v="21"/>
    <n v="200"/>
    <x v="0"/>
    <s v="Valid"/>
    <n v="179"/>
  </r>
  <r>
    <n v="1529"/>
    <x v="3"/>
    <d v="2022-09-17T00:00:00"/>
    <d v="1899-12-30T22:38:00"/>
    <n v="105"/>
    <s v="Female"/>
    <n v="35"/>
    <x v="1"/>
    <n v="3"/>
    <n v="50"/>
    <n v="17"/>
    <n v="150"/>
    <x v="0"/>
    <s v="Valid"/>
    <n v="133"/>
  </r>
  <r>
    <n v="801"/>
    <x v="10"/>
    <d v="2022-12-01T00:00:00"/>
    <d v="1899-12-30T17:14:00"/>
    <n v="153"/>
    <s v="Male"/>
    <n v="21"/>
    <x v="1"/>
    <n v="4"/>
    <n v="50"/>
    <n v="19"/>
    <n v="200"/>
    <x v="0"/>
    <s v="Valid"/>
    <n v="181"/>
  </r>
  <r>
    <n v="1801"/>
    <x v="9"/>
    <d v="2022-07-10T00:00:00"/>
    <d v="1899-12-30T22:01:00"/>
    <n v="148"/>
    <s v="Male"/>
    <n v="21"/>
    <x v="1"/>
    <n v="4"/>
    <n v="50"/>
    <n v="13.5"/>
    <n v="200"/>
    <x v="0"/>
    <s v="Valid"/>
    <n v="186.5"/>
  </r>
  <r>
    <n v="160"/>
    <x v="9"/>
    <d v="2022-07-20T00:00:00"/>
    <d v="1899-12-30T17:08:00"/>
    <n v="127"/>
    <s v="Female"/>
    <n v="43"/>
    <x v="1"/>
    <n v="2"/>
    <n v="50"/>
    <n v="26.5"/>
    <n v="100"/>
    <x v="0"/>
    <s v="Valid"/>
    <n v="73.5"/>
  </r>
  <r>
    <n v="807"/>
    <x v="13"/>
    <d v="2023-01-26T00:00:00"/>
    <d v="1899-12-30T19:49:00"/>
    <n v="91"/>
    <s v="Female"/>
    <n v="50"/>
    <x v="2"/>
    <n v="4"/>
    <n v="50"/>
    <n v="15.5"/>
    <n v="200"/>
    <x v="0"/>
    <s v="Valid"/>
    <n v="184.5"/>
  </r>
  <r>
    <n v="1160"/>
    <x v="21"/>
    <d v="2023-08-20T00:00:00"/>
    <d v="1899-12-30T19:20:00"/>
    <n v="105"/>
    <s v="Female"/>
    <n v="43"/>
    <x v="1"/>
    <n v="2"/>
    <n v="50"/>
    <n v="14"/>
    <n v="100"/>
    <x v="0"/>
    <s v="Valid"/>
    <n v="86"/>
  </r>
  <r>
    <n v="1807"/>
    <x v="1"/>
    <d v="2022-08-04T00:00:00"/>
    <d v="1899-12-30T22:15:00"/>
    <n v="19"/>
    <s v="Female"/>
    <n v="50"/>
    <x v="2"/>
    <n v="4"/>
    <n v="50"/>
    <n v="22"/>
    <n v="200"/>
    <x v="0"/>
    <s v="Valid"/>
    <n v="178"/>
  </r>
  <r>
    <n v="511"/>
    <x v="16"/>
    <d v="2023-12-23T00:00:00"/>
    <d v="1899-12-30T18:19:00"/>
    <n v="146"/>
    <s v="Male"/>
    <n v="45"/>
    <x v="0"/>
    <n v="2"/>
    <n v="50"/>
    <n v="24.5"/>
    <n v="100"/>
    <x v="0"/>
    <s v="Valid"/>
    <n v="75.5"/>
  </r>
  <r>
    <n v="695"/>
    <x v="4"/>
    <d v="2022-04-03T00:00:00"/>
    <d v="1899-12-30T22:12:00"/>
    <n v="52"/>
    <s v="Female"/>
    <n v="22"/>
    <x v="2"/>
    <n v="3"/>
    <n v="50"/>
    <n v="21"/>
    <n v="150"/>
    <x v="0"/>
    <s v="Valid"/>
    <n v="129"/>
  </r>
  <r>
    <n v="1511"/>
    <x v="4"/>
    <d v="2022-04-09T00:00:00"/>
    <d v="1899-12-30T21:36:00"/>
    <n v="45"/>
    <s v="Male"/>
    <n v="45"/>
    <x v="0"/>
    <n v="2"/>
    <n v="50"/>
    <n v="13.5"/>
    <n v="100"/>
    <x v="0"/>
    <s v="Valid"/>
    <n v="86.5"/>
  </r>
  <r>
    <n v="1695"/>
    <x v="22"/>
    <d v="2023-09-21T00:00:00"/>
    <d v="1899-12-30T20:51:00"/>
    <n v="85"/>
    <s v="Female"/>
    <n v="22"/>
    <x v="2"/>
    <n v="3"/>
    <n v="50"/>
    <n v="23"/>
    <n v="150"/>
    <x v="0"/>
    <s v="Valid"/>
    <n v="127"/>
  </r>
  <r>
    <n v="217"/>
    <x v="0"/>
    <d v="2022-05-02T00:00:00"/>
    <d v="1899-12-30T17:01:00"/>
    <n v="17"/>
    <s v="Female"/>
    <n v="35"/>
    <x v="2"/>
    <n v="4"/>
    <n v="50"/>
    <n v="26.5"/>
    <n v="200"/>
    <x v="0"/>
    <s v="Valid"/>
    <n v="173.5"/>
  </r>
  <r>
    <n v="1217"/>
    <x v="12"/>
    <d v="2023-10-16T00:00:00"/>
    <d v="1899-12-30T19:28:00"/>
    <n v="70"/>
    <s v="Female"/>
    <n v="35"/>
    <x v="2"/>
    <n v="4"/>
    <n v="50"/>
    <n v="18"/>
    <n v="200"/>
    <x v="0"/>
    <s v="Valid"/>
    <n v="182"/>
  </r>
  <r>
    <n v="569"/>
    <x v="4"/>
    <d v="2022-04-29T00:00:00"/>
    <d v="1899-12-30T20:49:00"/>
    <n v="132"/>
    <s v="Male"/>
    <n v="52"/>
    <x v="2"/>
    <n v="4"/>
    <n v="50"/>
    <n v="19"/>
    <n v="200"/>
    <x v="0"/>
    <s v="Valid"/>
    <n v="181"/>
  </r>
  <r>
    <n v="630"/>
    <x v="23"/>
    <d v="2023-03-21T00:00:00"/>
    <d v="1899-12-30T17:29:00"/>
    <n v="94"/>
    <s v="Male"/>
    <n v="42"/>
    <x v="1"/>
    <n v="2"/>
    <n v="50"/>
    <n v="25.5"/>
    <n v="100"/>
    <x v="0"/>
    <s v="Valid"/>
    <n v="74.5"/>
  </r>
  <r>
    <n v="1569"/>
    <x v="20"/>
    <d v="2023-11-30T00:00:00"/>
    <d v="1899-12-30T21:07:00"/>
    <n v="35"/>
    <s v="Male"/>
    <n v="52"/>
    <x v="2"/>
    <n v="4"/>
    <n v="50"/>
    <n v="18"/>
    <n v="200"/>
    <x v="0"/>
    <s v="Valid"/>
    <n v="182"/>
  </r>
  <r>
    <n v="1630"/>
    <x v="0"/>
    <d v="2022-05-22T00:00:00"/>
    <d v="1899-12-30T17:22:00"/>
    <n v="95"/>
    <s v="Male"/>
    <n v="42"/>
    <x v="1"/>
    <n v="2"/>
    <n v="50"/>
    <n v="16"/>
    <n v="100"/>
    <x v="0"/>
    <s v="Valid"/>
    <n v="84"/>
  </r>
  <r>
    <n v="823"/>
    <x v="16"/>
    <d v="2023-12-03T00:00:00"/>
    <d v="1899-12-30T17:42:00"/>
    <n v="66"/>
    <s v="Female"/>
    <n v="56"/>
    <x v="2"/>
    <n v="2"/>
    <n v="50"/>
    <n v="25"/>
    <n v="100"/>
    <x v="0"/>
    <s v="Valid"/>
    <n v="75"/>
  </r>
  <r>
    <n v="1823"/>
    <x v="6"/>
    <d v="2022-11-08T00:00:00"/>
    <d v="1899-12-30T22:28:00"/>
    <n v="58"/>
    <s v="Female"/>
    <n v="56"/>
    <x v="2"/>
    <n v="2"/>
    <n v="50"/>
    <n v="26.5"/>
    <n v="100"/>
    <x v="0"/>
    <s v="Valid"/>
    <n v="73.5"/>
  </r>
  <r>
    <n v="306"/>
    <x v="11"/>
    <d v="2022-01-04T00:00:00"/>
    <d v="1899-12-30T22:05:00"/>
    <n v="148"/>
    <s v="Male"/>
    <n v="54"/>
    <x v="2"/>
    <n v="1"/>
    <n v="50"/>
    <n v="26.5"/>
    <n v="50"/>
    <x v="0"/>
    <s v="Valid"/>
    <n v="23.5"/>
  </r>
  <r>
    <n v="1306"/>
    <x v="20"/>
    <d v="2023-11-11T00:00:00"/>
    <d v="1899-12-30T20:57:00"/>
    <n v="122"/>
    <s v="Male"/>
    <n v="54"/>
    <x v="2"/>
    <n v="1"/>
    <n v="50"/>
    <n v="18.5"/>
    <n v="50"/>
    <x v="0"/>
    <s v="Valid"/>
    <n v="31.5"/>
  </r>
  <r>
    <n v="282"/>
    <x v="12"/>
    <d v="2023-10-05T00:00:00"/>
    <d v="1899-12-30T17:39:00"/>
    <n v="10"/>
    <s v="Female"/>
    <n v="64"/>
    <x v="2"/>
    <n v="4"/>
    <n v="50"/>
    <n v="56"/>
    <n v="200"/>
    <x v="0"/>
    <s v="Valid"/>
    <n v="144"/>
  </r>
  <r>
    <n v="1282"/>
    <x v="19"/>
    <d v="2023-02-20T00:00:00"/>
    <d v="1899-12-30T20:05:00"/>
    <n v="23"/>
    <s v="Female"/>
    <n v="64"/>
    <x v="2"/>
    <n v="4"/>
    <n v="50"/>
    <n v="48.5"/>
    <n v="200"/>
    <x v="0"/>
    <s v="Valid"/>
    <n v="151.5"/>
  </r>
  <r>
    <n v="671"/>
    <x v="22"/>
    <d v="2023-09-23T00:00:00"/>
    <d v="1899-12-30T19:51:00"/>
    <n v="2"/>
    <s v="Male"/>
    <n v="62"/>
    <x v="2"/>
    <n v="3"/>
    <n v="50"/>
    <n v="61.5"/>
    <n v="150"/>
    <x v="0"/>
    <s v="Valid"/>
    <n v="88.5"/>
  </r>
  <r>
    <n v="1671"/>
    <x v="19"/>
    <d v="2023-02-28T00:00:00"/>
    <d v="1899-12-30T20:55:00"/>
    <n v="47"/>
    <s v="Male"/>
    <n v="62"/>
    <x v="2"/>
    <n v="3"/>
    <n v="50"/>
    <n v="62.5"/>
    <n v="150"/>
    <x v="0"/>
    <s v="Valid"/>
    <n v="87.5"/>
  </r>
  <r>
    <n v="146"/>
    <x v="6"/>
    <d v="2022-11-10T00:00:00"/>
    <d v="1899-12-30T22:01:00"/>
    <n v="74"/>
    <s v="Male"/>
    <n v="38"/>
    <x v="1"/>
    <n v="4"/>
    <n v="50"/>
    <n v="49"/>
    <n v="200"/>
    <x v="0"/>
    <s v="Valid"/>
    <n v="151"/>
  </r>
  <r>
    <n v="1146"/>
    <x v="12"/>
    <d v="2023-10-09T00:00:00"/>
    <d v="1899-12-30T21:11:00"/>
    <n v="52"/>
    <s v="Male"/>
    <n v="38"/>
    <x v="1"/>
    <n v="4"/>
    <n v="50"/>
    <n v="60"/>
    <n v="200"/>
    <x v="0"/>
    <s v="Valid"/>
    <n v="140"/>
  </r>
  <r>
    <n v="924"/>
    <x v="3"/>
    <d v="2022-09-17T00:00:00"/>
    <d v="1899-12-30T22:18:00"/>
    <n v="151"/>
    <s v="Male"/>
    <n v="55"/>
    <x v="0"/>
    <n v="2"/>
    <n v="50"/>
    <n v="55"/>
    <n v="100"/>
    <x v="0"/>
    <s v="Valid"/>
    <n v="45"/>
  </r>
  <r>
    <n v="1924"/>
    <x v="6"/>
    <d v="2022-11-28T00:00:00"/>
    <d v="1899-12-30T22:25:00"/>
    <n v="107"/>
    <s v="Male"/>
    <n v="55"/>
    <x v="0"/>
    <n v="2"/>
    <n v="50"/>
    <n v="54.5"/>
    <n v="100"/>
    <x v="0"/>
    <s v="Valid"/>
    <n v="45.5"/>
  </r>
  <r>
    <n v="251"/>
    <x v="3"/>
    <d v="2022-09-15T00:00:00"/>
    <d v="1899-12-30T21:00:00"/>
    <n v="141"/>
    <s v="Female"/>
    <n v="57"/>
    <x v="0"/>
    <n v="4"/>
    <n v="50"/>
    <n v="62.5"/>
    <n v="200"/>
    <x v="0"/>
    <s v="Valid"/>
    <n v="137.5"/>
  </r>
  <r>
    <n v="1251"/>
    <x v="3"/>
    <d v="2022-09-11T00:00:00"/>
    <d v="1899-12-30T21:08:00"/>
    <n v="137"/>
    <s v="Female"/>
    <n v="57"/>
    <x v="0"/>
    <n v="4"/>
    <n v="50"/>
    <n v="57.5"/>
    <n v="200"/>
    <x v="0"/>
    <s v="Valid"/>
    <n v="142.5"/>
  </r>
  <r>
    <n v="200"/>
    <x v="8"/>
    <d v="2022-10-09T00:00:00"/>
    <d v="1899-12-30T22:29:00"/>
    <n v="130"/>
    <s v="Male"/>
    <n v="27"/>
    <x v="0"/>
    <n v="3"/>
    <n v="50"/>
    <n v="60"/>
    <n v="150"/>
    <x v="0"/>
    <s v="Valid"/>
    <n v="90"/>
  </r>
  <r>
    <n v="1200"/>
    <x v="12"/>
    <d v="2023-10-18T00:00:00"/>
    <d v="1899-12-30T19:04:00"/>
    <n v="20"/>
    <s v="Male"/>
    <n v="27"/>
    <x v="0"/>
    <n v="3"/>
    <n v="50"/>
    <n v="54.5"/>
    <n v="150"/>
    <x v="0"/>
    <s v="Valid"/>
    <n v="95.5"/>
  </r>
  <r>
    <n v="194"/>
    <x v="12"/>
    <d v="2023-10-11T00:00:00"/>
    <d v="1899-12-30T19:27:00"/>
    <n v="116"/>
    <s v="Male"/>
    <n v="55"/>
    <x v="1"/>
    <n v="4"/>
    <n v="50"/>
    <n v="51.5"/>
    <n v="200"/>
    <x v="0"/>
    <s v="Valid"/>
    <n v="148.5"/>
  </r>
  <r>
    <n v="696"/>
    <x v="12"/>
    <d v="2023-10-09T00:00:00"/>
    <d v="1899-12-30T18:05:00"/>
    <n v="24"/>
    <s v="Female"/>
    <n v="50"/>
    <x v="1"/>
    <n v="4"/>
    <n v="50"/>
    <n v="48.5"/>
    <n v="200"/>
    <x v="0"/>
    <s v="Valid"/>
    <n v="151.5"/>
  </r>
  <r>
    <n v="1194"/>
    <x v="12"/>
    <d v="2023-10-09T00:00:00"/>
    <d v="1899-12-30T22:06:00"/>
    <n v="130"/>
    <s v="Male"/>
    <n v="55"/>
    <x v="1"/>
    <n v="4"/>
    <n v="50"/>
    <n v="61.5"/>
    <n v="200"/>
    <x v="0"/>
    <s v="Valid"/>
    <n v="138.5"/>
  </r>
  <r>
    <n v="1696"/>
    <x v="6"/>
    <d v="2022-11-21T00:00:00"/>
    <d v="1899-12-30T17:59:00"/>
    <n v="24"/>
    <s v="Female"/>
    <n v="50"/>
    <x v="1"/>
    <n v="4"/>
    <n v="50"/>
    <n v="55"/>
    <n v="200"/>
    <x v="0"/>
    <s v="Valid"/>
    <n v="145"/>
  </r>
  <r>
    <n v="692"/>
    <x v="3"/>
    <d v="2022-09-30T00:00:00"/>
    <d v="1899-12-30T19:48:00"/>
    <n v="110"/>
    <s v="Female"/>
    <n v="64"/>
    <x v="1"/>
    <n v="2"/>
    <n v="50"/>
    <n v="49.5"/>
    <n v="100"/>
    <x v="0"/>
    <s v="Valid"/>
    <n v="50.5"/>
  </r>
  <r>
    <n v="835"/>
    <x v="3"/>
    <d v="2022-09-30T00:00:00"/>
    <d v="1899-12-30T23:00:00"/>
    <n v="49"/>
    <s v="Male"/>
    <n v="37"/>
    <x v="1"/>
    <n v="4"/>
    <n v="50"/>
    <n v="60"/>
    <n v="200"/>
    <x v="0"/>
    <s v="Valid"/>
    <n v="140"/>
  </r>
  <r>
    <n v="1692"/>
    <x v="12"/>
    <d v="2023-10-11T00:00:00"/>
    <d v="1899-12-30T19:50:00"/>
    <n v="103"/>
    <s v="Female"/>
    <n v="64"/>
    <x v="1"/>
    <n v="2"/>
    <n v="50"/>
    <n v="59.5"/>
    <n v="100"/>
    <x v="0"/>
    <s v="Valid"/>
    <n v="40.5"/>
  </r>
  <r>
    <n v="1835"/>
    <x v="3"/>
    <d v="2022-09-18T00:00:00"/>
    <d v="1899-12-30T20:58:00"/>
    <n v="98"/>
    <s v="Male"/>
    <n v="37"/>
    <x v="1"/>
    <n v="4"/>
    <n v="50"/>
    <n v="49.5"/>
    <n v="200"/>
    <x v="0"/>
    <s v="Valid"/>
    <n v="150.5"/>
  </r>
  <r>
    <n v="799"/>
    <x v="12"/>
    <d v="2023-10-01T00:00:00"/>
    <d v="1899-12-30T19:44:00"/>
    <n v="86"/>
    <s v="Male"/>
    <n v="56"/>
    <x v="2"/>
    <n v="2"/>
    <n v="50"/>
    <n v="60"/>
    <n v="100"/>
    <x v="0"/>
    <s v="Valid"/>
    <n v="40"/>
  </r>
  <r>
    <n v="1799"/>
    <x v="12"/>
    <d v="2023-10-01T00:00:00"/>
    <d v="1899-12-30T19:09:00"/>
    <n v="132"/>
    <s v="Male"/>
    <n v="56"/>
    <x v="2"/>
    <n v="2"/>
    <n v="50"/>
    <n v="51"/>
    <n v="100"/>
    <x v="0"/>
    <s v="Valid"/>
    <n v="49"/>
  </r>
  <r>
    <n v="858"/>
    <x v="22"/>
    <d v="2023-09-08T00:00:00"/>
    <d v="1899-12-30T18:48:00"/>
    <n v="85"/>
    <s v="Male"/>
    <n v="23"/>
    <x v="2"/>
    <n v="2"/>
    <n v="50"/>
    <n v="50.5"/>
    <n v="100"/>
    <x v="0"/>
    <s v="Valid"/>
    <n v="49.5"/>
  </r>
  <r>
    <n v="935"/>
    <x v="3"/>
    <d v="2022-09-10T00:00:00"/>
    <d v="1899-12-30T21:16:00"/>
    <n v="2"/>
    <s v="Female"/>
    <n v="34"/>
    <x v="0"/>
    <n v="1"/>
    <n v="50"/>
    <n v="55.5"/>
    <n v="50"/>
    <x v="0"/>
    <s v="Valid"/>
    <n v="-5.5"/>
  </r>
  <r>
    <n v="1858"/>
    <x v="22"/>
    <d v="2023-09-14T00:00:00"/>
    <d v="1899-12-30T20:47:00"/>
    <n v="49"/>
    <s v="Male"/>
    <n v="23"/>
    <x v="2"/>
    <n v="2"/>
    <n v="50"/>
    <n v="52"/>
    <n v="100"/>
    <x v="0"/>
    <s v="Valid"/>
    <n v="48"/>
  </r>
  <r>
    <n v="1935"/>
    <x v="10"/>
    <d v="2022-12-16T00:00:00"/>
    <d v="1899-12-30T22:40:00"/>
    <n v="96"/>
    <s v="Female"/>
    <n v="34"/>
    <x v="0"/>
    <n v="1"/>
    <n v="50"/>
    <n v="47.5"/>
    <n v="50"/>
    <x v="0"/>
    <s v="Valid"/>
    <n v="2.5"/>
  </r>
  <r>
    <n v="132"/>
    <x v="20"/>
    <d v="2023-11-22T00:00:00"/>
    <d v="1899-12-30T20:34:00"/>
    <n v="86"/>
    <s v="Male"/>
    <n v="42"/>
    <x v="2"/>
    <n v="4"/>
    <n v="50"/>
    <n v="62"/>
    <n v="200"/>
    <x v="0"/>
    <s v="Valid"/>
    <n v="138"/>
  </r>
  <r>
    <n v="1132"/>
    <x v="20"/>
    <d v="2023-11-07T00:00:00"/>
    <d v="1899-12-30T17:27:00"/>
    <n v="14"/>
    <s v="Male"/>
    <n v="42"/>
    <x v="2"/>
    <n v="4"/>
    <n v="50"/>
    <n v="59"/>
    <n v="200"/>
    <x v="0"/>
    <s v="Valid"/>
    <n v="141"/>
  </r>
  <r>
    <n v="604"/>
    <x v="3"/>
    <d v="2022-09-16T00:00:00"/>
    <d v="1899-12-30T19:34:00"/>
    <n v="139"/>
    <s v="Female"/>
    <n v="29"/>
    <x v="2"/>
    <n v="4"/>
    <n v="50"/>
    <n v="50.5"/>
    <n v="200"/>
    <x v="0"/>
    <s v="Valid"/>
    <n v="149.5"/>
  </r>
  <r>
    <n v="1604"/>
    <x v="10"/>
    <d v="2022-12-29T00:00:00"/>
    <d v="1899-12-30T18:43:00"/>
    <n v="2"/>
    <s v="Female"/>
    <n v="29"/>
    <x v="2"/>
    <n v="4"/>
    <n v="50"/>
    <n v="56"/>
    <n v="200"/>
    <x v="0"/>
    <s v="Valid"/>
    <n v="144"/>
  </r>
  <r>
    <n v="167"/>
    <x v="22"/>
    <d v="2023-09-21T00:00:00"/>
    <d v="1899-12-30T20:58:00"/>
    <n v="73"/>
    <s v="Female"/>
    <n v="43"/>
    <x v="1"/>
    <n v="3"/>
    <n v="50"/>
    <n v="49"/>
    <n v="150"/>
    <x v="0"/>
    <s v="Valid"/>
    <n v="101"/>
  </r>
  <r>
    <n v="375"/>
    <x v="22"/>
    <d v="2023-09-22T00:00:00"/>
    <d v="1899-12-30T17:32:00"/>
    <n v="25"/>
    <s v="Male"/>
    <n v="32"/>
    <x v="1"/>
    <n v="1"/>
    <n v="50"/>
    <n v="52"/>
    <n v="50"/>
    <x v="0"/>
    <s v="Valid"/>
    <n v="-2"/>
  </r>
  <r>
    <n v="538"/>
    <x v="16"/>
    <d v="2023-12-22T00:00:00"/>
    <d v="1899-12-30T18:20:00"/>
    <n v="102"/>
    <s v="Male"/>
    <n v="18"/>
    <x v="1"/>
    <n v="3"/>
    <n v="50"/>
    <n v="56.5"/>
    <n v="150"/>
    <x v="0"/>
    <s v="Valid"/>
    <n v="93.5"/>
  </r>
  <r>
    <n v="1167"/>
    <x v="22"/>
    <d v="2023-09-29T00:00:00"/>
    <d v="1899-12-30T21:21:00"/>
    <n v="9"/>
    <s v="Female"/>
    <n v="43"/>
    <x v="1"/>
    <n v="3"/>
    <n v="50"/>
    <n v="54"/>
    <n v="150"/>
    <x v="0"/>
    <s v="Valid"/>
    <n v="96"/>
  </r>
  <r>
    <n v="1375"/>
    <x v="8"/>
    <d v="2022-10-01T00:00:00"/>
    <d v="1899-12-30T17:50:00"/>
    <n v="79"/>
    <s v="Male"/>
    <n v="32"/>
    <x v="1"/>
    <n v="1"/>
    <n v="50"/>
    <n v="59"/>
    <n v="50"/>
    <x v="0"/>
    <s v="Valid"/>
    <n v="-9"/>
  </r>
  <r>
    <n v="1538"/>
    <x v="3"/>
    <d v="2022-09-12T00:00:00"/>
    <d v="1899-12-30T20:57:00"/>
    <n v="21"/>
    <s v="Male"/>
    <n v="18"/>
    <x v="1"/>
    <n v="3"/>
    <n v="50"/>
    <n v="53.5"/>
    <n v="150"/>
    <x v="0"/>
    <s v="Valid"/>
    <n v="96.5"/>
  </r>
  <r>
    <n v="330"/>
    <x v="8"/>
    <d v="2022-10-11T00:00:00"/>
    <d v="1899-12-30T20:18:00"/>
    <n v="116"/>
    <s v="Female"/>
    <n v="25"/>
    <x v="0"/>
    <n v="4"/>
    <n v="50"/>
    <n v="55"/>
    <n v="200"/>
    <x v="0"/>
    <s v="Valid"/>
    <n v="145"/>
  </r>
  <r>
    <n v="494"/>
    <x v="22"/>
    <d v="2023-09-25T00:00:00"/>
    <d v="1899-12-30T20:18:00"/>
    <n v="140"/>
    <s v="Female"/>
    <n v="42"/>
    <x v="0"/>
    <n v="4"/>
    <n v="50"/>
    <n v="58"/>
    <n v="200"/>
    <x v="0"/>
    <s v="Valid"/>
    <n v="142"/>
  </r>
  <r>
    <n v="1330"/>
    <x v="20"/>
    <d v="2023-11-24T00:00:00"/>
    <d v="1899-12-30T17:49:00"/>
    <n v="20"/>
    <s v="Female"/>
    <n v="25"/>
    <x v="0"/>
    <n v="4"/>
    <n v="50"/>
    <n v="48"/>
    <n v="200"/>
    <x v="0"/>
    <s v="Valid"/>
    <n v="152"/>
  </r>
  <r>
    <n v="1494"/>
    <x v="8"/>
    <d v="2022-10-23T00:00:00"/>
    <d v="1899-12-30T19:29:00"/>
    <n v="74"/>
    <s v="Female"/>
    <n v="42"/>
    <x v="0"/>
    <n v="4"/>
    <n v="50"/>
    <n v="62.5"/>
    <n v="200"/>
    <x v="0"/>
    <s v="Valid"/>
    <n v="137.5"/>
  </r>
  <r>
    <n v="846"/>
    <x v="16"/>
    <d v="2023-12-22T00:00:00"/>
    <d v="1899-12-30T18:46:00"/>
    <n v="13"/>
    <s v="Male"/>
    <n v="42"/>
    <x v="0"/>
    <n v="1"/>
    <n v="50"/>
    <n v="59.5"/>
    <n v="50"/>
    <x v="0"/>
    <s v="Valid"/>
    <n v="-9.5"/>
  </r>
  <r>
    <n v="1846"/>
    <x v="20"/>
    <d v="2023-11-16T00:00:00"/>
    <d v="1899-12-30T17:51:00"/>
    <n v="83"/>
    <s v="Male"/>
    <n v="42"/>
    <x v="0"/>
    <n v="1"/>
    <n v="50"/>
    <n v="49.5"/>
    <n v="50"/>
    <x v="0"/>
    <s v="Valid"/>
    <n v="0.5"/>
  </r>
  <r>
    <n v="616"/>
    <x v="10"/>
    <d v="2022-12-31T00:00:00"/>
    <d v="1899-12-30T19:18:00"/>
    <n v="122"/>
    <s v="Male"/>
    <n v="41"/>
    <x v="1"/>
    <n v="2"/>
    <n v="50"/>
    <n v="49.5"/>
    <n v="100"/>
    <x v="0"/>
    <s v="Valid"/>
    <n v="50.5"/>
  </r>
  <r>
    <n v="1616"/>
    <x v="3"/>
    <d v="2022-09-22T00:00:00"/>
    <d v="1899-12-30T18:41:00"/>
    <n v="121"/>
    <s v="Male"/>
    <n v="41"/>
    <x v="1"/>
    <n v="2"/>
    <n v="50"/>
    <n v="59"/>
    <n v="100"/>
    <x v="0"/>
    <s v="Valid"/>
    <n v="41"/>
  </r>
  <r>
    <n v="809"/>
    <x v="10"/>
    <d v="2022-12-14T00:00:00"/>
    <d v="1899-12-30T22:51:00"/>
    <n v="124"/>
    <s v="Female"/>
    <n v="62"/>
    <x v="0"/>
    <n v="2"/>
    <n v="50"/>
    <n v="50"/>
    <n v="100"/>
    <x v="0"/>
    <s v="Valid"/>
    <n v="50"/>
  </r>
  <r>
    <n v="1809"/>
    <x v="12"/>
    <d v="2023-10-16T00:00:00"/>
    <d v="1899-12-30T18:09:00"/>
    <n v="51"/>
    <s v="Female"/>
    <n v="62"/>
    <x v="0"/>
    <n v="2"/>
    <n v="50"/>
    <n v="61.5"/>
    <n v="100"/>
    <x v="0"/>
    <s v="Valid"/>
    <n v="38.5"/>
  </r>
  <r>
    <n v="897"/>
    <x v="22"/>
    <d v="2023-09-12T00:00:00"/>
    <d v="1899-12-30T17:53:00"/>
    <n v="15"/>
    <s v="Female"/>
    <n v="64"/>
    <x v="2"/>
    <n v="2"/>
    <n v="50"/>
    <n v="51.5"/>
    <n v="100"/>
    <x v="0"/>
    <s v="Valid"/>
    <n v="48.5"/>
  </r>
  <r>
    <n v="1897"/>
    <x v="12"/>
    <d v="2023-10-27T00:00:00"/>
    <d v="1899-12-30T17:12:00"/>
    <n v="137"/>
    <s v="Female"/>
    <n v="64"/>
    <x v="2"/>
    <n v="2"/>
    <n v="50"/>
    <n v="62"/>
    <n v="100"/>
    <x v="0"/>
    <s v="Valid"/>
    <n v="38"/>
  </r>
  <r>
    <n v="390"/>
    <x v="8"/>
    <d v="2022-10-07T00:00:00"/>
    <d v="1899-12-30T20:53:00"/>
    <n v="88"/>
    <s v="Male"/>
    <n v="39"/>
    <x v="2"/>
    <n v="2"/>
    <n v="50"/>
    <n v="51"/>
    <n v="100"/>
    <x v="0"/>
    <s v="Valid"/>
    <n v="49"/>
  </r>
  <r>
    <n v="1390"/>
    <x v="8"/>
    <d v="2022-10-24T00:00:00"/>
    <d v="1899-12-30T22:47:00"/>
    <n v="117"/>
    <s v="Male"/>
    <n v="39"/>
    <x v="2"/>
    <n v="2"/>
    <n v="50"/>
    <n v="54"/>
    <n v="100"/>
    <x v="0"/>
    <s v="Valid"/>
    <n v="46"/>
  </r>
  <r>
    <n v="327"/>
    <x v="22"/>
    <d v="2023-09-13T00:00:00"/>
    <d v="1899-12-30T18:30:00"/>
    <n v="107"/>
    <s v="Male"/>
    <n v="57"/>
    <x v="2"/>
    <n v="3"/>
    <n v="50"/>
    <n v="56"/>
    <n v="150"/>
    <x v="0"/>
    <s v="Valid"/>
    <n v="94"/>
  </r>
  <r>
    <n v="1327"/>
    <x v="16"/>
    <d v="2023-12-23T00:00:00"/>
    <d v="1899-12-30T21:16:00"/>
    <n v="118"/>
    <s v="Male"/>
    <n v="57"/>
    <x v="2"/>
    <n v="3"/>
    <n v="50"/>
    <n v="58"/>
    <n v="150"/>
    <x v="0"/>
    <s v="Valid"/>
    <n v="92"/>
  </r>
  <r>
    <n v="889"/>
    <x v="22"/>
    <d v="2023-09-20T00:00:00"/>
    <d v="1899-12-30T22:32:00"/>
    <n v="39"/>
    <s v="Female"/>
    <n v="35"/>
    <x v="2"/>
    <n v="1"/>
    <n v="50"/>
    <n v="57.5"/>
    <n v="50"/>
    <x v="0"/>
    <s v="Valid"/>
    <n v="-7.5"/>
  </r>
  <r>
    <n v="1889"/>
    <x v="3"/>
    <d v="2022-09-02T00:00:00"/>
    <d v="1899-12-30T22:48:00"/>
    <n v="80"/>
    <s v="Female"/>
    <n v="35"/>
    <x v="2"/>
    <n v="1"/>
    <n v="50"/>
    <n v="56"/>
    <n v="50"/>
    <x v="0"/>
    <s v="Valid"/>
    <n v="-6"/>
  </r>
  <r>
    <n v="813"/>
    <x v="8"/>
    <d v="2022-10-15T00:00:00"/>
    <d v="1899-12-30T19:51:00"/>
    <n v="125"/>
    <s v="Male"/>
    <n v="52"/>
    <x v="2"/>
    <n v="3"/>
    <n v="50"/>
    <n v="62"/>
    <n v="150"/>
    <x v="0"/>
    <s v="Valid"/>
    <n v="88"/>
  </r>
  <r>
    <n v="1813"/>
    <x v="6"/>
    <d v="2022-11-22T00:00:00"/>
    <d v="1899-12-30T22:24:00"/>
    <n v="86"/>
    <s v="Male"/>
    <n v="52"/>
    <x v="2"/>
    <n v="3"/>
    <n v="50"/>
    <n v="61.5"/>
    <n v="150"/>
    <x v="0"/>
    <s v="Valid"/>
    <n v="88.5"/>
  </r>
  <r>
    <n v="208"/>
    <x v="12"/>
    <d v="2023-10-21T00:00:00"/>
    <d v="1899-12-30T20:56:00"/>
    <n v="144"/>
    <s v="Female"/>
    <n v="34"/>
    <x v="2"/>
    <n v="4"/>
    <n v="50"/>
    <n v="57"/>
    <n v="200"/>
    <x v="0"/>
    <s v="Valid"/>
    <n v="143"/>
  </r>
  <r>
    <n v="1208"/>
    <x v="8"/>
    <d v="2022-10-15T00:00:00"/>
    <d v="1899-12-30T17:44:00"/>
    <n v="9"/>
    <s v="Female"/>
    <n v="34"/>
    <x v="2"/>
    <n v="4"/>
    <n v="50"/>
    <n v="47.5"/>
    <n v="200"/>
    <x v="0"/>
    <s v="Valid"/>
    <n v="152.5"/>
  </r>
  <r>
    <n v="10"/>
    <x v="8"/>
    <d v="2022-10-24T00:00:00"/>
    <d v="1899-12-30T22:55:00"/>
    <n v="81"/>
    <s v="Female"/>
    <n v="52"/>
    <x v="1"/>
    <n v="4"/>
    <n v="50"/>
    <n v="62.5"/>
    <n v="200"/>
    <x v="0"/>
    <s v="Valid"/>
    <n v="137.5"/>
  </r>
  <r>
    <n v="689"/>
    <x v="8"/>
    <d v="2022-10-16T00:00:00"/>
    <d v="1899-12-30T20:17:00"/>
    <n v="55"/>
    <s v="Male"/>
    <n v="57"/>
    <x v="2"/>
    <n v="2"/>
    <n v="50"/>
    <n v="52.5"/>
    <n v="100"/>
    <x v="0"/>
    <s v="Valid"/>
    <n v="47.5"/>
  </r>
  <r>
    <n v="1010"/>
    <x v="8"/>
    <d v="2022-10-21T00:00:00"/>
    <d v="1899-12-30T22:11:00"/>
    <n v="65"/>
    <s v="Female"/>
    <n v="52"/>
    <x v="1"/>
    <n v="4"/>
    <n v="50"/>
    <n v="54.5"/>
    <n v="200"/>
    <x v="0"/>
    <s v="Valid"/>
    <n v="145.5"/>
  </r>
  <r>
    <n v="1689"/>
    <x v="16"/>
    <d v="2023-12-19T00:00:00"/>
    <d v="1899-12-30T20:54:00"/>
    <n v="114"/>
    <s v="Male"/>
    <n v="57"/>
    <x v="2"/>
    <n v="2"/>
    <n v="50"/>
    <n v="47.5"/>
    <n v="100"/>
    <x v="0"/>
    <s v="Valid"/>
    <n v="52.5"/>
  </r>
  <r>
    <n v="428"/>
    <x v="10"/>
    <d v="2022-12-02T00:00:00"/>
    <d v="1899-12-30T22:44:00"/>
    <n v="50"/>
    <s v="Female"/>
    <n v="40"/>
    <x v="2"/>
    <n v="4"/>
    <n v="50"/>
    <n v="49.5"/>
    <n v="200"/>
    <x v="0"/>
    <s v="Valid"/>
    <n v="150.5"/>
  </r>
  <r>
    <n v="1428"/>
    <x v="22"/>
    <d v="2023-09-09T00:00:00"/>
    <d v="1899-12-30T18:44:00"/>
    <n v="96"/>
    <s v="Female"/>
    <n v="40"/>
    <x v="2"/>
    <n v="4"/>
    <n v="50"/>
    <n v="57"/>
    <n v="200"/>
    <x v="0"/>
    <s v="Valid"/>
    <n v="143"/>
  </r>
  <r>
    <n v="227"/>
    <x v="20"/>
    <d v="2023-11-15T00:00:00"/>
    <d v="1899-12-30T19:19:00"/>
    <n v="87"/>
    <s v="Male"/>
    <n v="36"/>
    <x v="2"/>
    <n v="2"/>
    <n v="50"/>
    <n v="50.5"/>
    <n v="100"/>
    <x v="0"/>
    <s v="Valid"/>
    <n v="49.5"/>
  </r>
  <r>
    <n v="546"/>
    <x v="10"/>
    <d v="2022-12-30T00:00:00"/>
    <d v="1899-12-30T22:32:00"/>
    <n v="57"/>
    <s v="Female"/>
    <n v="36"/>
    <x v="2"/>
    <n v="4"/>
    <n v="50"/>
    <n v="53.5"/>
    <n v="200"/>
    <x v="0"/>
    <s v="Valid"/>
    <n v="146.5"/>
  </r>
  <r>
    <n v="1227"/>
    <x v="12"/>
    <d v="2023-10-01T00:00:00"/>
    <d v="1899-12-30T20:09:00"/>
    <n v="103"/>
    <s v="Male"/>
    <n v="36"/>
    <x v="2"/>
    <n v="2"/>
    <n v="50"/>
    <n v="47.5"/>
    <n v="100"/>
    <x v="0"/>
    <s v="Valid"/>
    <n v="52.5"/>
  </r>
  <r>
    <n v="1546"/>
    <x v="10"/>
    <d v="2022-12-18T00:00:00"/>
    <d v="1899-12-30T19:06:00"/>
    <n v="93"/>
    <s v="Female"/>
    <n v="36"/>
    <x v="2"/>
    <n v="4"/>
    <n v="50"/>
    <n v="48"/>
    <n v="200"/>
    <x v="0"/>
    <s v="Valid"/>
    <n v="152"/>
  </r>
  <r>
    <n v="844"/>
    <x v="12"/>
    <d v="2023-10-09T00:00:00"/>
    <d v="1899-12-30T17:54:00"/>
    <n v="95"/>
    <s v="Male"/>
    <n v="35"/>
    <x v="1"/>
    <n v="3"/>
    <n v="50"/>
    <n v="62"/>
    <n v="150"/>
    <x v="0"/>
    <s v="Valid"/>
    <n v="88"/>
  </r>
  <r>
    <n v="1844"/>
    <x v="8"/>
    <d v="2022-10-25T00:00:00"/>
    <d v="1899-12-30T20:30:00"/>
    <n v="70"/>
    <s v="Male"/>
    <n v="35"/>
    <x v="1"/>
    <n v="3"/>
    <n v="50"/>
    <n v="50.5"/>
    <n v="150"/>
    <x v="0"/>
    <s v="Valid"/>
    <n v="99.5"/>
  </r>
  <r>
    <n v="627"/>
    <x v="8"/>
    <d v="2022-10-24T00:00:00"/>
    <d v="1899-12-30T18:14:00"/>
    <n v="79"/>
    <s v="Male"/>
    <n v="57"/>
    <x v="1"/>
    <n v="1"/>
    <n v="50"/>
    <n v="55.5"/>
    <n v="50"/>
    <x v="0"/>
    <s v="Valid"/>
    <n v="-5.5"/>
  </r>
  <r>
    <n v="1627"/>
    <x v="6"/>
    <d v="2022-11-18T00:00:00"/>
    <d v="1899-12-30T17:21:00"/>
    <n v="84"/>
    <s v="Male"/>
    <n v="57"/>
    <x v="1"/>
    <n v="1"/>
    <n v="50"/>
    <n v="60"/>
    <n v="50"/>
    <x v="0"/>
    <s v="Valid"/>
    <n v="-10"/>
  </r>
  <r>
    <n v="22"/>
    <x v="20"/>
    <d v="2023-11-25T00:00:00"/>
    <d v="1899-12-30T17:11:00"/>
    <n v="66"/>
    <s v="Male"/>
    <n v="18"/>
    <x v="1"/>
    <n v="2"/>
    <n v="50"/>
    <n v="60.5"/>
    <n v="100"/>
    <x v="0"/>
    <s v="Valid"/>
    <n v="39.5"/>
  </r>
  <r>
    <n v="121"/>
    <x v="12"/>
    <d v="2023-10-07T00:00:00"/>
    <d v="1899-12-30T18:57:00"/>
    <n v="110"/>
    <s v="Female"/>
    <n v="28"/>
    <x v="2"/>
    <n v="4"/>
    <n v="50"/>
    <n v="54.5"/>
    <n v="200"/>
    <x v="0"/>
    <s v="Valid"/>
    <n v="145.5"/>
  </r>
  <r>
    <n v="1022"/>
    <x v="22"/>
    <d v="2023-09-05T00:00:00"/>
    <d v="1899-12-30T17:49:00"/>
    <n v="69"/>
    <s v="Male"/>
    <n v="18"/>
    <x v="1"/>
    <n v="2"/>
    <n v="50"/>
    <n v="52.5"/>
    <n v="100"/>
    <x v="0"/>
    <s v="Valid"/>
    <n v="47.5"/>
  </r>
  <r>
    <n v="1121"/>
    <x v="6"/>
    <d v="2022-11-23T00:00:00"/>
    <d v="1899-12-30T21:10:00"/>
    <n v="95"/>
    <s v="Female"/>
    <n v="28"/>
    <x v="2"/>
    <n v="4"/>
    <n v="50"/>
    <n v="50.5"/>
    <n v="200"/>
    <x v="0"/>
    <s v="Valid"/>
    <n v="149.5"/>
  </r>
  <r>
    <n v="249"/>
    <x v="3"/>
    <d v="2022-09-28T00:00:00"/>
    <d v="1899-12-30T20:17:00"/>
    <n v="109"/>
    <s v="Male"/>
    <n v="20"/>
    <x v="1"/>
    <n v="1"/>
    <n v="50"/>
    <n v="53.5"/>
    <n v="50"/>
    <x v="0"/>
    <s v="Valid"/>
    <n v="-3.5"/>
  </r>
  <r>
    <n v="1249"/>
    <x v="10"/>
    <d v="2022-12-10T00:00:00"/>
    <d v="1899-12-30T21:44:00"/>
    <n v="95"/>
    <s v="Male"/>
    <n v="20"/>
    <x v="1"/>
    <n v="1"/>
    <n v="50"/>
    <n v="60"/>
    <n v="50"/>
    <x v="0"/>
    <s v="Valid"/>
    <n v="-10"/>
  </r>
  <r>
    <n v="922"/>
    <x v="12"/>
    <d v="2023-10-19T00:00:00"/>
    <d v="1899-12-30T22:54:00"/>
    <n v="103"/>
    <s v="Male"/>
    <n v="41"/>
    <x v="2"/>
    <n v="1"/>
    <n v="50"/>
    <n v="60.5"/>
    <n v="50"/>
    <x v="0"/>
    <s v="Valid"/>
    <n v="-10.5"/>
  </r>
  <r>
    <n v="1922"/>
    <x v="12"/>
    <d v="2023-10-28T00:00:00"/>
    <d v="1899-12-30T20:07:00"/>
    <n v="72"/>
    <s v="Male"/>
    <n v="41"/>
    <x v="2"/>
    <n v="1"/>
    <n v="50"/>
    <n v="48.5"/>
    <n v="50"/>
    <x v="0"/>
    <s v="Valid"/>
    <n v="1.5"/>
  </r>
  <r>
    <n v="770"/>
    <x v="10"/>
    <d v="2022-12-11T00:00:00"/>
    <d v="1899-12-30T22:49:00"/>
    <n v="71"/>
    <s v="Male"/>
    <n v="32"/>
    <x v="1"/>
    <n v="1"/>
    <n v="50"/>
    <n v="55"/>
    <n v="50"/>
    <x v="0"/>
    <s v="Valid"/>
    <n v="-5"/>
  </r>
  <r>
    <n v="1770"/>
    <x v="20"/>
    <d v="2023-11-30T00:00:00"/>
    <d v="1899-12-30T20:08:00"/>
    <n v="65"/>
    <s v="Male"/>
    <n v="32"/>
    <x v="1"/>
    <n v="1"/>
    <n v="50"/>
    <n v="56"/>
    <n v="50"/>
    <x v="0"/>
    <s v="Valid"/>
    <n v="-6"/>
  </r>
  <r>
    <n v="60"/>
    <x v="10"/>
    <d v="2022-12-04T00:00:00"/>
    <d v="1899-12-30T18:15:00"/>
    <n v="91"/>
    <s v="Male"/>
    <n v="30"/>
    <x v="0"/>
    <n v="3"/>
    <n v="50"/>
    <n v="60.5"/>
    <n v="150"/>
    <x v="0"/>
    <s v="Valid"/>
    <n v="89.5"/>
  </r>
  <r>
    <n v="250"/>
    <x v="10"/>
    <d v="2022-12-24T00:00:00"/>
    <d v="1899-12-30T23:00:00"/>
    <n v="91"/>
    <s v="Male"/>
    <n v="48"/>
    <x v="2"/>
    <n v="1"/>
    <n v="50"/>
    <n v="60.5"/>
    <n v="50"/>
    <x v="0"/>
    <s v="Valid"/>
    <n v="-10.5"/>
  </r>
  <r>
    <n v="1060"/>
    <x v="6"/>
    <d v="2022-11-12T00:00:00"/>
    <d v="1899-12-30T18:29:00"/>
    <n v="71"/>
    <s v="Male"/>
    <n v="30"/>
    <x v="0"/>
    <n v="3"/>
    <n v="50"/>
    <n v="57"/>
    <n v="150"/>
    <x v="0"/>
    <s v="Valid"/>
    <n v="93"/>
  </r>
  <r>
    <n v="1250"/>
    <x v="6"/>
    <d v="2022-11-19T00:00:00"/>
    <d v="1899-12-30T20:39:00"/>
    <n v="96"/>
    <s v="Male"/>
    <n v="48"/>
    <x v="2"/>
    <n v="1"/>
    <n v="50"/>
    <n v="48.5"/>
    <n v="50"/>
    <x v="0"/>
    <s v="Valid"/>
    <n v="1.5"/>
  </r>
  <r>
    <n v="564"/>
    <x v="22"/>
    <d v="2023-09-12T00:00:00"/>
    <d v="1899-12-30T20:14:00"/>
    <n v="114"/>
    <s v="Male"/>
    <n v="50"/>
    <x v="2"/>
    <n v="2"/>
    <n v="50"/>
    <n v="55.5"/>
    <n v="100"/>
    <x v="0"/>
    <s v="Valid"/>
    <n v="44.5"/>
  </r>
  <r>
    <n v="1564"/>
    <x v="8"/>
    <d v="2022-10-04T00:00:00"/>
    <d v="1899-12-30T22:55:00"/>
    <n v="115"/>
    <s v="Male"/>
    <n v="50"/>
    <x v="2"/>
    <n v="2"/>
    <n v="50"/>
    <n v="49.5"/>
    <n v="100"/>
    <x v="0"/>
    <s v="Valid"/>
    <n v="50.5"/>
  </r>
  <r>
    <n v="349"/>
    <x v="16"/>
    <d v="2023-12-04T00:00:00"/>
    <d v="1899-12-30T17:05:00"/>
    <n v="78"/>
    <s v="Female"/>
    <n v="57"/>
    <x v="0"/>
    <n v="1"/>
    <n v="50"/>
    <n v="48.5"/>
    <n v="50"/>
    <x v="0"/>
    <s v="Valid"/>
    <n v="1.5"/>
  </r>
  <r>
    <n v="1349"/>
    <x v="16"/>
    <d v="2023-12-08T00:00:00"/>
    <d v="1899-12-30T21:57:00"/>
    <n v="112"/>
    <s v="Female"/>
    <n v="57"/>
    <x v="0"/>
    <n v="1"/>
    <n v="50"/>
    <n v="49.5"/>
    <n v="50"/>
    <x v="0"/>
    <s v="Valid"/>
    <n v="0.5"/>
  </r>
  <r>
    <n v="324"/>
    <x v="6"/>
    <d v="2022-11-15T00:00:00"/>
    <d v="1899-12-30T17:52:00"/>
    <n v="54"/>
    <s v="Female"/>
    <n v="52"/>
    <x v="2"/>
    <n v="3"/>
    <n v="50"/>
    <n v="49"/>
    <n v="150"/>
    <x v="0"/>
    <s v="Valid"/>
    <n v="101"/>
  </r>
  <r>
    <n v="1324"/>
    <x v="22"/>
    <d v="2023-09-25T00:00:00"/>
    <d v="1899-12-30T20:29:00"/>
    <n v="56"/>
    <s v="Female"/>
    <n v="52"/>
    <x v="2"/>
    <n v="3"/>
    <n v="50"/>
    <n v="55"/>
    <n v="150"/>
    <x v="0"/>
    <s v="Valid"/>
    <n v="95"/>
  </r>
  <r>
    <n v="226"/>
    <x v="3"/>
    <d v="2022-09-23T00:00:00"/>
    <d v="1899-12-30T17:02:00"/>
    <n v="69"/>
    <s v="Female"/>
    <n v="61"/>
    <x v="1"/>
    <n v="1"/>
    <n v="50"/>
    <n v="57.5"/>
    <n v="50"/>
    <x v="0"/>
    <s v="Valid"/>
    <n v="-7.5"/>
  </r>
  <r>
    <n v="1226"/>
    <x v="20"/>
    <d v="2023-11-30T00:00:00"/>
    <d v="1899-12-30T17:52:00"/>
    <n v="102"/>
    <s v="Female"/>
    <n v="61"/>
    <x v="1"/>
    <n v="1"/>
    <n v="50"/>
    <n v="51"/>
    <n v="50"/>
    <x v="0"/>
    <s v="Valid"/>
    <n v="-1"/>
  </r>
  <r>
    <n v="817"/>
    <x v="8"/>
    <d v="2022-10-05T00:00:00"/>
    <d v="1899-12-30T21:12:00"/>
    <n v="87"/>
    <s v="Male"/>
    <n v="30"/>
    <x v="0"/>
    <n v="4"/>
    <n v="50"/>
    <n v="49"/>
    <n v="200"/>
    <x v="0"/>
    <s v="Valid"/>
    <n v="151"/>
  </r>
  <r>
    <n v="1817"/>
    <x v="3"/>
    <d v="2022-09-11T00:00:00"/>
    <d v="1899-12-30T21:22:00"/>
    <n v="82"/>
    <s v="Male"/>
    <n v="30"/>
    <x v="0"/>
    <n v="4"/>
    <n v="50"/>
    <n v="50"/>
    <n v="200"/>
    <x v="0"/>
    <s v="Valid"/>
    <n v="150"/>
  </r>
  <r>
    <n v="628"/>
    <x v="16"/>
    <d v="2023-12-23T00:00:00"/>
    <d v="1899-12-30T18:00:00"/>
    <n v="66"/>
    <s v="Female"/>
    <n v="19"/>
    <x v="0"/>
    <n v="4"/>
    <n v="50"/>
    <n v="59.5"/>
    <n v="200"/>
    <x v="0"/>
    <s v="Valid"/>
    <n v="140.5"/>
  </r>
  <r>
    <n v="1628"/>
    <x v="10"/>
    <d v="2022-12-28T00:00:00"/>
    <d v="1899-12-30T22:23:00"/>
    <n v="51"/>
    <s v="Female"/>
    <n v="19"/>
    <x v="0"/>
    <n v="4"/>
    <n v="50"/>
    <n v="58.5"/>
    <n v="200"/>
    <x v="0"/>
    <s v="Valid"/>
    <n v="141.5"/>
  </r>
  <r>
    <n v="141"/>
    <x v="6"/>
    <d v="2022-11-01T00:00:00"/>
    <d v="1899-12-30T19:26:00"/>
    <n v="54"/>
    <s v="Female"/>
    <n v="22"/>
    <x v="2"/>
    <n v="1"/>
    <n v="50"/>
    <n v="59"/>
    <n v="50"/>
    <x v="0"/>
    <s v="Valid"/>
    <n v="-9"/>
  </r>
  <r>
    <n v="951"/>
    <x v="3"/>
    <d v="2022-09-18T00:00:00"/>
    <d v="1899-12-30T21:35:00"/>
    <n v="58"/>
    <s v="Male"/>
    <n v="33"/>
    <x v="0"/>
    <n v="2"/>
    <n v="50"/>
    <n v="57.5"/>
    <n v="100"/>
    <x v="0"/>
    <s v="Valid"/>
    <n v="42.5"/>
  </r>
  <r>
    <n v="1141"/>
    <x v="22"/>
    <d v="2023-09-17T00:00:00"/>
    <d v="1899-12-30T19:13:00"/>
    <n v="65"/>
    <s v="Female"/>
    <n v="22"/>
    <x v="2"/>
    <n v="1"/>
    <n v="50"/>
    <n v="58"/>
    <n v="50"/>
    <x v="0"/>
    <s v="Valid"/>
    <n v="-8"/>
  </r>
  <r>
    <n v="1951"/>
    <x v="10"/>
    <d v="2022-12-03T00:00:00"/>
    <d v="1899-12-30T18:56:00"/>
    <n v="54"/>
    <s v="Male"/>
    <n v="33"/>
    <x v="0"/>
    <n v="2"/>
    <n v="50"/>
    <n v="59.5"/>
    <n v="100"/>
    <x v="0"/>
    <s v="Valid"/>
    <n v="40.5"/>
  </r>
  <r>
    <n v="965"/>
    <x v="6"/>
    <d v="2022-11-27T00:00:00"/>
    <d v="1899-12-30T21:45:00"/>
    <n v="84"/>
    <s v="Male"/>
    <n v="22"/>
    <x v="1"/>
    <n v="4"/>
    <n v="50"/>
    <n v="13"/>
    <n v="200"/>
    <x v="0"/>
    <s v="Valid"/>
    <n v="187"/>
  </r>
  <r>
    <n v="1965"/>
    <x v="10"/>
    <d v="2022-12-12T00:00:00"/>
    <d v="1899-12-30T20:03:00"/>
    <n v="93"/>
    <s v="Male"/>
    <n v="22"/>
    <x v="1"/>
    <n v="4"/>
    <n v="50"/>
    <n v="21.5"/>
    <n v="200"/>
    <x v="0"/>
    <s v="Valid"/>
    <n v="178.5"/>
  </r>
  <r>
    <n v="554"/>
    <x v="10"/>
    <d v="2022-12-06T00:00:00"/>
    <d v="1899-12-30T21:04:00"/>
    <n v="94"/>
    <s v="Female"/>
    <n v="46"/>
    <x v="0"/>
    <n v="3"/>
    <n v="50"/>
    <n v="13"/>
    <n v="150"/>
    <x v="0"/>
    <s v="Valid"/>
    <n v="137"/>
  </r>
  <r>
    <n v="1554"/>
    <x v="20"/>
    <d v="2023-11-27T00:00:00"/>
    <d v="1899-12-30T19:55:00"/>
    <n v="83"/>
    <s v="Female"/>
    <n v="46"/>
    <x v="0"/>
    <n v="3"/>
    <n v="50"/>
    <n v="15.5"/>
    <n v="150"/>
    <x v="0"/>
    <s v="Valid"/>
    <n v="134.5"/>
  </r>
  <r>
    <n v="963"/>
    <x v="12"/>
    <d v="2023-10-19T00:00:00"/>
    <d v="1899-12-30T18:24:00"/>
    <n v="76"/>
    <s v="Female"/>
    <n v="55"/>
    <x v="0"/>
    <n v="1"/>
    <n v="50"/>
    <n v="13"/>
    <n v="50"/>
    <x v="0"/>
    <s v="Valid"/>
    <n v="37"/>
  </r>
  <r>
    <n v="1963"/>
    <x v="10"/>
    <d v="2022-12-12T00:00:00"/>
    <d v="1899-12-30T20:56:00"/>
    <n v="115"/>
    <s v="Female"/>
    <n v="55"/>
    <x v="0"/>
    <n v="1"/>
    <n v="50"/>
    <n v="20.5"/>
    <n v="50"/>
    <x v="0"/>
    <s v="Valid"/>
    <n v="29.5"/>
  </r>
  <r>
    <n v="599"/>
    <x v="16"/>
    <d v="2023-12-10T00:00:00"/>
    <d v="1899-12-30T19:07:00"/>
    <n v="82"/>
    <s v="Female"/>
    <n v="28"/>
    <x v="0"/>
    <n v="2"/>
    <n v="50"/>
    <n v="24.5"/>
    <n v="100"/>
    <x v="0"/>
    <s v="Valid"/>
    <n v="75.5"/>
  </r>
  <r>
    <n v="938"/>
    <x v="3"/>
    <d v="2022-09-16T00:00:00"/>
    <d v="1899-12-30T17:55:00"/>
    <n v="103"/>
    <s v="Male"/>
    <n v="49"/>
    <x v="1"/>
    <n v="4"/>
    <n v="50"/>
    <n v="23"/>
    <n v="200"/>
    <x v="0"/>
    <s v="Valid"/>
    <n v="177"/>
  </r>
  <r>
    <n v="1599"/>
    <x v="8"/>
    <d v="2022-10-24T00:00:00"/>
    <d v="1899-12-30T17:23:00"/>
    <n v="110"/>
    <s v="Female"/>
    <n v="28"/>
    <x v="0"/>
    <n v="2"/>
    <n v="50"/>
    <n v="20.5"/>
    <n v="100"/>
    <x v="0"/>
    <s v="Valid"/>
    <n v="79.5"/>
  </r>
  <r>
    <n v="1938"/>
    <x v="8"/>
    <d v="2022-10-12T00:00:00"/>
    <d v="1899-12-30T20:15:00"/>
    <n v="76"/>
    <s v="Male"/>
    <n v="49"/>
    <x v="1"/>
    <n v="4"/>
    <n v="50"/>
    <n v="13.5"/>
    <n v="200"/>
    <x v="0"/>
    <s v="Valid"/>
    <n v="186.5"/>
  </r>
  <r>
    <n v="410"/>
    <x v="12"/>
    <d v="2023-10-31T00:00:00"/>
    <d v="1899-12-30T19:41:00"/>
    <n v="64"/>
    <s v="Female"/>
    <n v="29"/>
    <x v="1"/>
    <n v="2"/>
    <n v="50"/>
    <n v="14.5"/>
    <n v="100"/>
    <x v="0"/>
    <s v="Valid"/>
    <n v="85.5"/>
  </r>
  <r>
    <n v="1410"/>
    <x v="8"/>
    <d v="2022-10-16T00:00:00"/>
    <d v="1899-12-30T18:47:00"/>
    <n v="72"/>
    <s v="Female"/>
    <n v="29"/>
    <x v="1"/>
    <n v="2"/>
    <n v="50"/>
    <n v="22.5"/>
    <n v="100"/>
    <x v="0"/>
    <s v="Valid"/>
    <n v="77.5"/>
  </r>
  <r>
    <n v="87"/>
    <x v="3"/>
    <d v="2022-09-07T00:00:00"/>
    <d v="1899-12-30T18:09:00"/>
    <n v="104"/>
    <s v="Female"/>
    <n v="28"/>
    <x v="0"/>
    <n v="2"/>
    <n v="50"/>
    <n v="15.5"/>
    <n v="100"/>
    <x v="0"/>
    <s v="Valid"/>
    <n v="84.5"/>
  </r>
  <r>
    <n v="1087"/>
    <x v="6"/>
    <d v="2022-11-08T00:00:00"/>
    <d v="1899-12-30T23:00:00"/>
    <n v="81"/>
    <s v="Female"/>
    <n v="28"/>
    <x v="0"/>
    <n v="2"/>
    <n v="50"/>
    <n v="15"/>
    <n v="100"/>
    <x v="0"/>
    <s v="Valid"/>
    <n v="85"/>
  </r>
  <r>
    <n v="1"/>
    <x v="10"/>
    <d v="2022-12-16T00:00:00"/>
    <d v="1899-12-30T19:10:00"/>
    <n v="50"/>
    <s v="Male"/>
    <n v="34"/>
    <x v="0"/>
    <n v="3"/>
    <n v="50"/>
    <n v="16"/>
    <n v="150"/>
    <x v="0"/>
    <s v="Valid"/>
    <n v="134"/>
  </r>
  <r>
    <n v="1001"/>
    <x v="22"/>
    <d v="2023-09-01T00:00:00"/>
    <d v="1899-12-30T20:11:00"/>
    <n v="99"/>
    <s v="Male"/>
    <n v="34"/>
    <x v="0"/>
    <n v="3"/>
    <n v="50"/>
    <n v="22"/>
    <n v="150"/>
    <x v="0"/>
    <s v="Valid"/>
    <n v="128"/>
  </r>
  <r>
    <n v="258"/>
    <x v="16"/>
    <d v="2023-12-29T00:00:00"/>
    <d v="1899-12-30T17:40:00"/>
    <n v="109"/>
    <s v="Female"/>
    <n v="37"/>
    <x v="1"/>
    <n v="1"/>
    <n v="50"/>
    <n v="22"/>
    <n v="50"/>
    <x v="0"/>
    <s v="Valid"/>
    <n v="28"/>
  </r>
  <r>
    <n v="576"/>
    <x v="16"/>
    <d v="2023-12-25T00:00:00"/>
    <d v="1899-12-30T17:30:00"/>
    <n v="113"/>
    <s v="Female"/>
    <n v="33"/>
    <x v="0"/>
    <n v="3"/>
    <n v="50"/>
    <n v="20"/>
    <n v="150"/>
    <x v="0"/>
    <s v="Valid"/>
    <n v="130"/>
  </r>
  <r>
    <n v="1258"/>
    <x v="10"/>
    <d v="2022-12-03T00:00:00"/>
    <d v="1899-12-30T20:27:00"/>
    <n v="64"/>
    <s v="Female"/>
    <n v="37"/>
    <x v="1"/>
    <n v="1"/>
    <n v="50"/>
    <n v="21.5"/>
    <n v="50"/>
    <x v="0"/>
    <s v="Valid"/>
    <n v="28.5"/>
  </r>
  <r>
    <n v="1576"/>
    <x v="10"/>
    <d v="2022-12-14T00:00:00"/>
    <d v="1899-12-30T18:34:00"/>
    <n v="108"/>
    <s v="Female"/>
    <n v="33"/>
    <x v="0"/>
    <n v="3"/>
    <n v="50"/>
    <n v="27.5"/>
    <n v="150"/>
    <x v="0"/>
    <s v="Valid"/>
    <n v="122.5"/>
  </r>
  <r>
    <n v="971"/>
    <x v="16"/>
    <d v="2023-12-30T00:00:00"/>
    <d v="1899-12-30T16:50:00"/>
    <n v="64"/>
    <s v="Female"/>
    <n v="27"/>
    <x v="2"/>
    <n v="4"/>
    <n v="50"/>
    <n v="26.5"/>
    <n v="200"/>
    <x v="0"/>
    <s v="Valid"/>
    <n v="173.5"/>
  </r>
  <r>
    <n v="999"/>
    <x v="10"/>
    <d v="2022-12-14T00:00:00"/>
    <d v="1899-12-30T16:45:00"/>
    <n v="110"/>
    <s v="Female"/>
    <n v="36"/>
    <x v="2"/>
    <n v="3"/>
    <n v="50"/>
    <n v="21.5"/>
    <n v="150"/>
    <x v="0"/>
    <s v="Valid"/>
    <n v="128.5"/>
  </r>
  <r>
    <n v="1971"/>
    <x v="3"/>
    <d v="2022-09-12T00:00:00"/>
    <d v="1899-12-30T16:19:00"/>
    <n v="90"/>
    <s v="Female"/>
    <n v="27"/>
    <x v="2"/>
    <n v="4"/>
    <n v="50"/>
    <n v="19"/>
    <n v="200"/>
    <x v="0"/>
    <s v="Valid"/>
    <n v="181"/>
  </r>
  <r>
    <n v="1999"/>
    <x v="6"/>
    <d v="2022-11-12T00:00:00"/>
    <d v="1899-12-30T13:06:00"/>
    <n v="61"/>
    <s v="Female"/>
    <n v="36"/>
    <x v="2"/>
    <n v="3"/>
    <n v="50"/>
    <n v="13"/>
    <n v="150"/>
    <x v="0"/>
    <s v="Valid"/>
    <n v="137"/>
  </r>
  <r>
    <n v="244"/>
    <x v="22"/>
    <d v="2023-09-14T00:00:00"/>
    <d v="1899-12-30T13:57:00"/>
    <n v="101"/>
    <s v="Male"/>
    <n v="28"/>
    <x v="0"/>
    <n v="2"/>
    <n v="50"/>
    <n v="20.5"/>
    <n v="100"/>
    <x v="0"/>
    <s v="Valid"/>
    <n v="79.5"/>
  </r>
  <r>
    <n v="752"/>
    <x v="22"/>
    <d v="2023-09-20T00:00:00"/>
    <d v="1899-12-30T16:06:00"/>
    <n v="79"/>
    <s v="Male"/>
    <n v="29"/>
    <x v="1"/>
    <n v="2"/>
    <n v="50"/>
    <n v="13"/>
    <n v="100"/>
    <x v="0"/>
    <s v="Valid"/>
    <n v="87"/>
  </r>
  <r>
    <n v="1244"/>
    <x v="10"/>
    <d v="2022-12-11T00:00:00"/>
    <d v="1899-12-30T16:47:00"/>
    <n v="100"/>
    <s v="Male"/>
    <n v="28"/>
    <x v="0"/>
    <n v="2"/>
    <n v="50"/>
    <n v="19.5"/>
    <n v="100"/>
    <x v="0"/>
    <s v="Valid"/>
    <n v="80.5"/>
  </r>
  <r>
    <n v="1752"/>
    <x v="12"/>
    <d v="2023-10-21T00:00:00"/>
    <d v="1899-12-30T13:01:00"/>
    <n v="79"/>
    <s v="Male"/>
    <n v="29"/>
    <x v="1"/>
    <n v="2"/>
    <n v="50"/>
    <n v="14.5"/>
    <n v="100"/>
    <x v="0"/>
    <s v="Valid"/>
    <n v="85.5"/>
  </r>
  <r>
    <n v="526"/>
    <x v="6"/>
    <d v="2022-11-19T00:00:00"/>
    <d v="1899-12-30T12:47:00"/>
    <n v="65"/>
    <s v="Male"/>
    <n v="33"/>
    <x v="1"/>
    <n v="2"/>
    <n v="50"/>
    <n v="19.5"/>
    <n v="100"/>
    <x v="0"/>
    <s v="Valid"/>
    <n v="80.5"/>
  </r>
  <r>
    <n v="1526"/>
    <x v="3"/>
    <d v="2022-09-25T00:00:00"/>
    <d v="1899-12-30T15:06:00"/>
    <n v="84"/>
    <s v="Male"/>
    <n v="33"/>
    <x v="1"/>
    <n v="2"/>
    <n v="50"/>
    <n v="26.5"/>
    <n v="100"/>
    <x v="0"/>
    <s v="Valid"/>
    <n v="73.5"/>
  </r>
  <r>
    <n v="586"/>
    <x v="16"/>
    <d v="2023-12-20T00:00:00"/>
    <d v="1899-12-30T14:57:00"/>
    <n v="84"/>
    <s v="Male"/>
    <n v="50"/>
    <x v="2"/>
    <n v="1"/>
    <n v="50"/>
    <n v="21.5"/>
    <n v="50"/>
    <x v="0"/>
    <s v="Valid"/>
    <n v="28.5"/>
  </r>
  <r>
    <n v="1586"/>
    <x v="6"/>
    <d v="2022-11-04T00:00:00"/>
    <d v="1899-12-30T16:25:00"/>
    <n v="59"/>
    <s v="Male"/>
    <n v="50"/>
    <x v="2"/>
    <n v="1"/>
    <n v="50"/>
    <n v="14"/>
    <n v="50"/>
    <x v="0"/>
    <s v="Valid"/>
    <n v="36"/>
  </r>
  <r>
    <n v="336"/>
    <x v="20"/>
    <d v="2023-11-04T00:00:00"/>
    <d v="1899-12-30T13:05:00"/>
    <n v="67"/>
    <s v="Female"/>
    <n v="52"/>
    <x v="0"/>
    <n v="3"/>
    <n v="50"/>
    <n v="25"/>
    <n v="150"/>
    <x v="0"/>
    <s v="Valid"/>
    <n v="125"/>
  </r>
  <r>
    <n v="571"/>
    <x v="8"/>
    <d v="2022-10-20T00:00:00"/>
    <d v="1899-12-30T12:51:00"/>
    <n v="87"/>
    <s v="Female"/>
    <n v="41"/>
    <x v="2"/>
    <n v="1"/>
    <n v="50"/>
    <n v="16"/>
    <n v="50"/>
    <x v="0"/>
    <s v="Valid"/>
    <n v="34"/>
  </r>
  <r>
    <n v="1336"/>
    <x v="3"/>
    <d v="2022-09-23T00:00:00"/>
    <d v="1899-12-30T13:27:00"/>
    <n v="74"/>
    <s v="Female"/>
    <n v="52"/>
    <x v="0"/>
    <n v="3"/>
    <n v="50"/>
    <n v="21.5"/>
    <n v="150"/>
    <x v="0"/>
    <s v="Valid"/>
    <n v="128.5"/>
  </r>
  <r>
    <n v="1571"/>
    <x v="6"/>
    <d v="2022-11-08T00:00:00"/>
    <d v="1899-12-30T14:55:00"/>
    <n v="105"/>
    <s v="Female"/>
    <n v="41"/>
    <x v="2"/>
    <n v="1"/>
    <n v="50"/>
    <n v="25"/>
    <n v="50"/>
    <x v="0"/>
    <s v="Valid"/>
    <n v="25"/>
  </r>
  <r>
    <n v="151"/>
    <x v="12"/>
    <d v="2023-10-12T00:00:00"/>
    <d v="1899-12-30T15:49:00"/>
    <n v="108"/>
    <s v="Male"/>
    <n v="29"/>
    <x v="1"/>
    <n v="1"/>
    <n v="50"/>
    <n v="18"/>
    <n v="50"/>
    <x v="0"/>
    <s v="Valid"/>
    <n v="32"/>
  </r>
  <r>
    <n v="1151"/>
    <x v="10"/>
    <d v="2022-12-12T00:00:00"/>
    <d v="1899-12-30T14:48:00"/>
    <n v="99"/>
    <s v="Male"/>
    <n v="29"/>
    <x v="1"/>
    <n v="1"/>
    <n v="50"/>
    <n v="26"/>
    <n v="50"/>
    <x v="0"/>
    <s v="Valid"/>
    <n v="24"/>
  </r>
  <r>
    <n v="83"/>
    <x v="6"/>
    <d v="2022-11-27T00:00:00"/>
    <d v="1899-12-30T15:57:00"/>
    <n v="56"/>
    <s v="Male"/>
    <n v="54"/>
    <x v="2"/>
    <n v="2"/>
    <n v="50"/>
    <n v="16.5"/>
    <n v="100"/>
    <x v="0"/>
    <s v="Valid"/>
    <n v="83.5"/>
  </r>
  <r>
    <n v="1083"/>
    <x v="3"/>
    <d v="2022-09-30T00:00:00"/>
    <d v="1899-12-30T15:46:00"/>
    <n v="99"/>
    <s v="Male"/>
    <n v="54"/>
    <x v="2"/>
    <n v="2"/>
    <n v="50"/>
    <n v="17.5"/>
    <n v="100"/>
    <x v="0"/>
    <s v="Valid"/>
    <n v="82.5"/>
  </r>
  <r>
    <n v="609"/>
    <x v="20"/>
    <d v="2023-11-19T00:00:00"/>
    <d v="1899-12-30T13:02:00"/>
    <n v="59"/>
    <s v="Female"/>
    <n v="47"/>
    <x v="1"/>
    <n v="2"/>
    <n v="50"/>
    <n v="13"/>
    <n v="100"/>
    <x v="0"/>
    <s v="Valid"/>
    <n v="87"/>
  </r>
  <r>
    <n v="1609"/>
    <x v="12"/>
    <d v="2023-10-05T00:00:00"/>
    <d v="1899-12-30T13:58:00"/>
    <n v="81"/>
    <s v="Female"/>
    <n v="47"/>
    <x v="1"/>
    <n v="2"/>
    <n v="50"/>
    <n v="22.5"/>
    <n v="100"/>
    <x v="0"/>
    <s v="Valid"/>
    <n v="77.5"/>
  </r>
  <r>
    <n v="209"/>
    <x v="3"/>
    <d v="2022-09-03T00:00:00"/>
    <d v="1899-12-30T12:22:00"/>
    <n v="61"/>
    <s v="Female"/>
    <n v="30"/>
    <x v="2"/>
    <n v="4"/>
    <n v="50"/>
    <n v="14"/>
    <n v="200"/>
    <x v="0"/>
    <s v="Valid"/>
    <n v="186"/>
  </r>
  <r>
    <n v="777"/>
    <x v="3"/>
    <d v="2022-09-10T00:00:00"/>
    <d v="1899-12-30T15:07:00"/>
    <n v="54"/>
    <s v="Male"/>
    <n v="48"/>
    <x v="2"/>
    <n v="3"/>
    <n v="50"/>
    <n v="17"/>
    <n v="150"/>
    <x v="0"/>
    <s v="Valid"/>
    <n v="133"/>
  </r>
  <r>
    <n v="854"/>
    <x v="8"/>
    <d v="2022-10-01T00:00:00"/>
    <d v="1899-12-30T15:42:00"/>
    <n v="84"/>
    <s v="Male"/>
    <n v="29"/>
    <x v="1"/>
    <n v="1"/>
    <n v="50"/>
    <n v="22"/>
    <n v="50"/>
    <x v="0"/>
    <s v="Valid"/>
    <n v="28"/>
  </r>
  <r>
    <n v="1209"/>
    <x v="10"/>
    <d v="2022-12-06T00:00:00"/>
    <d v="1899-12-30T12:37:00"/>
    <n v="55"/>
    <s v="Female"/>
    <n v="30"/>
    <x v="2"/>
    <n v="4"/>
    <n v="50"/>
    <n v="23"/>
    <n v="200"/>
    <x v="0"/>
    <s v="Valid"/>
    <n v="177"/>
  </r>
  <r>
    <n v="1777"/>
    <x v="20"/>
    <d v="2023-11-15T00:00:00"/>
    <d v="1899-12-30T12:06:00"/>
    <n v="74"/>
    <s v="Male"/>
    <n v="48"/>
    <x v="2"/>
    <n v="3"/>
    <n v="50"/>
    <n v="19.5"/>
    <n v="150"/>
    <x v="0"/>
    <s v="Valid"/>
    <n v="130.5"/>
  </r>
  <r>
    <n v="1854"/>
    <x v="20"/>
    <d v="2023-11-25T00:00:00"/>
    <d v="1899-12-30T16:53:00"/>
    <n v="109"/>
    <s v="Male"/>
    <n v="29"/>
    <x v="1"/>
    <n v="1"/>
    <n v="50"/>
    <n v="22.5"/>
    <n v="50"/>
    <x v="0"/>
    <s v="Valid"/>
    <n v="27.5"/>
  </r>
  <r>
    <n v="34"/>
    <x v="22"/>
    <d v="2023-09-24T00:00:00"/>
    <d v="1899-12-30T13:26:00"/>
    <n v="87"/>
    <s v="Female"/>
    <n v="51"/>
    <x v="1"/>
    <n v="3"/>
    <n v="50"/>
    <n v="17"/>
    <n v="150"/>
    <x v="0"/>
    <s v="Valid"/>
    <n v="133"/>
  </r>
  <r>
    <n v="916"/>
    <x v="16"/>
    <d v="2023-12-05T00:00:00"/>
    <d v="1899-12-30T12:56:00"/>
    <n v="68"/>
    <s v="Female"/>
    <n v="32"/>
    <x v="2"/>
    <n v="1"/>
    <n v="50"/>
    <n v="26"/>
    <n v="50"/>
    <x v="0"/>
    <s v="Valid"/>
    <n v="24"/>
  </r>
  <r>
    <n v="1034"/>
    <x v="6"/>
    <d v="2022-11-13T00:00:00"/>
    <d v="1899-12-30T14:48:00"/>
    <n v="52"/>
    <s v="Female"/>
    <n v="51"/>
    <x v="1"/>
    <n v="3"/>
    <n v="50"/>
    <n v="24.5"/>
    <n v="150"/>
    <x v="0"/>
    <s v="Valid"/>
    <n v="125.5"/>
  </r>
  <r>
    <n v="1916"/>
    <x v="6"/>
    <d v="2022-11-08T00:00:00"/>
    <d v="1899-12-30T12:40:00"/>
    <n v="102"/>
    <s v="Female"/>
    <n v="32"/>
    <x v="2"/>
    <n v="1"/>
    <n v="50"/>
    <n v="16.5"/>
    <n v="50"/>
    <x v="0"/>
    <s v="Valid"/>
    <n v="33.5"/>
  </r>
  <r>
    <n v="25"/>
    <x v="6"/>
    <d v="2022-11-20T00:00:00"/>
    <d v="1899-12-30T14:32:00"/>
    <n v="61"/>
    <s v="Female"/>
    <n v="64"/>
    <x v="0"/>
    <n v="1"/>
    <n v="50"/>
    <n v="19"/>
    <n v="50"/>
    <x v="0"/>
    <s v="Valid"/>
    <n v="31"/>
  </r>
  <r>
    <n v="82"/>
    <x v="3"/>
    <d v="2022-09-08T00:00:00"/>
    <d v="1899-12-30T12:55:00"/>
    <n v="85"/>
    <s v="Female"/>
    <n v="32"/>
    <x v="0"/>
    <n v="4"/>
    <n v="50"/>
    <n v="15"/>
    <n v="200"/>
    <x v="0"/>
    <s v="Valid"/>
    <n v="185"/>
  </r>
  <r>
    <n v="991"/>
    <x v="22"/>
    <d v="2023-09-14T00:00:00"/>
    <d v="1899-12-30T14:28:00"/>
    <n v="110"/>
    <s v="Female"/>
    <n v="34"/>
    <x v="1"/>
    <n v="2"/>
    <n v="50"/>
    <n v="19.5"/>
    <n v="100"/>
    <x v="0"/>
    <s v="Valid"/>
    <n v="80.5"/>
  </r>
  <r>
    <n v="1025"/>
    <x v="6"/>
    <d v="2022-11-12T00:00:00"/>
    <d v="1899-12-30T16:41:00"/>
    <n v="103"/>
    <s v="Female"/>
    <n v="64"/>
    <x v="0"/>
    <n v="1"/>
    <n v="50"/>
    <n v="16.5"/>
    <n v="50"/>
    <x v="0"/>
    <s v="Valid"/>
    <n v="33.5"/>
  </r>
  <r>
    <n v="1082"/>
    <x v="8"/>
    <d v="2022-10-22T00:00:00"/>
    <d v="1899-12-30T15:56:00"/>
    <n v="111"/>
    <s v="Female"/>
    <n v="32"/>
    <x v="0"/>
    <n v="4"/>
    <n v="50"/>
    <n v="27.5"/>
    <n v="200"/>
    <x v="0"/>
    <s v="Valid"/>
    <n v="172.5"/>
  </r>
  <r>
    <n v="1991"/>
    <x v="10"/>
    <d v="2022-12-04T00:00:00"/>
    <d v="1899-12-30T13:11:00"/>
    <n v="96"/>
    <s v="Female"/>
    <n v="34"/>
    <x v="1"/>
    <n v="2"/>
    <n v="50"/>
    <n v="14.5"/>
    <n v="100"/>
    <x v="0"/>
    <s v="Valid"/>
    <n v="85.5"/>
  </r>
  <r>
    <n v="62"/>
    <x v="22"/>
    <d v="2023-09-16T00:00:00"/>
    <d v="1899-12-30T12:54:00"/>
    <n v="50"/>
    <s v="Male"/>
    <n v="18"/>
    <x v="0"/>
    <n v="2"/>
    <n v="50"/>
    <n v="26.5"/>
    <n v="100"/>
    <x v="0"/>
    <s v="Valid"/>
    <n v="73.5"/>
  </r>
  <r>
    <n v="1062"/>
    <x v="10"/>
    <d v="2022-12-20T00:00:00"/>
    <d v="1899-12-30T16:05:00"/>
    <n v="69"/>
    <s v="Male"/>
    <n v="18"/>
    <x v="0"/>
    <n v="2"/>
    <n v="50"/>
    <n v="21.5"/>
    <n v="100"/>
    <x v="0"/>
    <s v="Valid"/>
    <n v="78.5"/>
  </r>
  <r>
    <n v="180"/>
    <x v="6"/>
    <d v="2022-11-05T00:00:00"/>
    <d v="1899-12-30T10:47:00"/>
    <n v="117"/>
    <s v="Male"/>
    <n v="41"/>
    <x v="1"/>
    <n v="3"/>
    <n v="300"/>
    <n v="129"/>
    <n v="900"/>
    <x v="0"/>
    <s v="Valid"/>
    <n v="771"/>
  </r>
  <r>
    <n v="559"/>
    <x v="10"/>
    <d v="2022-12-12T00:00:00"/>
    <d v="1899-12-30T10:48:00"/>
    <n v="5"/>
    <s v="Female"/>
    <n v="40"/>
    <x v="1"/>
    <n v="4"/>
    <n v="300"/>
    <n v="84"/>
    <n v="1200"/>
    <x v="0"/>
    <s v="Valid"/>
    <n v="1116"/>
  </r>
  <r>
    <n v="1180"/>
    <x v="11"/>
    <d v="2022-01-06T00:00:00"/>
    <d v="1899-12-30T08:53:00"/>
    <n v="85"/>
    <s v="Male"/>
    <n v="41"/>
    <x v="1"/>
    <n v="3"/>
    <n v="300"/>
    <n v="129"/>
    <n v="900"/>
    <x v="0"/>
    <s v="Valid"/>
    <n v="771"/>
  </r>
  <r>
    <n v="1559"/>
    <x v="1"/>
    <d v="2022-08-20T00:00:00"/>
    <d v="1899-12-30T07:40:00"/>
    <n v="49"/>
    <s v="Female"/>
    <n v="40"/>
    <x v="1"/>
    <n v="4"/>
    <n v="300"/>
    <n v="144"/>
    <n v="1200"/>
    <x v="0"/>
    <s v="Valid"/>
    <n v="1056"/>
  </r>
  <r>
    <n v="610"/>
    <x v="10"/>
    <d v="2022-12-18T00:00:00"/>
    <d v="1899-12-30T06:56:00"/>
    <n v="137"/>
    <s v="Female"/>
    <n v="26"/>
    <x v="0"/>
    <n v="2"/>
    <n v="300"/>
    <n v="93"/>
    <n v="600"/>
    <x v="0"/>
    <s v="Valid"/>
    <n v="507"/>
  </r>
  <r>
    <n v="1610"/>
    <x v="6"/>
    <d v="2022-11-23T00:00:00"/>
    <d v="1899-12-30T10:18:00"/>
    <n v="1"/>
    <s v="Female"/>
    <n v="26"/>
    <x v="0"/>
    <n v="2"/>
    <n v="300"/>
    <n v="102"/>
    <n v="600"/>
    <x v="0"/>
    <s v="Valid"/>
    <n v="498"/>
  </r>
  <r>
    <n v="291"/>
    <x v="6"/>
    <d v="2022-11-22T00:00:00"/>
    <d v="1899-12-30T08:29:00"/>
    <n v="15"/>
    <s v="Male"/>
    <n v="60"/>
    <x v="1"/>
    <n v="2"/>
    <n v="300"/>
    <n v="126"/>
    <n v="600"/>
    <x v="0"/>
    <s v="Valid"/>
    <n v="474"/>
  </r>
  <r>
    <n v="1291"/>
    <x v="4"/>
    <d v="2022-04-04T00:00:00"/>
    <d v="1899-12-30T11:19:00"/>
    <n v="72"/>
    <s v="Male"/>
    <n v="60"/>
    <x v="1"/>
    <n v="2"/>
    <n v="300"/>
    <n v="153"/>
    <n v="600"/>
    <x v="0"/>
    <s v="Valid"/>
    <n v="447"/>
  </r>
  <r>
    <n v="464"/>
    <x v="2"/>
    <d v="2022-03-06T00:00:00"/>
    <d v="1899-12-30T11:13:00"/>
    <n v="24"/>
    <s v="Male"/>
    <n v="38"/>
    <x v="2"/>
    <n v="2"/>
    <n v="300"/>
    <n v="75"/>
    <n v="600"/>
    <x v="0"/>
    <s v="Valid"/>
    <n v="525"/>
  </r>
  <r>
    <n v="484"/>
    <x v="2"/>
    <d v="2022-03-13T00:00:00"/>
    <d v="1899-12-30T07:52:00"/>
    <n v="135"/>
    <s v="Female"/>
    <n v="19"/>
    <x v="1"/>
    <n v="4"/>
    <n v="300"/>
    <n v="75"/>
    <n v="1200"/>
    <x v="0"/>
    <s v="Valid"/>
    <n v="1125"/>
  </r>
  <r>
    <n v="1464"/>
    <x v="6"/>
    <d v="2022-11-13T00:00:00"/>
    <d v="1899-12-30T10:06:00"/>
    <n v="80"/>
    <s v="Male"/>
    <n v="38"/>
    <x v="2"/>
    <n v="2"/>
    <n v="300"/>
    <n v="126"/>
    <n v="600"/>
    <x v="0"/>
    <s v="Valid"/>
    <n v="474"/>
  </r>
  <r>
    <n v="1484"/>
    <x v="6"/>
    <d v="2022-11-23T00:00:00"/>
    <d v="1899-12-30T09:29:00"/>
    <n v="22"/>
    <s v="Female"/>
    <n v="19"/>
    <x v="1"/>
    <n v="4"/>
    <n v="300"/>
    <n v="147"/>
    <n v="1200"/>
    <x v="0"/>
    <s v="Valid"/>
    <n v="1053"/>
  </r>
  <r>
    <n v="708"/>
    <x v="4"/>
    <d v="2022-04-06T00:00:00"/>
    <d v="1899-12-30T08:38:00"/>
    <n v="62"/>
    <s v="Female"/>
    <n v="43"/>
    <x v="0"/>
    <n v="3"/>
    <n v="300"/>
    <n v="87"/>
    <n v="900"/>
    <x v="0"/>
    <s v="Valid"/>
    <n v="813"/>
  </r>
  <r>
    <n v="1708"/>
    <x v="5"/>
    <d v="2022-02-08T00:00:00"/>
    <d v="1899-12-30T07:47:00"/>
    <n v="41"/>
    <s v="Female"/>
    <n v="43"/>
    <x v="0"/>
    <n v="3"/>
    <n v="300"/>
    <n v="162"/>
    <n v="900"/>
    <x v="0"/>
    <s v="Valid"/>
    <n v="738"/>
  </r>
  <r>
    <n v="445"/>
    <x v="4"/>
    <d v="2022-04-14T00:00:00"/>
    <d v="1899-12-30T10:48:00"/>
    <n v="132"/>
    <s v="Female"/>
    <n v="53"/>
    <x v="2"/>
    <n v="1"/>
    <n v="300"/>
    <n v="138"/>
    <n v="300"/>
    <x v="0"/>
    <s v="Valid"/>
    <n v="162"/>
  </r>
  <r>
    <n v="1445"/>
    <x v="4"/>
    <d v="2022-04-19T00:00:00"/>
    <d v="1899-12-30T06:16:00"/>
    <n v="31"/>
    <s v="Female"/>
    <n v="53"/>
    <x v="2"/>
    <n v="1"/>
    <n v="300"/>
    <n v="129"/>
    <n v="300"/>
    <x v="0"/>
    <s v="Valid"/>
    <n v="171"/>
  </r>
  <r>
    <n v="323"/>
    <x v="11"/>
    <d v="2022-01-21T00:00:00"/>
    <d v="1899-12-30T08:22:00"/>
    <n v="97"/>
    <s v="Female"/>
    <n v="29"/>
    <x v="0"/>
    <n v="3"/>
    <n v="300"/>
    <n v="150"/>
    <n v="900"/>
    <x v="0"/>
    <s v="Valid"/>
    <n v="750"/>
  </r>
  <r>
    <n v="1323"/>
    <x v="1"/>
    <d v="2022-08-15T00:00:00"/>
    <d v="1899-12-30T10:49:00"/>
    <n v="136"/>
    <s v="Female"/>
    <n v="29"/>
    <x v="0"/>
    <n v="3"/>
    <n v="300"/>
    <n v="114"/>
    <n v="900"/>
    <x v="0"/>
    <s v="Valid"/>
    <n v="786"/>
  </r>
  <r>
    <n v="264"/>
    <x v="10"/>
    <d v="2022-12-26T00:00:00"/>
    <d v="1899-12-30T11:03:00"/>
    <n v="111"/>
    <s v="Male"/>
    <n v="47"/>
    <x v="1"/>
    <n v="3"/>
    <n v="300"/>
    <n v="150"/>
    <n v="900"/>
    <x v="0"/>
    <s v="Valid"/>
    <n v="750"/>
  </r>
  <r>
    <n v="1264"/>
    <x v="0"/>
    <d v="2022-05-27T00:00:00"/>
    <d v="1899-12-30T09:23:00"/>
    <n v="82"/>
    <s v="Male"/>
    <n v="47"/>
    <x v="1"/>
    <n v="3"/>
    <n v="300"/>
    <n v="123"/>
    <n v="900"/>
    <x v="0"/>
    <s v="Valid"/>
    <n v="777"/>
  </r>
  <r>
    <n v="101"/>
    <x v="11"/>
    <d v="2022-01-08T00:00:00"/>
    <d v="1899-12-30T08:46:00"/>
    <n v="24"/>
    <s v="Male"/>
    <n v="32"/>
    <x v="1"/>
    <n v="2"/>
    <n v="300"/>
    <n v="135"/>
    <n v="600"/>
    <x v="0"/>
    <s v="Valid"/>
    <n v="465"/>
  </r>
  <r>
    <n v="1101"/>
    <x v="0"/>
    <d v="2022-05-17T00:00:00"/>
    <d v="1899-12-30T07:47:00"/>
    <n v="15"/>
    <s v="Male"/>
    <n v="32"/>
    <x v="1"/>
    <n v="2"/>
    <n v="300"/>
    <n v="132"/>
    <n v="600"/>
    <x v="0"/>
    <s v="Valid"/>
    <n v="468"/>
  </r>
  <r>
    <n v="964"/>
    <x v="1"/>
    <d v="2022-08-26T00:00:00"/>
    <d v="1899-12-30T08:18:00"/>
    <n v="15"/>
    <s v="Male"/>
    <n v="24"/>
    <x v="1"/>
    <n v="3"/>
    <n v="300"/>
    <n v="156"/>
    <n v="900"/>
    <x v="0"/>
    <s v="Valid"/>
    <n v="744"/>
  </r>
  <r>
    <n v="1964"/>
    <x v="1"/>
    <d v="2022-08-02T00:00:00"/>
    <d v="1899-12-30T08:27:00"/>
    <n v="115"/>
    <s v="Male"/>
    <n v="24"/>
    <x v="1"/>
    <n v="3"/>
    <n v="300"/>
    <n v="111"/>
    <n v="900"/>
    <x v="0"/>
    <s v="Valid"/>
    <n v="789"/>
  </r>
  <r>
    <n v="320"/>
    <x v="4"/>
    <d v="2022-04-20T00:00:00"/>
    <d v="1899-12-30T08:35:00"/>
    <n v="57"/>
    <s v="Female"/>
    <n v="28"/>
    <x v="2"/>
    <n v="4"/>
    <n v="300"/>
    <n v="159"/>
    <n v="1200"/>
    <x v="0"/>
    <s v="Valid"/>
    <n v="1041"/>
  </r>
  <r>
    <n v="1320"/>
    <x v="6"/>
    <d v="2022-11-02T00:00:00"/>
    <d v="1899-12-30T11:55:00"/>
    <n v="102"/>
    <s v="Female"/>
    <n v="28"/>
    <x v="2"/>
    <n v="4"/>
    <n v="300"/>
    <n v="84"/>
    <n v="1200"/>
    <x v="0"/>
    <s v="Valid"/>
    <n v="1116"/>
  </r>
  <r>
    <n v="142"/>
    <x v="4"/>
    <d v="2022-04-08T00:00:00"/>
    <d v="1899-12-30T10:05:00"/>
    <n v="61"/>
    <s v="Male"/>
    <n v="35"/>
    <x v="2"/>
    <n v="4"/>
    <n v="300"/>
    <n v="138"/>
    <n v="1200"/>
    <x v="0"/>
    <s v="Valid"/>
    <n v="1062"/>
  </r>
  <r>
    <n v="1142"/>
    <x v="6"/>
    <d v="2022-11-09T00:00:00"/>
    <d v="1899-12-30T09:49:00"/>
    <n v="2"/>
    <s v="Male"/>
    <n v="35"/>
    <x v="2"/>
    <n v="4"/>
    <n v="300"/>
    <n v="114"/>
    <n v="1200"/>
    <x v="0"/>
    <s v="Valid"/>
    <n v="1086"/>
  </r>
  <r>
    <n v="107"/>
    <x v="8"/>
    <d v="2022-10-06T00:00:00"/>
    <d v="1899-12-30T09:18:00"/>
    <n v="75"/>
    <s v="Female"/>
    <n v="21"/>
    <x v="1"/>
    <n v="4"/>
    <n v="300"/>
    <n v="78"/>
    <n v="1200"/>
    <x v="0"/>
    <s v="Valid"/>
    <n v="1122"/>
  </r>
  <r>
    <n v="1107"/>
    <x v="10"/>
    <d v="2022-12-31T00:00:00"/>
    <d v="1899-12-30T11:14:00"/>
    <n v="62"/>
    <s v="Female"/>
    <n v="21"/>
    <x v="1"/>
    <n v="4"/>
    <n v="300"/>
    <n v="102"/>
    <n v="1200"/>
    <x v="0"/>
    <s v="Valid"/>
    <n v="1098"/>
  </r>
  <r>
    <n v="333"/>
    <x v="8"/>
    <d v="2022-10-06T00:00:00"/>
    <d v="1899-12-30T08:15:00"/>
    <n v="21"/>
    <s v="Female"/>
    <n v="54"/>
    <x v="2"/>
    <n v="4"/>
    <n v="300"/>
    <n v="99"/>
    <n v="1200"/>
    <x v="0"/>
    <s v="Valid"/>
    <n v="1101"/>
  </r>
  <r>
    <n v="1333"/>
    <x v="6"/>
    <d v="2022-11-01T00:00:00"/>
    <d v="1899-12-30T11:38:00"/>
    <n v="151"/>
    <s v="Female"/>
    <n v="54"/>
    <x v="2"/>
    <n v="4"/>
    <n v="300"/>
    <n v="165"/>
    <n v="1200"/>
    <x v="0"/>
    <s v="Valid"/>
    <n v="1035"/>
  </r>
  <r>
    <n v="240"/>
    <x v="6"/>
    <d v="2022-11-05T00:00:00"/>
    <d v="1899-12-30T11:49:00"/>
    <n v="95"/>
    <s v="Female"/>
    <n v="23"/>
    <x v="0"/>
    <n v="1"/>
    <n v="300"/>
    <n v="123"/>
    <n v="300"/>
    <x v="0"/>
    <s v="Valid"/>
    <n v="177"/>
  </r>
  <r>
    <n v="1240"/>
    <x v="1"/>
    <d v="2022-08-07T00:00:00"/>
    <d v="1899-12-30T07:42:00"/>
    <n v="144"/>
    <s v="Female"/>
    <n v="23"/>
    <x v="0"/>
    <n v="1"/>
    <n v="300"/>
    <n v="90"/>
    <n v="300"/>
    <x v="0"/>
    <s v="Valid"/>
    <n v="210"/>
  </r>
  <r>
    <n v="596"/>
    <x v="5"/>
    <d v="2022-02-12T00:00:00"/>
    <d v="1899-12-30T08:44:00"/>
    <n v="87"/>
    <s v="Female"/>
    <n v="64"/>
    <x v="2"/>
    <n v="1"/>
    <n v="300"/>
    <n v="93"/>
    <n v="300"/>
    <x v="0"/>
    <s v="Valid"/>
    <n v="207"/>
  </r>
  <r>
    <n v="1596"/>
    <x v="2"/>
    <d v="2022-03-28T00:00:00"/>
    <d v="1899-12-30T06:22:00"/>
    <n v="7"/>
    <s v="Female"/>
    <n v="64"/>
    <x v="2"/>
    <n v="1"/>
    <n v="300"/>
    <n v="141"/>
    <n v="300"/>
    <x v="0"/>
    <s v="Valid"/>
    <n v="159"/>
  </r>
  <r>
    <n v="649"/>
    <x v="7"/>
    <d v="2022-06-21T00:00:00"/>
    <d v="1899-12-30T08:17:00"/>
    <n v="44"/>
    <s v="Female"/>
    <n v="58"/>
    <x v="1"/>
    <n v="2"/>
    <n v="300"/>
    <n v="135"/>
    <n v="600"/>
    <x v="0"/>
    <s v="Valid"/>
    <n v="465"/>
  </r>
  <r>
    <n v="1649"/>
    <x v="8"/>
    <d v="2022-10-21T00:00:00"/>
    <d v="1899-12-30T07:44:00"/>
    <n v="72"/>
    <s v="Female"/>
    <n v="58"/>
    <x v="1"/>
    <n v="2"/>
    <n v="300"/>
    <n v="75"/>
    <n v="600"/>
    <x v="0"/>
    <s v="Valid"/>
    <n v="525"/>
  </r>
  <r>
    <n v="68"/>
    <x v="10"/>
    <d v="2022-12-15T00:00:00"/>
    <d v="1899-12-30T09:06:00"/>
    <n v="146"/>
    <s v="Male"/>
    <n v="25"/>
    <x v="2"/>
    <n v="1"/>
    <n v="300"/>
    <n v="84"/>
    <n v="300"/>
    <x v="0"/>
    <s v="Valid"/>
    <n v="216"/>
  </r>
  <r>
    <n v="1068"/>
    <x v="3"/>
    <d v="2022-09-14T00:00:00"/>
    <d v="1899-12-30T10:11:00"/>
    <n v="136"/>
    <s v="Male"/>
    <n v="25"/>
    <x v="2"/>
    <n v="1"/>
    <n v="300"/>
    <n v="111"/>
    <n v="300"/>
    <x v="0"/>
    <s v="Valid"/>
    <n v="189"/>
  </r>
  <r>
    <n v="821"/>
    <x v="6"/>
    <d v="2022-11-23T00:00:00"/>
    <d v="1899-12-30T11:27:00"/>
    <n v="40"/>
    <s v="Male"/>
    <n v="49"/>
    <x v="2"/>
    <n v="1"/>
    <n v="300"/>
    <n v="129"/>
    <n v="300"/>
    <x v="0"/>
    <s v="Valid"/>
    <n v="171"/>
  </r>
  <r>
    <n v="1821"/>
    <x v="8"/>
    <d v="2022-10-03T00:00:00"/>
    <d v="1899-12-30T07:17:00"/>
    <n v="42"/>
    <s v="Male"/>
    <n v="49"/>
    <x v="2"/>
    <n v="1"/>
    <n v="300"/>
    <n v="108"/>
    <n v="300"/>
    <x v="0"/>
    <s v="Valid"/>
    <n v="192"/>
  </r>
  <r>
    <n v="133"/>
    <x v="7"/>
    <d v="2022-06-23T00:00:00"/>
    <d v="1899-12-30T09:01:00"/>
    <n v="70"/>
    <s v="Male"/>
    <n v="20"/>
    <x v="2"/>
    <n v="3"/>
    <n v="300"/>
    <n v="87"/>
    <n v="900"/>
    <x v="0"/>
    <s v="Valid"/>
    <n v="813"/>
  </r>
  <r>
    <n v="1133"/>
    <x v="2"/>
    <d v="2022-03-05T00:00:00"/>
    <d v="1899-12-30T06:42:00"/>
    <n v="58"/>
    <s v="Male"/>
    <n v="20"/>
    <x v="2"/>
    <n v="3"/>
    <n v="300"/>
    <n v="159"/>
    <n v="900"/>
    <x v="0"/>
    <s v="Valid"/>
    <n v="741"/>
  </r>
  <r>
    <n v="42"/>
    <x v="10"/>
    <d v="2022-12-08T00:00:00"/>
    <d v="1899-12-30T08:29:00"/>
    <n v="63"/>
    <s v="Male"/>
    <n v="22"/>
    <x v="1"/>
    <n v="3"/>
    <n v="300"/>
    <n v="147"/>
    <n v="900"/>
    <x v="0"/>
    <s v="Valid"/>
    <n v="753"/>
  </r>
  <r>
    <n v="292"/>
    <x v="8"/>
    <d v="2022-10-10T00:00:00"/>
    <d v="1899-12-30T06:33:00"/>
    <n v="111"/>
    <s v="Male"/>
    <n v="20"/>
    <x v="0"/>
    <n v="4"/>
    <n v="300"/>
    <n v="141"/>
    <n v="1200"/>
    <x v="0"/>
    <s v="Valid"/>
    <n v="1059"/>
  </r>
  <r>
    <n v="1042"/>
    <x v="5"/>
    <d v="2022-02-11T00:00:00"/>
    <d v="1899-12-30T06:21:00"/>
    <n v="7"/>
    <s v="Male"/>
    <n v="22"/>
    <x v="1"/>
    <n v="3"/>
    <n v="300"/>
    <n v="150"/>
    <n v="900"/>
    <x v="0"/>
    <s v="Valid"/>
    <n v="750"/>
  </r>
  <r>
    <n v="1292"/>
    <x v="0"/>
    <d v="2022-05-15T00:00:00"/>
    <d v="1899-12-30T08:20:00"/>
    <n v="88"/>
    <s v="Male"/>
    <n v="20"/>
    <x v="0"/>
    <n v="4"/>
    <n v="300"/>
    <n v="90"/>
    <n v="1200"/>
    <x v="0"/>
    <s v="Valid"/>
    <n v="1110"/>
  </r>
  <r>
    <n v="70"/>
    <x v="10"/>
    <d v="2022-12-27T00:00:00"/>
    <d v="1899-12-30T10:48:00"/>
    <n v="147"/>
    <s v="Female"/>
    <n v="43"/>
    <x v="1"/>
    <n v="1"/>
    <n v="300"/>
    <n v="84"/>
    <n v="300"/>
    <x v="0"/>
    <s v="Valid"/>
    <n v="216"/>
  </r>
  <r>
    <n v="1070"/>
    <x v="9"/>
    <d v="2022-07-14T00:00:00"/>
    <d v="1899-12-30T11:12:00"/>
    <n v="102"/>
    <s v="Female"/>
    <n v="43"/>
    <x v="1"/>
    <n v="1"/>
    <n v="300"/>
    <n v="120"/>
    <n v="300"/>
    <x v="0"/>
    <s v="Valid"/>
    <n v="180"/>
  </r>
  <r>
    <n v="168"/>
    <x v="4"/>
    <d v="2022-04-29T00:00:00"/>
    <d v="1899-12-30T09:20:00"/>
    <n v="138"/>
    <s v="Male"/>
    <n v="53"/>
    <x v="1"/>
    <n v="1"/>
    <n v="300"/>
    <n v="102"/>
    <n v="300"/>
    <x v="0"/>
    <s v="Valid"/>
    <n v="198"/>
  </r>
  <r>
    <n v="800"/>
    <x v="3"/>
    <d v="2022-09-19T00:00:00"/>
    <d v="1899-12-30T07:33:00"/>
    <n v="111"/>
    <s v="Male"/>
    <n v="32"/>
    <x v="1"/>
    <n v="4"/>
    <n v="300"/>
    <n v="87"/>
    <n v="1200"/>
    <x v="0"/>
    <s v="Valid"/>
    <n v="1113"/>
  </r>
  <r>
    <n v="1168"/>
    <x v="9"/>
    <d v="2022-07-10T00:00:00"/>
    <d v="1899-12-30T07:56:00"/>
    <n v="68"/>
    <s v="Male"/>
    <n v="53"/>
    <x v="1"/>
    <n v="1"/>
    <n v="300"/>
    <n v="150"/>
    <n v="300"/>
    <x v="0"/>
    <s v="Valid"/>
    <n v="150"/>
  </r>
  <r>
    <n v="1800"/>
    <x v="1"/>
    <d v="2022-08-21T00:00:00"/>
    <d v="1899-12-30T10:53:00"/>
    <n v="1"/>
    <s v="Male"/>
    <n v="32"/>
    <x v="1"/>
    <n v="4"/>
    <n v="300"/>
    <n v="111"/>
    <n v="1200"/>
    <x v="0"/>
    <s v="Valid"/>
    <n v="1089"/>
  </r>
  <r>
    <n v="766"/>
    <x v="11"/>
    <d v="2022-01-04T00:00:00"/>
    <d v="1899-12-30T08:02:00"/>
    <n v="128"/>
    <s v="Male"/>
    <n v="38"/>
    <x v="2"/>
    <n v="3"/>
    <n v="300"/>
    <n v="165"/>
    <n v="900"/>
    <x v="0"/>
    <s v="Valid"/>
    <n v="735"/>
  </r>
  <r>
    <n v="1766"/>
    <x v="6"/>
    <d v="2022-11-22T00:00:00"/>
    <d v="1899-12-30T06:08:00"/>
    <n v="6"/>
    <s v="Male"/>
    <n v="38"/>
    <x v="2"/>
    <n v="3"/>
    <n v="300"/>
    <n v="129"/>
    <n v="900"/>
    <x v="0"/>
    <s v="Valid"/>
    <n v="771"/>
  </r>
  <r>
    <n v="158"/>
    <x v="11"/>
    <d v="2022-01-21T00:00:00"/>
    <d v="1899-12-30T11:38:00"/>
    <n v="141"/>
    <s v="Female"/>
    <n v="44"/>
    <x v="2"/>
    <n v="2"/>
    <n v="300"/>
    <n v="132"/>
    <n v="600"/>
    <x v="0"/>
    <s v="Valid"/>
    <n v="468"/>
  </r>
  <r>
    <n v="1158"/>
    <x v="5"/>
    <d v="2022-02-24T00:00:00"/>
    <d v="1899-12-30T09:29:00"/>
    <n v="77"/>
    <s v="Female"/>
    <n v="44"/>
    <x v="2"/>
    <n v="2"/>
    <n v="300"/>
    <n v="138"/>
    <n v="600"/>
    <x v="0"/>
    <s v="Valid"/>
    <n v="462"/>
  </r>
  <r>
    <n v="514"/>
    <x v="6"/>
    <d v="2022-11-04T00:00:00"/>
    <d v="1899-12-30T08:35:00"/>
    <n v="139"/>
    <s v="Female"/>
    <n v="18"/>
    <x v="2"/>
    <n v="1"/>
    <n v="300"/>
    <n v="96"/>
    <n v="300"/>
    <x v="0"/>
    <s v="Valid"/>
    <n v="204"/>
  </r>
  <r>
    <n v="1514"/>
    <x v="9"/>
    <d v="2022-07-12T00:00:00"/>
    <d v="1899-12-30T10:55:00"/>
    <n v="59"/>
    <s v="Female"/>
    <n v="18"/>
    <x v="2"/>
    <n v="1"/>
    <n v="300"/>
    <n v="75"/>
    <n v="300"/>
    <x v="0"/>
    <s v="Valid"/>
    <n v="225"/>
  </r>
  <r>
    <n v="947"/>
    <x v="9"/>
    <d v="2022-07-31T00:00:00"/>
    <d v="1899-12-30T07:09:00"/>
    <n v="4"/>
    <s v="Male"/>
    <n v="50"/>
    <x v="0"/>
    <n v="1"/>
    <n v="300"/>
    <n v="129"/>
    <n v="300"/>
    <x v="0"/>
    <s v="Valid"/>
    <n v="171"/>
  </r>
  <r>
    <n v="1947"/>
    <x v="2"/>
    <d v="2022-03-05T00:00:00"/>
    <d v="1899-12-30T06:27:00"/>
    <n v="134"/>
    <s v="Male"/>
    <n v="50"/>
    <x v="0"/>
    <n v="1"/>
    <n v="300"/>
    <n v="75"/>
    <n v="300"/>
    <x v="0"/>
    <s v="Valid"/>
    <n v="225"/>
  </r>
  <r>
    <n v="52"/>
    <x v="3"/>
    <d v="2022-09-19T00:00:00"/>
    <d v="1899-12-30T09:42:00"/>
    <n v="55"/>
    <s v="Female"/>
    <n v="36"/>
    <x v="0"/>
    <n v="1"/>
    <n v="300"/>
    <n v="111"/>
    <n v="300"/>
    <x v="0"/>
    <s v="Valid"/>
    <n v="189"/>
  </r>
  <r>
    <n v="1052"/>
    <x v="5"/>
    <d v="2022-02-12T00:00:00"/>
    <d v="1899-12-30T06:12:00"/>
    <n v="94"/>
    <s v="Female"/>
    <n v="36"/>
    <x v="0"/>
    <n v="1"/>
    <n v="300"/>
    <n v="120"/>
    <n v="300"/>
    <x v="0"/>
    <s v="Valid"/>
    <n v="180"/>
  </r>
  <r>
    <n v="198"/>
    <x v="0"/>
    <d v="2022-05-21T00:00:00"/>
    <d v="1899-12-30T11:42:00"/>
    <n v="30"/>
    <s v="Female"/>
    <n v="54"/>
    <x v="0"/>
    <n v="3"/>
    <n v="300"/>
    <n v="114"/>
    <n v="900"/>
    <x v="0"/>
    <s v="Valid"/>
    <n v="786"/>
  </r>
  <r>
    <n v="1198"/>
    <x v="1"/>
    <d v="2022-08-07T00:00:00"/>
    <d v="1899-12-30T10:43:00"/>
    <n v="147"/>
    <s v="Female"/>
    <n v="54"/>
    <x v="0"/>
    <n v="3"/>
    <n v="300"/>
    <n v="159"/>
    <n v="900"/>
    <x v="0"/>
    <s v="Valid"/>
    <n v="741"/>
  </r>
  <r>
    <n v="248"/>
    <x v="9"/>
    <d v="2022-07-02T00:00:00"/>
    <d v="1899-12-30T07:11:00"/>
    <n v="5"/>
    <s v="Male"/>
    <n v="26"/>
    <x v="1"/>
    <n v="3"/>
    <n v="300"/>
    <n v="126"/>
    <n v="900"/>
    <x v="0"/>
    <s v="Valid"/>
    <n v="774"/>
  </r>
  <r>
    <n v="1248"/>
    <x v="3"/>
    <d v="2022-09-08T00:00:00"/>
    <d v="1899-12-30T08:20:00"/>
    <n v="68"/>
    <s v="Male"/>
    <n v="26"/>
    <x v="1"/>
    <n v="3"/>
    <n v="300"/>
    <n v="111"/>
    <n v="900"/>
    <x v="0"/>
    <s v="Valid"/>
    <n v="789"/>
  </r>
  <r>
    <n v="590"/>
    <x v="18"/>
    <d v="2023-05-04T00:00:00"/>
    <d v="1899-12-30T11:52:00"/>
    <n v="151"/>
    <s v="Male"/>
    <n v="36"/>
    <x v="1"/>
    <n v="3"/>
    <n v="300"/>
    <n v="135"/>
    <n v="900"/>
    <x v="0"/>
    <s v="Valid"/>
    <n v="765"/>
  </r>
  <r>
    <n v="1590"/>
    <x v="21"/>
    <d v="2023-08-10T00:00:00"/>
    <d v="1899-12-30T09:39:00"/>
    <n v="142"/>
    <s v="Male"/>
    <n v="36"/>
    <x v="1"/>
    <n v="3"/>
    <n v="300"/>
    <n v="147"/>
    <n v="900"/>
    <x v="0"/>
    <s v="Valid"/>
    <n v="753"/>
  </r>
  <r>
    <n v="136"/>
    <x v="16"/>
    <d v="2023-12-26T00:00:00"/>
    <d v="1899-12-30T08:59:00"/>
    <n v="25"/>
    <s v="Male"/>
    <n v="44"/>
    <x v="2"/>
    <n v="2"/>
    <n v="300"/>
    <n v="141"/>
    <n v="600"/>
    <x v="0"/>
    <s v="Valid"/>
    <n v="459"/>
  </r>
  <r>
    <n v="663"/>
    <x v="21"/>
    <d v="2023-08-16T00:00:00"/>
    <d v="1899-12-30T06:32:00"/>
    <n v="133"/>
    <s v="Male"/>
    <n v="23"/>
    <x v="1"/>
    <n v="4"/>
    <n v="300"/>
    <n v="87"/>
    <n v="1200"/>
    <x v="0"/>
    <s v="Valid"/>
    <n v="1113"/>
  </r>
  <r>
    <n v="806"/>
    <x v="13"/>
    <d v="2023-01-22T00:00:00"/>
    <d v="1899-12-30T08:08:00"/>
    <n v="14"/>
    <s v="Female"/>
    <n v="35"/>
    <x v="0"/>
    <n v="3"/>
    <n v="300"/>
    <n v="165"/>
    <n v="900"/>
    <x v="0"/>
    <s v="Valid"/>
    <n v="735"/>
  </r>
  <r>
    <n v="1136"/>
    <x v="15"/>
    <d v="2023-07-02T00:00:00"/>
    <d v="1899-12-30T08:41:00"/>
    <n v="93"/>
    <s v="Male"/>
    <n v="44"/>
    <x v="2"/>
    <n v="2"/>
    <n v="300"/>
    <n v="81"/>
    <n v="600"/>
    <x v="0"/>
    <s v="Valid"/>
    <n v="519"/>
  </r>
  <r>
    <n v="1663"/>
    <x v="16"/>
    <d v="2023-12-07T00:00:00"/>
    <d v="1899-12-30T07:04:00"/>
    <n v="33"/>
    <s v="Male"/>
    <n v="23"/>
    <x v="1"/>
    <n v="4"/>
    <n v="300"/>
    <n v="81"/>
    <n v="1200"/>
    <x v="0"/>
    <s v="Valid"/>
    <n v="1119"/>
  </r>
  <r>
    <n v="1806"/>
    <x v="17"/>
    <d v="2023-06-14T00:00:00"/>
    <d v="1899-12-30T10:13:00"/>
    <n v="61"/>
    <s v="Female"/>
    <n v="35"/>
    <x v="0"/>
    <n v="3"/>
    <n v="300"/>
    <n v="102"/>
    <n v="900"/>
    <x v="0"/>
    <s v="Valid"/>
    <n v="798"/>
  </r>
  <r>
    <n v="402"/>
    <x v="15"/>
    <d v="2023-07-12T00:00:00"/>
    <d v="1899-12-30T08:45:00"/>
    <n v="63"/>
    <s v="Female"/>
    <n v="41"/>
    <x v="1"/>
    <n v="2"/>
    <n v="300"/>
    <n v="135"/>
    <n v="600"/>
    <x v="0"/>
    <s v="Valid"/>
    <n v="465"/>
  </r>
  <r>
    <n v="459"/>
    <x v="18"/>
    <d v="2023-05-23T00:00:00"/>
    <d v="1899-12-30T07:12:00"/>
    <n v="122"/>
    <s v="Male"/>
    <n v="28"/>
    <x v="1"/>
    <n v="4"/>
    <n v="300"/>
    <n v="75"/>
    <n v="1200"/>
    <x v="0"/>
    <s v="Valid"/>
    <n v="1125"/>
  </r>
  <r>
    <n v="1402"/>
    <x v="17"/>
    <d v="2023-06-24T00:00:00"/>
    <d v="1899-12-30T06:47:00"/>
    <n v="110"/>
    <s v="Female"/>
    <n v="41"/>
    <x v="1"/>
    <n v="2"/>
    <n v="300"/>
    <n v="156"/>
    <n v="600"/>
    <x v="0"/>
    <s v="Valid"/>
    <n v="444"/>
  </r>
  <r>
    <n v="1459"/>
    <x v="20"/>
    <d v="2023-11-10T00:00:00"/>
    <d v="1899-12-30T06:46:00"/>
    <n v="13"/>
    <s v="Male"/>
    <n v="28"/>
    <x v="1"/>
    <n v="4"/>
    <n v="300"/>
    <n v="144"/>
    <n v="1200"/>
    <x v="0"/>
    <s v="Valid"/>
    <n v="1056"/>
  </r>
  <r>
    <n v="202"/>
    <x v="13"/>
    <d v="2023-01-25T00:00:00"/>
    <d v="1899-12-30T06:24:00"/>
    <n v="61"/>
    <s v="Female"/>
    <n v="34"/>
    <x v="1"/>
    <n v="4"/>
    <n v="300"/>
    <n v="120"/>
    <n v="1200"/>
    <x v="0"/>
    <s v="Valid"/>
    <n v="1080"/>
  </r>
  <r>
    <n v="1202"/>
    <x v="20"/>
    <d v="2023-11-13T00:00:00"/>
    <d v="1899-12-30T06:56:00"/>
    <n v="89"/>
    <s v="Female"/>
    <n v="34"/>
    <x v="1"/>
    <n v="4"/>
    <n v="300"/>
    <n v="144"/>
    <n v="1200"/>
    <x v="0"/>
    <s v="Valid"/>
    <n v="1056"/>
  </r>
  <r>
    <n v="553"/>
    <x v="23"/>
    <d v="2023-03-20T00:00:00"/>
    <d v="1899-12-30T06:17:00"/>
    <n v="106"/>
    <s v="Male"/>
    <n v="24"/>
    <x v="1"/>
    <n v="4"/>
    <n v="300"/>
    <n v="81"/>
    <n v="1200"/>
    <x v="0"/>
    <s v="Valid"/>
    <n v="1119"/>
  </r>
  <r>
    <n v="1553"/>
    <x v="13"/>
    <d v="2023-01-29T00:00:00"/>
    <d v="1899-12-30T08:46:00"/>
    <n v="42"/>
    <s v="Male"/>
    <n v="24"/>
    <x v="1"/>
    <n v="4"/>
    <n v="300"/>
    <n v="99"/>
    <n v="1200"/>
    <x v="0"/>
    <s v="Valid"/>
    <n v="1101"/>
  </r>
  <r>
    <n v="462"/>
    <x v="21"/>
    <d v="2023-08-26T00:00:00"/>
    <d v="1899-12-30T10:04:00"/>
    <n v="71"/>
    <s v="Male"/>
    <n v="63"/>
    <x v="2"/>
    <n v="4"/>
    <n v="300"/>
    <n v="132"/>
    <n v="1200"/>
    <x v="0"/>
    <s v="Valid"/>
    <n v="1068"/>
  </r>
  <r>
    <n v="614"/>
    <x v="19"/>
    <d v="2023-02-13T00:00:00"/>
    <d v="1899-12-30T06:28:00"/>
    <n v="61"/>
    <s v="Female"/>
    <n v="39"/>
    <x v="0"/>
    <n v="4"/>
    <n v="300"/>
    <n v="120"/>
    <n v="1200"/>
    <x v="0"/>
    <s v="Valid"/>
    <n v="1080"/>
  </r>
  <r>
    <n v="1462"/>
    <x v="20"/>
    <d v="2023-11-13T00:00:00"/>
    <d v="1899-12-30T10:42:00"/>
    <n v="124"/>
    <s v="Male"/>
    <n v="63"/>
    <x v="2"/>
    <n v="4"/>
    <n v="300"/>
    <n v="114"/>
    <n v="1200"/>
    <x v="0"/>
    <s v="Valid"/>
    <n v="1086"/>
  </r>
  <r>
    <n v="1614"/>
    <x v="21"/>
    <d v="2023-08-23T00:00:00"/>
    <d v="1899-12-30T11:37:00"/>
    <n v="135"/>
    <s v="Female"/>
    <n v="39"/>
    <x v="0"/>
    <n v="4"/>
    <n v="300"/>
    <n v="105"/>
    <n v="1200"/>
    <x v="0"/>
    <s v="Valid"/>
    <n v="1095"/>
  </r>
  <r>
    <n v="905"/>
    <x v="12"/>
    <d v="2023-10-01T00:00:00"/>
    <d v="1899-12-30T06:27:00"/>
    <n v="96"/>
    <s v="Male"/>
    <n v="58"/>
    <x v="0"/>
    <n v="1"/>
    <n v="300"/>
    <n v="111"/>
    <n v="300"/>
    <x v="0"/>
    <s v="Valid"/>
    <n v="189"/>
  </r>
  <r>
    <n v="1905"/>
    <x v="21"/>
    <d v="2023-08-29T00:00:00"/>
    <d v="1899-12-30T06:07:00"/>
    <n v="26"/>
    <s v="Male"/>
    <n v="58"/>
    <x v="0"/>
    <n v="1"/>
    <n v="300"/>
    <n v="102"/>
    <n v="300"/>
    <x v="0"/>
    <s v="Valid"/>
    <n v="198"/>
  </r>
  <r>
    <n v="891"/>
    <x v="13"/>
    <d v="2023-01-09T00:00:00"/>
    <d v="1899-12-30T06:43:00"/>
    <n v="24"/>
    <s v="Male"/>
    <n v="41"/>
    <x v="2"/>
    <n v="3"/>
    <n v="300"/>
    <n v="99"/>
    <n v="900"/>
    <x v="0"/>
    <s v="Valid"/>
    <n v="801"/>
  </r>
  <r>
    <n v="928"/>
    <x v="20"/>
    <d v="2023-11-05T00:00:00"/>
    <d v="1899-12-30T10:20:00"/>
    <n v="54"/>
    <s v="Female"/>
    <n v="35"/>
    <x v="1"/>
    <n v="4"/>
    <n v="300"/>
    <n v="90"/>
    <n v="1200"/>
    <x v="0"/>
    <s v="Valid"/>
    <n v="1110"/>
  </r>
  <r>
    <n v="1891"/>
    <x v="16"/>
    <d v="2023-12-22T00:00:00"/>
    <d v="1899-12-30T06:11:00"/>
    <n v="81"/>
    <s v="Male"/>
    <n v="41"/>
    <x v="2"/>
    <n v="3"/>
    <n v="300"/>
    <n v="105"/>
    <n v="900"/>
    <x v="0"/>
    <s v="Valid"/>
    <n v="795"/>
  </r>
  <r>
    <n v="1928"/>
    <x v="15"/>
    <d v="2023-07-29T00:00:00"/>
    <d v="1899-12-30T06:39:00"/>
    <n v="93"/>
    <s v="Female"/>
    <n v="35"/>
    <x v="1"/>
    <n v="4"/>
    <n v="300"/>
    <n v="75"/>
    <n v="1200"/>
    <x v="0"/>
    <s v="Valid"/>
    <n v="1125"/>
  </r>
  <r>
    <n v="332"/>
    <x v="14"/>
    <d v="2023-04-24T00:00:00"/>
    <d v="1899-12-30T11:28:00"/>
    <n v="138"/>
    <s v="Male"/>
    <n v="58"/>
    <x v="2"/>
    <n v="4"/>
    <n v="300"/>
    <n v="105"/>
    <n v="1200"/>
    <x v="0"/>
    <s v="Valid"/>
    <n v="1095"/>
  </r>
  <r>
    <n v="1332"/>
    <x v="16"/>
    <d v="2023-12-04T00:00:00"/>
    <d v="1899-12-30T10:02:00"/>
    <n v="146"/>
    <s v="Male"/>
    <n v="58"/>
    <x v="2"/>
    <n v="4"/>
    <n v="300"/>
    <n v="123"/>
    <n v="1200"/>
    <x v="0"/>
    <s v="Valid"/>
    <n v="1077"/>
  </r>
  <r>
    <n v="847"/>
    <x v="13"/>
    <d v="2023-01-10T00:00:00"/>
    <d v="1899-12-30T08:42:00"/>
    <n v="2"/>
    <s v="Female"/>
    <n v="18"/>
    <x v="2"/>
    <n v="4"/>
    <n v="300"/>
    <n v="162"/>
    <n v="1200"/>
    <x v="0"/>
    <s v="Valid"/>
    <n v="1038"/>
  </r>
  <r>
    <n v="1847"/>
    <x v="15"/>
    <d v="2023-07-28T00:00:00"/>
    <d v="1899-12-30T07:14:00"/>
    <n v="5"/>
    <s v="Female"/>
    <n v="18"/>
    <x v="2"/>
    <n v="4"/>
    <n v="300"/>
    <n v="123"/>
    <n v="1200"/>
    <x v="0"/>
    <s v="Valid"/>
    <n v="1077"/>
  </r>
  <r>
    <n v="886"/>
    <x v="16"/>
    <d v="2023-12-11T00:00:00"/>
    <d v="1899-12-30T11:25:00"/>
    <n v="4"/>
    <s v="Male"/>
    <n v="37"/>
    <x v="2"/>
    <n v="3"/>
    <n v="300"/>
    <n v="165"/>
    <n v="900"/>
    <x v="0"/>
    <s v="Valid"/>
    <n v="735"/>
  </r>
  <r>
    <n v="1886"/>
    <x v="15"/>
    <d v="2023-07-26T00:00:00"/>
    <d v="1899-12-30T11:51:00"/>
    <n v="1"/>
    <s v="Male"/>
    <n v="37"/>
    <x v="2"/>
    <n v="3"/>
    <n v="300"/>
    <n v="147"/>
    <n v="900"/>
    <x v="0"/>
    <s v="Valid"/>
    <n v="753"/>
  </r>
  <r>
    <n v="174"/>
    <x v="20"/>
    <d v="2023-11-15T00:00:00"/>
    <d v="1899-12-30T06:07:00"/>
    <n v="2"/>
    <s v="Female"/>
    <n v="39"/>
    <x v="0"/>
    <n v="1"/>
    <n v="300"/>
    <n v="126"/>
    <n v="300"/>
    <x v="0"/>
    <s v="Valid"/>
    <n v="174"/>
  </r>
  <r>
    <n v="1174"/>
    <x v="18"/>
    <d v="2023-05-17T00:00:00"/>
    <d v="1899-12-30T06:55:00"/>
    <n v="2"/>
    <s v="Female"/>
    <n v="39"/>
    <x v="0"/>
    <n v="1"/>
    <n v="300"/>
    <n v="132"/>
    <n v="300"/>
    <x v="0"/>
    <s v="Valid"/>
    <n v="168"/>
  </r>
  <r>
    <n v="674"/>
    <x v="23"/>
    <d v="2023-03-30T00:00:00"/>
    <d v="1899-12-30T11:10:00"/>
    <n v="2"/>
    <s v="Female"/>
    <n v="38"/>
    <x v="1"/>
    <n v="1"/>
    <n v="300"/>
    <n v="84"/>
    <n v="300"/>
    <x v="0"/>
    <s v="Valid"/>
    <n v="216"/>
  </r>
  <r>
    <n v="1674"/>
    <x v="20"/>
    <d v="2023-11-22T00:00:00"/>
    <d v="1899-12-30T09:21:00"/>
    <n v="1"/>
    <s v="Female"/>
    <n v="38"/>
    <x v="1"/>
    <n v="1"/>
    <n v="300"/>
    <n v="123"/>
    <n v="300"/>
    <x v="0"/>
    <s v="Valid"/>
    <n v="177"/>
  </r>
  <r>
    <n v="79"/>
    <x v="14"/>
    <d v="2023-04-13T00:00:00"/>
    <d v="1899-12-30T10:15:00"/>
    <n v="1"/>
    <s v="Male"/>
    <n v="34"/>
    <x v="0"/>
    <n v="1"/>
    <n v="300"/>
    <n v="96"/>
    <n v="300"/>
    <x v="0"/>
    <s v="Valid"/>
    <n v="204"/>
  </r>
  <r>
    <n v="1079"/>
    <x v="21"/>
    <d v="2023-08-21T00:00:00"/>
    <d v="1899-12-30T06:45:00"/>
    <n v="1"/>
    <s v="Male"/>
    <n v="34"/>
    <x v="0"/>
    <n v="1"/>
    <n v="300"/>
    <n v="117"/>
    <n v="300"/>
    <x v="0"/>
    <s v="Valid"/>
    <n v="183"/>
  </r>
  <r>
    <n v="969"/>
    <x v="20"/>
    <d v="2023-11-27T00:00:00"/>
    <d v="1899-12-30T11:47:00"/>
    <n v="2"/>
    <s v="Female"/>
    <n v="40"/>
    <x v="1"/>
    <n v="3"/>
    <n v="300"/>
    <n v="84"/>
    <n v="900"/>
    <x v="0"/>
    <s v="Valid"/>
    <n v="816"/>
  </r>
  <r>
    <n v="1969"/>
    <x v="23"/>
    <d v="2023-03-05T00:00:00"/>
    <d v="1899-12-30T19:34:00"/>
    <n v="4"/>
    <s v="Female"/>
    <n v="40"/>
    <x v="1"/>
    <n v="3"/>
    <n v="300"/>
    <n v="126"/>
    <n v="900"/>
    <x v="0"/>
    <s v="Valid"/>
    <n v="774"/>
  </r>
  <r>
    <n v="298"/>
    <x v="12"/>
    <d v="2023-10-05T00:00:00"/>
    <d v="1899-12-30T19:05:00"/>
    <n v="3"/>
    <s v="Male"/>
    <n v="27"/>
    <x v="0"/>
    <n v="4"/>
    <n v="300"/>
    <n v="84"/>
    <n v="1200"/>
    <x v="0"/>
    <s v="Valid"/>
    <n v="1116"/>
  </r>
  <r>
    <n v="1298"/>
    <x v="18"/>
    <d v="2023-05-02T00:00:00"/>
    <d v="1899-12-30T19:51:00"/>
    <n v="1"/>
    <s v="Male"/>
    <n v="27"/>
    <x v="0"/>
    <n v="4"/>
    <n v="300"/>
    <n v="120"/>
    <n v="1200"/>
    <x v="0"/>
    <s v="Valid"/>
    <n v="1080"/>
  </r>
  <r>
    <n v="129"/>
    <x v="14"/>
    <d v="2023-04-17T00:00:00"/>
    <d v="1899-12-30T17:42:00"/>
    <n v="1"/>
    <s v="Female"/>
    <n v="21"/>
    <x v="0"/>
    <n v="2"/>
    <n v="300"/>
    <n v="75"/>
    <n v="600"/>
    <x v="0"/>
    <s v="Valid"/>
    <n v="525"/>
  </r>
  <r>
    <n v="1129"/>
    <x v="22"/>
    <d v="2023-09-08T00:00:00"/>
    <d v="1899-12-30T21:46:00"/>
    <n v="1"/>
    <s v="Female"/>
    <n v="21"/>
    <x v="0"/>
    <n v="2"/>
    <n v="300"/>
    <n v="156"/>
    <n v="600"/>
    <x v="0"/>
    <s v="Valid"/>
    <n v="444"/>
  </r>
  <r>
    <n v="482"/>
    <x v="21"/>
    <d v="2023-08-12T00:00:00"/>
    <d v="1899-12-30T18:57:00"/>
    <n v="3"/>
    <s v="Female"/>
    <n v="28"/>
    <x v="1"/>
    <n v="4"/>
    <n v="300"/>
    <n v="141"/>
    <n v="1200"/>
    <x v="0"/>
    <s v="Valid"/>
    <n v="1059"/>
  </r>
  <r>
    <n v="1482"/>
    <x v="19"/>
    <d v="2023-02-10T00:00:00"/>
    <d v="1899-12-30T22:22:00"/>
    <n v="1"/>
    <s v="Female"/>
    <n v="28"/>
    <x v="1"/>
    <n v="4"/>
    <n v="300"/>
    <n v="114"/>
    <n v="1200"/>
    <x v="0"/>
    <s v="Valid"/>
    <n v="1086"/>
  </r>
  <r>
    <n v="987"/>
    <x v="20"/>
    <d v="2023-11-08T00:00:00"/>
    <d v="1899-12-30T18:45:00"/>
    <n v="1"/>
    <s v="Female"/>
    <n v="30"/>
    <x v="1"/>
    <n v="3"/>
    <n v="300"/>
    <n v="165"/>
    <n v="900"/>
    <x v="0"/>
    <s v="Valid"/>
    <n v="735"/>
  </r>
  <r>
    <n v="1987"/>
    <x v="18"/>
    <d v="2023-05-26T00:00:00"/>
    <d v="1899-12-30T18:18:00"/>
    <n v="2"/>
    <s v="Female"/>
    <n v="30"/>
    <x v="1"/>
    <n v="3"/>
    <n v="300"/>
    <n v="129"/>
    <n v="900"/>
    <x v="0"/>
    <s v="Valid"/>
    <n v="771"/>
  </r>
  <r>
    <n v="252"/>
    <x v="18"/>
    <d v="2023-05-05T00:00:00"/>
    <d v="1899-12-30T17:37:00"/>
    <n v="1"/>
    <s v="Male"/>
    <n v="54"/>
    <x v="2"/>
    <n v="1"/>
    <n v="300"/>
    <n v="84"/>
    <n v="300"/>
    <x v="0"/>
    <s v="Valid"/>
    <n v="216"/>
  </r>
  <r>
    <n v="1252"/>
    <x v="16"/>
    <d v="2023-12-30T00:00:00"/>
    <d v="1899-12-30T20:18:00"/>
    <n v="5"/>
    <s v="Male"/>
    <n v="54"/>
    <x v="2"/>
    <n v="1"/>
    <n v="300"/>
    <n v="117"/>
    <n v="300"/>
    <x v="0"/>
    <s v="Valid"/>
    <n v="183"/>
  </r>
  <r>
    <n v="380"/>
    <x v="21"/>
    <d v="2023-08-30T00:00:00"/>
    <d v="1899-12-30T22:26:00"/>
    <n v="2"/>
    <s v="Male"/>
    <n v="56"/>
    <x v="2"/>
    <n v="2"/>
    <n v="300"/>
    <n v="102"/>
    <n v="600"/>
    <x v="0"/>
    <s v="Valid"/>
    <n v="498"/>
  </r>
  <r>
    <n v="1380"/>
    <x v="19"/>
    <d v="2023-02-09T00:00:00"/>
    <d v="1899-12-30T19:45:00"/>
    <n v="3"/>
    <s v="Male"/>
    <n v="56"/>
    <x v="2"/>
    <n v="2"/>
    <n v="300"/>
    <n v="159"/>
    <n v="600"/>
    <x v="0"/>
    <s v="Valid"/>
    <n v="441"/>
  </r>
  <r>
    <n v="221"/>
    <x v="20"/>
    <d v="2023-11-27T00:00:00"/>
    <d v="1899-12-30T21:01:00"/>
    <n v="3"/>
    <s v="Male"/>
    <n v="39"/>
    <x v="0"/>
    <n v="2"/>
    <n v="300"/>
    <n v="111"/>
    <n v="600"/>
    <x v="0"/>
    <s v="Valid"/>
    <n v="489"/>
  </r>
  <r>
    <n v="1221"/>
    <x v="22"/>
    <d v="2023-09-14T00:00:00"/>
    <d v="1899-12-30T22:57:00"/>
    <n v="5"/>
    <s v="Male"/>
    <n v="39"/>
    <x v="0"/>
    <n v="2"/>
    <n v="300"/>
    <n v="114"/>
    <n v="600"/>
    <x v="0"/>
    <s v="Valid"/>
    <n v="486"/>
  </r>
  <r>
    <n v="838"/>
    <x v="22"/>
    <d v="2023-09-30T00:00:00"/>
    <d v="1899-12-30T21:20:00"/>
    <n v="1"/>
    <s v="Male"/>
    <n v="47"/>
    <x v="2"/>
    <n v="2"/>
    <n v="300"/>
    <n v="153"/>
    <n v="600"/>
    <x v="0"/>
    <s v="Valid"/>
    <n v="447"/>
  </r>
  <r>
    <n v="1838"/>
    <x v="17"/>
    <d v="2023-06-28T00:00:00"/>
    <d v="1899-12-30T17:06:00"/>
    <n v="4"/>
    <s v="Male"/>
    <n v="47"/>
    <x v="2"/>
    <n v="2"/>
    <n v="300"/>
    <n v="102"/>
    <n v="600"/>
    <x v="0"/>
    <s v="Valid"/>
    <n v="498"/>
  </r>
  <r>
    <n v="48"/>
    <x v="12"/>
    <d v="2023-10-06T00:00:00"/>
    <d v="1899-12-30T17:34:00"/>
    <n v="2"/>
    <s v="Male"/>
    <n v="54"/>
    <x v="2"/>
    <n v="3"/>
    <n v="300"/>
    <n v="123"/>
    <n v="900"/>
    <x v="0"/>
    <s v="Valid"/>
    <n v="777"/>
  </r>
  <r>
    <n v="358"/>
    <x v="12"/>
    <d v="2023-10-12T00:00:00"/>
    <d v="1899-12-30T18:32:00"/>
    <n v="4"/>
    <s v="Female"/>
    <n v="32"/>
    <x v="0"/>
    <n v="1"/>
    <n v="300"/>
    <n v="132"/>
    <n v="300"/>
    <x v="0"/>
    <s v="Valid"/>
    <n v="168"/>
  </r>
  <r>
    <n v="398"/>
    <x v="19"/>
    <d v="2023-02-23T00:00:00"/>
    <d v="1899-12-30T21:17:00"/>
    <n v="5"/>
    <s v="Female"/>
    <n v="48"/>
    <x v="1"/>
    <n v="2"/>
    <n v="300"/>
    <n v="114"/>
    <n v="600"/>
    <x v="0"/>
    <s v="Valid"/>
    <n v="486"/>
  </r>
  <r>
    <n v="1048"/>
    <x v="15"/>
    <d v="2023-07-12T00:00:00"/>
    <d v="1899-12-30T19:14:00"/>
    <n v="3"/>
    <s v="Male"/>
    <n v="54"/>
    <x v="2"/>
    <n v="3"/>
    <n v="300"/>
    <n v="93"/>
    <n v="900"/>
    <x v="0"/>
    <s v="Valid"/>
    <n v="807"/>
  </r>
  <r>
    <n v="1358"/>
    <x v="18"/>
    <d v="2023-05-04T00:00:00"/>
    <d v="1899-12-30T21:40:00"/>
    <n v="5"/>
    <s v="Female"/>
    <n v="32"/>
    <x v="0"/>
    <n v="1"/>
    <n v="300"/>
    <n v="156"/>
    <n v="300"/>
    <x v="0"/>
    <s v="Valid"/>
    <n v="144"/>
  </r>
  <r>
    <n v="1398"/>
    <x v="15"/>
    <d v="2023-07-19T00:00:00"/>
    <d v="1899-12-30T17:20:00"/>
    <n v="1"/>
    <s v="Female"/>
    <n v="48"/>
    <x v="1"/>
    <n v="2"/>
    <n v="300"/>
    <n v="120"/>
    <n v="600"/>
    <x v="0"/>
    <s v="Valid"/>
    <n v="480"/>
  </r>
  <r>
    <n v="881"/>
    <x v="16"/>
    <d v="2023-12-21T00:00:00"/>
    <d v="1899-12-30T20:52:00"/>
    <n v="4"/>
    <s v="Male"/>
    <n v="22"/>
    <x v="2"/>
    <n v="1"/>
    <n v="300"/>
    <n v="99"/>
    <n v="300"/>
    <x v="0"/>
    <s v="Valid"/>
    <n v="201"/>
  </r>
  <r>
    <n v="1881"/>
    <x v="15"/>
    <d v="2023-07-11T00:00:00"/>
    <d v="1899-12-30T17:23:00"/>
    <n v="5"/>
    <s v="Male"/>
    <n v="22"/>
    <x v="2"/>
    <n v="1"/>
    <n v="300"/>
    <n v="147"/>
    <n v="300"/>
    <x v="0"/>
    <s v="Valid"/>
    <n v="153"/>
  </r>
  <r>
    <n v="403"/>
    <x v="14"/>
    <d v="2023-04-22T00:00:00"/>
    <d v="1899-12-30T19:31:00"/>
    <n v="5"/>
    <s v="Male"/>
    <n v="32"/>
    <x v="1"/>
    <n v="2"/>
    <n v="300"/>
    <n v="78"/>
    <n v="600"/>
    <x v="0"/>
    <s v="Valid"/>
    <n v="522"/>
  </r>
  <r>
    <n v="1403"/>
    <x v="23"/>
    <d v="2023-03-25T00:00:00"/>
    <d v="1899-12-30T18:20:00"/>
    <n v="4"/>
    <s v="Male"/>
    <n v="32"/>
    <x v="1"/>
    <n v="2"/>
    <n v="300"/>
    <n v="162"/>
    <n v="600"/>
    <x v="0"/>
    <s v="Valid"/>
    <n v="438"/>
  </r>
  <r>
    <n v="911"/>
    <x v="15"/>
    <d v="2023-07-15T00:00:00"/>
    <d v="1899-12-30T17:29:00"/>
    <n v="3"/>
    <s v="Male"/>
    <n v="42"/>
    <x v="2"/>
    <n v="3"/>
    <n v="300"/>
    <n v="84"/>
    <n v="900"/>
    <x v="0"/>
    <s v="Valid"/>
    <n v="816"/>
  </r>
  <r>
    <n v="1911"/>
    <x v="16"/>
    <d v="2023-12-13T00:00:00"/>
    <d v="1899-12-30T18:33:00"/>
    <n v="4"/>
    <s v="Male"/>
    <n v="42"/>
    <x v="2"/>
    <n v="3"/>
    <n v="300"/>
    <n v="75"/>
    <n v="900"/>
    <x v="0"/>
    <s v="Valid"/>
    <n v="825"/>
  </r>
  <r>
    <n v="31"/>
    <x v="16"/>
    <d v="2023-12-31T00:00:00"/>
    <d v="1899-12-30T17:47:00"/>
    <n v="3"/>
    <s v="Male"/>
    <n v="44"/>
    <x v="2"/>
    <n v="4"/>
    <n v="300"/>
    <n v="129"/>
    <n v="1200"/>
    <x v="0"/>
    <s v="Valid"/>
    <n v="1071"/>
  </r>
  <r>
    <n v="243"/>
    <x v="17"/>
    <d v="2023-06-24T00:00:00"/>
    <d v="1899-12-30T18:02:00"/>
    <n v="5"/>
    <s v="Female"/>
    <n v="47"/>
    <x v="2"/>
    <n v="3"/>
    <n v="300"/>
    <n v="156"/>
    <n v="900"/>
    <x v="0"/>
    <s v="Valid"/>
    <n v="744"/>
  </r>
  <r>
    <n v="491"/>
    <x v="16"/>
    <d v="2023-12-30T00:00:00"/>
    <d v="1899-12-30T21:11:00"/>
    <n v="4"/>
    <s v="Female"/>
    <n v="60"/>
    <x v="2"/>
    <n v="3"/>
    <n v="300"/>
    <n v="78"/>
    <n v="900"/>
    <x v="0"/>
    <s v="Valid"/>
    <n v="822"/>
  </r>
  <r>
    <n v="729"/>
    <x v="21"/>
    <d v="2023-08-26T00:00:00"/>
    <d v="1899-12-30T22:29:00"/>
    <n v="3"/>
    <s v="Male"/>
    <n v="29"/>
    <x v="1"/>
    <n v="4"/>
    <n v="300"/>
    <n v="84"/>
    <n v="1200"/>
    <x v="0"/>
    <s v="Valid"/>
    <n v="1116"/>
  </r>
  <r>
    <n v="1031"/>
    <x v="20"/>
    <d v="2023-11-12T00:00:00"/>
    <d v="1899-12-30T21:15:00"/>
    <n v="3"/>
    <s v="Male"/>
    <n v="44"/>
    <x v="2"/>
    <n v="4"/>
    <n v="300"/>
    <n v="126"/>
    <n v="1200"/>
    <x v="0"/>
    <s v="Valid"/>
    <n v="1074"/>
  </r>
  <r>
    <n v="1243"/>
    <x v="16"/>
    <d v="2023-12-08T00:00:00"/>
    <d v="1899-12-30T17:11:00"/>
    <n v="4"/>
    <s v="Female"/>
    <n v="47"/>
    <x v="2"/>
    <n v="3"/>
    <n v="300"/>
    <n v="138"/>
    <n v="900"/>
    <x v="0"/>
    <s v="Valid"/>
    <n v="762"/>
  </r>
  <r>
    <n v="1491"/>
    <x v="18"/>
    <d v="2023-05-26T00:00:00"/>
    <d v="1899-12-30T22:14:00"/>
    <n v="107"/>
    <s v="Female"/>
    <n v="60"/>
    <x v="2"/>
    <n v="3"/>
    <n v="300"/>
    <n v="129"/>
    <n v="900"/>
    <x v="0"/>
    <s v="Valid"/>
    <n v="771"/>
  </r>
  <r>
    <n v="1729"/>
    <x v="20"/>
    <d v="2023-11-22T00:00:00"/>
    <d v="1899-12-30T18:55:00"/>
    <n v="82"/>
    <s v="Male"/>
    <n v="29"/>
    <x v="1"/>
    <n v="4"/>
    <n v="300"/>
    <n v="81"/>
    <n v="1200"/>
    <x v="0"/>
    <s v="Valid"/>
    <n v="1119"/>
  </r>
  <r>
    <n v="899"/>
    <x v="18"/>
    <d v="2023-05-22T00:00:00"/>
    <d v="1899-12-30T21:34:00"/>
    <n v="147"/>
    <s v="Male"/>
    <n v="26"/>
    <x v="1"/>
    <n v="2"/>
    <n v="300"/>
    <n v="153"/>
    <n v="600"/>
    <x v="0"/>
    <s v="Valid"/>
    <n v="447"/>
  </r>
  <r>
    <n v="1899"/>
    <x v="18"/>
    <d v="2023-05-03T00:00:00"/>
    <d v="1899-12-30T21:03:00"/>
    <n v="51"/>
    <s v="Male"/>
    <n v="26"/>
    <x v="1"/>
    <n v="2"/>
    <n v="300"/>
    <n v="99"/>
    <n v="600"/>
    <x v="0"/>
    <s v="Valid"/>
    <n v="501"/>
  </r>
  <r>
    <n v="923"/>
    <x v="17"/>
    <d v="2023-06-10T00:00:00"/>
    <d v="1899-12-30T17:20:00"/>
    <n v="62"/>
    <s v="Male"/>
    <n v="32"/>
    <x v="0"/>
    <n v="3"/>
    <n v="300"/>
    <n v="165"/>
    <n v="900"/>
    <x v="0"/>
    <s v="Valid"/>
    <n v="735"/>
  </r>
  <r>
    <n v="1923"/>
    <x v="4"/>
    <d v="2022-04-03T00:00:00"/>
    <d v="1899-12-30T17:38:00"/>
    <n v="74"/>
    <s v="Male"/>
    <n v="32"/>
    <x v="0"/>
    <n v="3"/>
    <n v="300"/>
    <n v="159"/>
    <n v="900"/>
    <x v="0"/>
    <s v="Valid"/>
    <n v="741"/>
  </r>
  <r>
    <n v="67"/>
    <x v="21"/>
    <d v="2023-08-19T00:00:00"/>
    <d v="1899-12-30T20:19:00"/>
    <n v="119"/>
    <s v="Female"/>
    <n v="48"/>
    <x v="0"/>
    <n v="4"/>
    <n v="300"/>
    <n v="129"/>
    <n v="1200"/>
    <x v="0"/>
    <s v="Valid"/>
    <n v="1071"/>
  </r>
  <r>
    <n v="1067"/>
    <x v="12"/>
    <d v="2023-10-03T00:00:00"/>
    <d v="1899-12-30T17:01:00"/>
    <n v="105"/>
    <s v="Female"/>
    <n v="48"/>
    <x v="0"/>
    <n v="4"/>
    <n v="300"/>
    <n v="129"/>
    <n v="1200"/>
    <x v="0"/>
    <s v="Valid"/>
    <n v="1071"/>
  </r>
  <r>
    <n v="56"/>
    <x v="10"/>
    <d v="2022-12-27T00:00:00"/>
    <d v="1899-12-30T19:37:00"/>
    <n v="97"/>
    <s v="Female"/>
    <n v="26"/>
    <x v="1"/>
    <n v="3"/>
    <n v="300"/>
    <n v="120"/>
    <n v="900"/>
    <x v="0"/>
    <s v="Valid"/>
    <n v="780"/>
  </r>
  <r>
    <n v="862"/>
    <x v="10"/>
    <d v="2022-12-11T00:00:00"/>
    <d v="1899-12-30T21:37:00"/>
    <n v="29"/>
    <s v="Male"/>
    <n v="28"/>
    <x v="2"/>
    <n v="4"/>
    <n v="300"/>
    <n v="78"/>
    <n v="1200"/>
    <x v="0"/>
    <s v="Valid"/>
    <n v="1122"/>
  </r>
  <r>
    <n v="1056"/>
    <x v="4"/>
    <d v="2022-04-17T00:00:00"/>
    <d v="1899-12-30T19:46:00"/>
    <n v="54"/>
    <s v="Female"/>
    <n v="26"/>
    <x v="1"/>
    <n v="3"/>
    <n v="300"/>
    <n v="114"/>
    <n v="900"/>
    <x v="0"/>
    <s v="Valid"/>
    <n v="786"/>
  </r>
  <r>
    <n v="1862"/>
    <x v="5"/>
    <d v="2022-02-06T00:00:00"/>
    <d v="1899-12-30T22:50:00"/>
    <n v="64"/>
    <s v="Male"/>
    <n v="28"/>
    <x v="2"/>
    <n v="4"/>
    <n v="300"/>
    <n v="165"/>
    <n v="1200"/>
    <x v="0"/>
    <s v="Valid"/>
    <n v="1035"/>
  </r>
  <r>
    <n v="782"/>
    <x v="4"/>
    <d v="2022-04-13T00:00:00"/>
    <d v="1899-12-30T21:51:00"/>
    <n v="71"/>
    <s v="Male"/>
    <n v="59"/>
    <x v="1"/>
    <n v="3"/>
    <n v="300"/>
    <n v="150"/>
    <n v="900"/>
    <x v="0"/>
    <s v="Valid"/>
    <n v="750"/>
  </r>
  <r>
    <n v="1782"/>
    <x v="14"/>
    <d v="2023-04-07T00:00:00"/>
    <d v="1899-12-30T20:23:00"/>
    <n v="116"/>
    <s v="Male"/>
    <n v="59"/>
    <x v="1"/>
    <n v="3"/>
    <n v="300"/>
    <n v="141"/>
    <n v="900"/>
    <x v="0"/>
    <s v="Valid"/>
    <n v="759"/>
  </r>
  <r>
    <n v="481"/>
    <x v="15"/>
    <d v="2023-07-13T00:00:00"/>
    <d v="1899-12-30T17:12:00"/>
    <n v="48"/>
    <s v="Female"/>
    <n v="43"/>
    <x v="2"/>
    <n v="4"/>
    <n v="300"/>
    <n v="114"/>
    <n v="1200"/>
    <x v="0"/>
    <s v="Valid"/>
    <n v="1086"/>
  </r>
  <r>
    <n v="1481"/>
    <x v="20"/>
    <d v="2023-11-09T00:00:00"/>
    <d v="1899-12-30T17:22:00"/>
    <n v="20"/>
    <s v="Female"/>
    <n v="43"/>
    <x v="2"/>
    <n v="4"/>
    <n v="300"/>
    <n v="114"/>
    <n v="1200"/>
    <x v="0"/>
    <s v="Valid"/>
    <n v="1086"/>
  </r>
  <r>
    <n v="587"/>
    <x v="22"/>
    <d v="2023-09-04T00:00:00"/>
    <d v="1899-12-30T19:00:00"/>
    <n v="91"/>
    <s v="Female"/>
    <n v="40"/>
    <x v="0"/>
    <n v="4"/>
    <n v="300"/>
    <n v="99"/>
    <n v="1200"/>
    <x v="0"/>
    <s v="Valid"/>
    <n v="1101"/>
  </r>
  <r>
    <n v="1587"/>
    <x v="6"/>
    <d v="2022-11-05T00:00:00"/>
    <d v="1899-12-30T20:06:00"/>
    <n v="140"/>
    <s v="Female"/>
    <n v="40"/>
    <x v="0"/>
    <n v="4"/>
    <n v="300"/>
    <n v="105"/>
    <n v="1200"/>
    <x v="0"/>
    <s v="Valid"/>
    <n v="1095"/>
  </r>
  <r>
    <n v="110"/>
    <x v="6"/>
    <d v="2022-11-18T00:00:00"/>
    <d v="1899-12-30T17:28:00"/>
    <n v="149"/>
    <s v="Male"/>
    <n v="27"/>
    <x v="1"/>
    <n v="3"/>
    <n v="300"/>
    <n v="99"/>
    <n v="900"/>
    <x v="0"/>
    <s v="Valid"/>
    <n v="801"/>
  </r>
  <r>
    <n v="365"/>
    <x v="19"/>
    <d v="2023-02-23T00:00:00"/>
    <d v="1899-12-30T22:12:00"/>
    <n v="151"/>
    <s v="Male"/>
    <n v="31"/>
    <x v="1"/>
    <n v="1"/>
    <n v="300"/>
    <n v="93"/>
    <n v="300"/>
    <x v="0"/>
    <s v="Valid"/>
    <n v="207"/>
  </r>
  <r>
    <n v="1110"/>
    <x v="8"/>
    <d v="2022-10-26T00:00:00"/>
    <d v="1899-12-30T19:14:00"/>
    <n v="62"/>
    <s v="Male"/>
    <n v="27"/>
    <x v="1"/>
    <n v="3"/>
    <n v="300"/>
    <n v="114"/>
    <n v="900"/>
    <x v="0"/>
    <s v="Valid"/>
    <n v="786"/>
  </r>
  <r>
    <n v="1365"/>
    <x v="20"/>
    <d v="2023-11-08T00:00:00"/>
    <d v="1899-12-30T20:22:00"/>
    <n v="18"/>
    <s v="Male"/>
    <n v="31"/>
    <x v="1"/>
    <n v="1"/>
    <n v="300"/>
    <n v="156"/>
    <n v="300"/>
    <x v="0"/>
    <s v="Valid"/>
    <n v="144"/>
  </r>
  <r>
    <n v="567"/>
    <x v="18"/>
    <d v="2023-05-08T00:00:00"/>
    <d v="1899-12-30T19:53:00"/>
    <n v="5"/>
    <s v="Female"/>
    <n v="25"/>
    <x v="1"/>
    <n v="3"/>
    <n v="300"/>
    <n v="144"/>
    <n v="900"/>
    <x v="0"/>
    <s v="Valid"/>
    <n v="756"/>
  </r>
  <r>
    <n v="1567"/>
    <x v="14"/>
    <d v="2023-04-07T00:00:00"/>
    <d v="1899-12-30T17:10:00"/>
    <n v="76"/>
    <s v="Female"/>
    <n v="25"/>
    <x v="1"/>
    <n v="3"/>
    <n v="300"/>
    <n v="162"/>
    <n v="900"/>
    <x v="0"/>
    <s v="Valid"/>
    <n v="738"/>
  </r>
  <r>
    <n v="726"/>
    <x v="7"/>
    <d v="2022-06-05T00:00:00"/>
    <d v="1899-12-30T19:37:00"/>
    <n v="72"/>
    <s v="Male"/>
    <n v="47"/>
    <x v="1"/>
    <n v="4"/>
    <n v="300"/>
    <n v="126"/>
    <n v="1200"/>
    <x v="0"/>
    <s v="Valid"/>
    <n v="1074"/>
  </r>
  <r>
    <n v="1726"/>
    <x v="17"/>
    <d v="2023-06-26T00:00:00"/>
    <d v="1899-12-30T18:12:00"/>
    <n v="13"/>
    <s v="Male"/>
    <n v="47"/>
    <x v="1"/>
    <n v="4"/>
    <n v="300"/>
    <n v="93"/>
    <n v="1200"/>
    <x v="0"/>
    <s v="Valid"/>
    <n v="1107"/>
  </r>
  <r>
    <n v="488"/>
    <x v="9"/>
    <d v="2022-07-05T00:00:00"/>
    <d v="1899-12-30T17:28:00"/>
    <n v="26"/>
    <s v="Female"/>
    <n v="51"/>
    <x v="2"/>
    <n v="3"/>
    <n v="300"/>
    <n v="123"/>
    <n v="900"/>
    <x v="0"/>
    <s v="Valid"/>
    <n v="777"/>
  </r>
  <r>
    <n v="1488"/>
    <x v="6"/>
    <d v="2022-11-12T00:00:00"/>
    <d v="1899-12-30T19:24:00"/>
    <n v="9"/>
    <s v="Female"/>
    <n v="51"/>
    <x v="2"/>
    <n v="3"/>
    <n v="300"/>
    <n v="126"/>
    <n v="900"/>
    <x v="0"/>
    <s v="Valid"/>
    <n v="774"/>
  </r>
  <r>
    <n v="669"/>
    <x v="11"/>
    <d v="2022-01-23T00:00:00"/>
    <d v="1899-12-30T20:24:00"/>
    <n v="110"/>
    <s v="Male"/>
    <n v="24"/>
    <x v="0"/>
    <n v="4"/>
    <n v="300"/>
    <n v="87"/>
    <n v="1200"/>
    <x v="0"/>
    <s v="Valid"/>
    <n v="1113"/>
  </r>
  <r>
    <n v="1669"/>
    <x v="1"/>
    <d v="2022-08-04T00:00:00"/>
    <d v="1899-12-30T22:28:00"/>
    <n v="83"/>
    <s v="Male"/>
    <n v="24"/>
    <x v="0"/>
    <n v="4"/>
    <n v="300"/>
    <n v="123"/>
    <n v="1200"/>
    <x v="0"/>
    <s v="Valid"/>
    <n v="1077"/>
  </r>
  <r>
    <n v="727"/>
    <x v="20"/>
    <d v="2023-11-15T00:00:00"/>
    <d v="1899-12-30T18:37:00"/>
    <n v="32"/>
    <s v="Male"/>
    <n v="55"/>
    <x v="0"/>
    <n v="3"/>
    <n v="300"/>
    <n v="105"/>
    <n v="900"/>
    <x v="0"/>
    <s v="Valid"/>
    <n v="795"/>
  </r>
  <r>
    <n v="1727"/>
    <x v="21"/>
    <d v="2023-08-08T00:00:00"/>
    <d v="1899-12-30T21:06:00"/>
    <n v="72"/>
    <s v="Male"/>
    <n v="55"/>
    <x v="0"/>
    <n v="3"/>
    <n v="300"/>
    <n v="75"/>
    <n v="900"/>
    <x v="0"/>
    <s v="Valid"/>
    <n v="825"/>
  </r>
  <r>
    <n v="36"/>
    <x v="19"/>
    <d v="2023-02-22T00:00:00"/>
    <d v="1899-12-30T22:06:00"/>
    <n v="40"/>
    <s v="Male"/>
    <n v="52"/>
    <x v="0"/>
    <n v="3"/>
    <n v="300"/>
    <n v="144"/>
    <n v="900"/>
    <x v="0"/>
    <s v="Valid"/>
    <n v="756"/>
  </r>
  <r>
    <n v="839"/>
    <x v="20"/>
    <d v="2023-11-11T00:00:00"/>
    <d v="1899-12-30T21:02:00"/>
    <n v="130"/>
    <s v="Female"/>
    <n v="20"/>
    <x v="2"/>
    <n v="4"/>
    <n v="300"/>
    <n v="96"/>
    <n v="1200"/>
    <x v="0"/>
    <s v="Valid"/>
    <n v="1104"/>
  </r>
  <r>
    <n v="1036"/>
    <x v="1"/>
    <d v="2022-08-17T00:00:00"/>
    <d v="1899-12-30T18:03:00"/>
    <n v="121"/>
    <s v="Male"/>
    <n v="52"/>
    <x v="0"/>
    <n v="3"/>
    <n v="300"/>
    <n v="117"/>
    <n v="900"/>
    <x v="0"/>
    <s v="Valid"/>
    <n v="783"/>
  </r>
  <r>
    <n v="1839"/>
    <x v="1"/>
    <d v="2022-08-28T00:00:00"/>
    <d v="1899-12-30T21:57:00"/>
    <n v="92"/>
    <s v="Female"/>
    <n v="20"/>
    <x v="2"/>
    <n v="4"/>
    <n v="300"/>
    <n v="156"/>
    <n v="1200"/>
    <x v="0"/>
    <s v="Valid"/>
    <n v="1044"/>
  </r>
  <r>
    <n v="407"/>
    <x v="9"/>
    <d v="2022-07-16T00:00:00"/>
    <d v="1899-12-30T22:17:00"/>
    <n v="117"/>
    <s v="Female"/>
    <n v="46"/>
    <x v="2"/>
    <n v="3"/>
    <n v="300"/>
    <n v="138"/>
    <n v="900"/>
    <x v="0"/>
    <s v="Valid"/>
    <n v="762"/>
  </r>
  <r>
    <n v="1407"/>
    <x v="4"/>
    <d v="2022-04-10T00:00:00"/>
    <d v="1899-12-30T19:41:00"/>
    <n v="54"/>
    <s v="Female"/>
    <n v="46"/>
    <x v="2"/>
    <n v="3"/>
    <n v="300"/>
    <n v="120"/>
    <n v="900"/>
    <x v="0"/>
    <s v="Valid"/>
    <n v="780"/>
  </r>
  <r>
    <n v="46"/>
    <x v="6"/>
    <d v="2022-11-08T00:00:00"/>
    <d v="1899-12-30T17:50:00"/>
    <n v="54"/>
    <s v="Female"/>
    <n v="20"/>
    <x v="2"/>
    <n v="4"/>
    <n v="300"/>
    <n v="84"/>
    <n v="1200"/>
    <x v="0"/>
    <s v="Valid"/>
    <n v="1116"/>
  </r>
  <r>
    <n v="509"/>
    <x v="15"/>
    <d v="2023-07-10T00:00:00"/>
    <d v="1899-12-30T19:35:00"/>
    <n v="70"/>
    <s v="Female"/>
    <n v="37"/>
    <x v="2"/>
    <n v="3"/>
    <n v="300"/>
    <n v="141"/>
    <n v="900"/>
    <x v="0"/>
    <s v="Valid"/>
    <n v="759"/>
  </r>
  <r>
    <n v="1046"/>
    <x v="15"/>
    <d v="2023-07-21T00:00:00"/>
    <d v="1899-12-30T21:47:00"/>
    <n v="5"/>
    <s v="Female"/>
    <n v="20"/>
    <x v="2"/>
    <n v="4"/>
    <n v="300"/>
    <n v="156"/>
    <n v="1200"/>
    <x v="0"/>
    <s v="Valid"/>
    <n v="1044"/>
  </r>
  <r>
    <n v="1509"/>
    <x v="6"/>
    <d v="2022-11-25T00:00:00"/>
    <d v="1899-12-30T20:40:00"/>
    <n v="67"/>
    <s v="Female"/>
    <n v="37"/>
    <x v="2"/>
    <n v="3"/>
    <n v="300"/>
    <n v="129"/>
    <n v="900"/>
    <x v="0"/>
    <s v="Valid"/>
    <n v="771"/>
  </r>
  <r>
    <n v="788"/>
    <x v="7"/>
    <d v="2022-06-20T00:00:00"/>
    <d v="1899-12-30T18:54:00"/>
    <n v="90"/>
    <s v="Female"/>
    <n v="52"/>
    <x v="0"/>
    <n v="3"/>
    <n v="300"/>
    <n v="105"/>
    <n v="900"/>
    <x v="0"/>
    <s v="Valid"/>
    <n v="795"/>
  </r>
  <r>
    <n v="1788"/>
    <x v="0"/>
    <d v="2022-05-03T00:00:00"/>
    <d v="1899-12-30T20:35:00"/>
    <n v="98"/>
    <s v="Female"/>
    <n v="52"/>
    <x v="0"/>
    <n v="3"/>
    <n v="300"/>
    <n v="150"/>
    <n v="900"/>
    <x v="0"/>
    <s v="Valid"/>
    <n v="750"/>
  </r>
  <r>
    <n v="378"/>
    <x v="6"/>
    <d v="2022-11-03T00:00:00"/>
    <d v="1899-12-30T18:16:00"/>
    <n v="81"/>
    <s v="Male"/>
    <n v="50"/>
    <x v="0"/>
    <n v="1"/>
    <n v="300"/>
    <n v="165"/>
    <n v="300"/>
    <x v="0"/>
    <s v="Valid"/>
    <n v="135"/>
  </r>
  <r>
    <n v="1378"/>
    <x v="4"/>
    <d v="2022-04-28T00:00:00"/>
    <d v="1899-12-30T21:56:00"/>
    <n v="27"/>
    <s v="Male"/>
    <n v="50"/>
    <x v="0"/>
    <n v="1"/>
    <n v="300"/>
    <n v="132"/>
    <n v="300"/>
    <x v="0"/>
    <s v="Valid"/>
    <n v="168"/>
  </r>
  <r>
    <n v="43"/>
    <x v="23"/>
    <d v="2023-03-18T00:00:00"/>
    <d v="1899-12-30T21:42:00"/>
    <n v="118"/>
    <s v="Female"/>
    <n v="48"/>
    <x v="1"/>
    <n v="1"/>
    <n v="300"/>
    <n v="111"/>
    <n v="300"/>
    <x v="0"/>
    <s v="Valid"/>
    <n v="189"/>
  </r>
  <r>
    <n v="302"/>
    <x v="19"/>
    <d v="2023-02-09T00:00:00"/>
    <d v="1899-12-30T17:51:00"/>
    <n v="26"/>
    <s v="Male"/>
    <n v="57"/>
    <x v="0"/>
    <n v="2"/>
    <n v="300"/>
    <n v="135"/>
    <n v="600"/>
    <x v="0"/>
    <s v="Valid"/>
    <n v="465"/>
  </r>
  <r>
    <n v="551"/>
    <x v="23"/>
    <d v="2023-03-21T00:00:00"/>
    <d v="1899-12-30T22:45:00"/>
    <n v="99"/>
    <s v="Male"/>
    <n v="45"/>
    <x v="2"/>
    <n v="3"/>
    <n v="300"/>
    <n v="141"/>
    <n v="900"/>
    <x v="0"/>
    <s v="Valid"/>
    <n v="759"/>
  </r>
  <r>
    <n v="722"/>
    <x v="19"/>
    <d v="2023-02-24T00:00:00"/>
    <d v="1899-12-30T18:35:00"/>
    <n v="25"/>
    <s v="Male"/>
    <n v="20"/>
    <x v="0"/>
    <n v="3"/>
    <n v="300"/>
    <n v="162"/>
    <n v="900"/>
    <x v="0"/>
    <s v="Valid"/>
    <n v="738"/>
  </r>
  <r>
    <n v="1043"/>
    <x v="20"/>
    <d v="2023-11-30T00:00:00"/>
    <d v="1899-12-30T18:10:00"/>
    <n v="20"/>
    <s v="Female"/>
    <n v="48"/>
    <x v="1"/>
    <n v="1"/>
    <n v="300"/>
    <n v="87"/>
    <n v="300"/>
    <x v="0"/>
    <s v="Valid"/>
    <n v="213"/>
  </r>
  <r>
    <n v="1302"/>
    <x v="10"/>
    <d v="2022-12-21T00:00:00"/>
    <d v="1899-12-30T17:55:00"/>
    <n v="20"/>
    <s v="Male"/>
    <n v="57"/>
    <x v="0"/>
    <n v="2"/>
    <n v="300"/>
    <n v="102"/>
    <n v="600"/>
    <x v="0"/>
    <s v="Valid"/>
    <n v="498"/>
  </r>
  <r>
    <n v="1551"/>
    <x v="20"/>
    <d v="2023-11-12T00:00:00"/>
    <d v="1899-12-30T22:36:00"/>
    <n v="84"/>
    <s v="Male"/>
    <n v="45"/>
    <x v="2"/>
    <n v="3"/>
    <n v="300"/>
    <n v="81"/>
    <n v="900"/>
    <x v="0"/>
    <s v="Valid"/>
    <n v="819"/>
  </r>
  <r>
    <n v="1722"/>
    <x v="11"/>
    <d v="2022-01-30T00:00:00"/>
    <d v="1899-12-30T20:38:00"/>
    <n v="22"/>
    <s v="Male"/>
    <n v="20"/>
    <x v="0"/>
    <n v="3"/>
    <n v="300"/>
    <n v="159"/>
    <n v="900"/>
    <x v="0"/>
    <s v="Valid"/>
    <n v="741"/>
  </r>
  <r>
    <n v="515"/>
    <x v="5"/>
    <d v="2022-02-13T00:00:00"/>
    <d v="1899-12-30T20:47:00"/>
    <n v="71"/>
    <s v="Female"/>
    <n v="49"/>
    <x v="1"/>
    <n v="3"/>
    <n v="300"/>
    <n v="75"/>
    <n v="900"/>
    <x v="0"/>
    <s v="Valid"/>
    <n v="825"/>
  </r>
  <r>
    <n v="1515"/>
    <x v="19"/>
    <d v="2023-02-04T00:00:00"/>
    <d v="1899-12-30T21:49:00"/>
    <n v="107"/>
    <s v="Female"/>
    <n v="49"/>
    <x v="1"/>
    <n v="3"/>
    <n v="300"/>
    <n v="135"/>
    <n v="900"/>
    <x v="0"/>
    <s v="Valid"/>
    <n v="765"/>
  </r>
  <r>
    <n v="698"/>
    <x v="2"/>
    <d v="2022-03-17T00:00:00"/>
    <d v="1899-12-30T20:56:00"/>
    <n v="116"/>
    <s v="Female"/>
    <n v="64"/>
    <x v="2"/>
    <n v="1"/>
    <n v="300"/>
    <n v="123"/>
    <n v="300"/>
    <x v="0"/>
    <s v="Valid"/>
    <n v="177"/>
  </r>
  <r>
    <n v="1698"/>
    <x v="4"/>
    <d v="2022-04-07T00:00:00"/>
    <d v="1899-12-30T21:50:00"/>
    <n v="146"/>
    <s v="Female"/>
    <n v="64"/>
    <x v="2"/>
    <n v="1"/>
    <n v="300"/>
    <n v="105"/>
    <n v="300"/>
    <x v="0"/>
    <s v="Valid"/>
    <n v="195"/>
  </r>
  <r>
    <n v="270"/>
    <x v="10"/>
    <d v="2022-12-17T00:00:00"/>
    <d v="1899-12-30T17:46:00"/>
    <n v="84"/>
    <s v="Male"/>
    <n v="43"/>
    <x v="2"/>
    <n v="1"/>
    <n v="300"/>
    <n v="117"/>
    <n v="300"/>
    <x v="0"/>
    <s v="Valid"/>
    <n v="183"/>
  </r>
  <r>
    <n v="543"/>
    <x v="4"/>
    <d v="2022-04-16T00:00:00"/>
    <d v="1899-12-30T20:30:00"/>
    <n v="121"/>
    <s v="Male"/>
    <n v="49"/>
    <x v="0"/>
    <n v="2"/>
    <n v="300"/>
    <n v="75"/>
    <n v="600"/>
    <x v="0"/>
    <s v="Valid"/>
    <n v="525"/>
  </r>
  <r>
    <n v="1270"/>
    <x v="1"/>
    <d v="2022-08-25T00:00:00"/>
    <d v="1899-12-30T22:54:00"/>
    <n v="84"/>
    <s v="Male"/>
    <n v="43"/>
    <x v="2"/>
    <n v="1"/>
    <n v="300"/>
    <n v="108"/>
    <n v="300"/>
    <x v="0"/>
    <s v="Valid"/>
    <n v="192"/>
  </r>
  <r>
    <n v="1543"/>
    <x v="8"/>
    <d v="2022-10-03T00:00:00"/>
    <d v="1899-12-30T22:40:00"/>
    <n v="73"/>
    <s v="Male"/>
    <n v="49"/>
    <x v="0"/>
    <n v="2"/>
    <n v="300"/>
    <n v="123"/>
    <n v="600"/>
    <x v="0"/>
    <s v="Valid"/>
    <n v="477"/>
  </r>
  <r>
    <n v="702"/>
    <x v="23"/>
    <d v="2023-03-03T00:00:00"/>
    <d v="1899-12-30T17:18:00"/>
    <n v="66"/>
    <s v="Female"/>
    <n v="60"/>
    <x v="1"/>
    <n v="2"/>
    <n v="300"/>
    <n v="78"/>
    <n v="600"/>
    <x v="0"/>
    <s v="Valid"/>
    <n v="522"/>
  </r>
  <r>
    <n v="1702"/>
    <x v="15"/>
    <d v="2023-07-31T00:00:00"/>
    <d v="1899-12-30T21:54:00"/>
    <n v="102"/>
    <s v="Female"/>
    <n v="60"/>
    <x v="1"/>
    <n v="2"/>
    <n v="300"/>
    <n v="87"/>
    <n v="600"/>
    <x v="0"/>
    <s v="Valid"/>
    <n v="513"/>
  </r>
  <r>
    <n v="295"/>
    <x v="5"/>
    <d v="2022-02-01T00:00:00"/>
    <d v="1899-12-30T20:23:00"/>
    <n v="80"/>
    <s v="Female"/>
    <n v="27"/>
    <x v="0"/>
    <n v="3"/>
    <n v="300"/>
    <n v="105"/>
    <n v="900"/>
    <x v="0"/>
    <s v="Valid"/>
    <n v="795"/>
  </r>
  <r>
    <n v="457"/>
    <x v="6"/>
    <d v="2022-11-28T00:00:00"/>
    <d v="1899-12-30T22:49:00"/>
    <n v="38"/>
    <s v="Female"/>
    <n v="58"/>
    <x v="0"/>
    <n v="3"/>
    <n v="300"/>
    <n v="147"/>
    <n v="900"/>
    <x v="0"/>
    <s v="Valid"/>
    <n v="753"/>
  </r>
  <r>
    <n v="1295"/>
    <x v="20"/>
    <d v="2023-11-04T00:00:00"/>
    <d v="1899-12-30T19:28:00"/>
    <n v="86"/>
    <s v="Female"/>
    <n v="27"/>
    <x v="0"/>
    <n v="3"/>
    <n v="300"/>
    <n v="81"/>
    <n v="900"/>
    <x v="0"/>
    <s v="Valid"/>
    <n v="819"/>
  </r>
  <r>
    <n v="1457"/>
    <x v="23"/>
    <d v="2023-03-25T00:00:00"/>
    <d v="1899-12-30T21:31:00"/>
    <n v="140"/>
    <s v="Female"/>
    <n v="58"/>
    <x v="0"/>
    <n v="3"/>
    <n v="300"/>
    <n v="108"/>
    <n v="900"/>
    <x v="0"/>
    <s v="Valid"/>
    <n v="792"/>
  </r>
  <r>
    <n v="687"/>
    <x v="7"/>
    <d v="2022-06-27T00:00:00"/>
    <d v="1899-12-30T17:14:00"/>
    <n v="86"/>
    <s v="Female"/>
    <n v="53"/>
    <x v="2"/>
    <n v="1"/>
    <n v="300"/>
    <n v="150"/>
    <n v="300"/>
    <x v="0"/>
    <s v="Valid"/>
    <n v="150"/>
  </r>
  <r>
    <n v="1687"/>
    <x v="19"/>
    <d v="2023-02-17T00:00:00"/>
    <d v="1899-12-30T22:27:00"/>
    <n v="102"/>
    <s v="Female"/>
    <n v="53"/>
    <x v="2"/>
    <n v="1"/>
    <n v="300"/>
    <n v="81"/>
    <n v="300"/>
    <x v="0"/>
    <s v="Valid"/>
    <n v="219"/>
  </r>
  <r>
    <n v="35"/>
    <x v="8"/>
    <d v="2022-10-29T00:00:00"/>
    <d v="1899-12-30T17:30:00"/>
    <n v="122"/>
    <s v="Female"/>
    <n v="58"/>
    <x v="0"/>
    <n v="3"/>
    <n v="300"/>
    <n v="126"/>
    <n v="900"/>
    <x v="0"/>
    <s v="Valid"/>
    <n v="774"/>
  </r>
  <r>
    <n v="308"/>
    <x v="2"/>
    <d v="2022-03-31T00:00:00"/>
    <d v="1899-12-30T19:12:00"/>
    <n v="130"/>
    <s v="Female"/>
    <n v="34"/>
    <x v="0"/>
    <n v="4"/>
    <n v="300"/>
    <n v="126"/>
    <n v="1200"/>
    <x v="0"/>
    <s v="Valid"/>
    <n v="1074"/>
  </r>
  <r>
    <n v="1035"/>
    <x v="14"/>
    <d v="2023-04-26T00:00:00"/>
    <d v="1899-12-30T21:56:00"/>
    <n v="52"/>
    <s v="Female"/>
    <n v="58"/>
    <x v="0"/>
    <n v="3"/>
    <n v="300"/>
    <n v="105"/>
    <n v="900"/>
    <x v="0"/>
    <s v="Valid"/>
    <n v="795"/>
  </r>
  <r>
    <n v="1308"/>
    <x v="17"/>
    <d v="2023-06-19T00:00:00"/>
    <d v="1899-12-30T22:39:00"/>
    <n v="91"/>
    <s v="Female"/>
    <n v="34"/>
    <x v="0"/>
    <n v="4"/>
    <n v="300"/>
    <n v="150"/>
    <n v="1200"/>
    <x v="0"/>
    <s v="Valid"/>
    <n v="1050"/>
  </r>
  <r>
    <n v="430"/>
    <x v="18"/>
    <d v="2023-05-23T00:00:00"/>
    <d v="1899-12-30T18:36:00"/>
    <n v="100"/>
    <s v="Female"/>
    <n v="43"/>
    <x v="2"/>
    <n v="3"/>
    <n v="300"/>
    <n v="153"/>
    <n v="900"/>
    <x v="0"/>
    <s v="Valid"/>
    <n v="747"/>
  </r>
  <r>
    <n v="1430"/>
    <x v="12"/>
    <d v="2023-10-31T00:00:00"/>
    <d v="1899-12-30T18:25:00"/>
    <n v="22"/>
    <s v="Female"/>
    <n v="43"/>
    <x v="2"/>
    <n v="3"/>
    <n v="300"/>
    <n v="132"/>
    <n v="900"/>
    <x v="0"/>
    <s v="Valid"/>
    <n v="768"/>
  </r>
  <r>
    <n v="716"/>
    <x v="21"/>
    <d v="2023-08-13T00:00:00"/>
    <d v="1899-12-30T19:51:00"/>
    <n v="137"/>
    <s v="Female"/>
    <n v="60"/>
    <x v="1"/>
    <n v="4"/>
    <n v="300"/>
    <n v="108"/>
    <n v="1200"/>
    <x v="0"/>
    <s v="Valid"/>
    <n v="1092"/>
  </r>
  <r>
    <n v="1716"/>
    <x v="5"/>
    <d v="2022-02-12T00:00:00"/>
    <d v="1899-12-30T19:16:00"/>
    <n v="39"/>
    <s v="Female"/>
    <n v="60"/>
    <x v="1"/>
    <n v="4"/>
    <n v="300"/>
    <n v="87"/>
    <n v="1200"/>
    <x v="0"/>
    <s v="Valid"/>
    <n v="1113"/>
  </r>
  <r>
    <n v="443"/>
    <x v="22"/>
    <d v="2023-09-19T00:00:00"/>
    <d v="1899-12-30T20:25:00"/>
    <n v="98"/>
    <s v="Male"/>
    <n v="29"/>
    <x v="1"/>
    <n v="2"/>
    <n v="300"/>
    <n v="114"/>
    <n v="600"/>
    <x v="0"/>
    <s v="Valid"/>
    <n v="486"/>
  </r>
  <r>
    <n v="1443"/>
    <x v="7"/>
    <d v="2022-06-18T00:00:00"/>
    <d v="1899-12-30T19:37:00"/>
    <n v="81"/>
    <s v="Male"/>
    <n v="29"/>
    <x v="1"/>
    <n v="2"/>
    <n v="300"/>
    <n v="147"/>
    <n v="600"/>
    <x v="0"/>
    <s v="Valid"/>
    <n v="453"/>
  </r>
  <r>
    <n v="508"/>
    <x v="15"/>
    <d v="2023-07-05T00:00:00"/>
    <d v="1899-12-30T22:52:00"/>
    <n v="32"/>
    <s v="Male"/>
    <n v="58"/>
    <x v="0"/>
    <n v="2"/>
    <n v="300"/>
    <n v="123"/>
    <n v="600"/>
    <x v="0"/>
    <s v="Valid"/>
    <n v="477"/>
  </r>
  <r>
    <n v="1508"/>
    <x v="4"/>
    <d v="2022-04-08T00:00:00"/>
    <d v="1899-12-30T20:32:00"/>
    <n v="90"/>
    <s v="Male"/>
    <n v="58"/>
    <x v="0"/>
    <n v="2"/>
    <n v="300"/>
    <n v="81"/>
    <n v="600"/>
    <x v="0"/>
    <s v="Valid"/>
    <n v="519"/>
  </r>
  <r>
    <n v="648"/>
    <x v="19"/>
    <d v="2023-02-23T00:00:00"/>
    <d v="1899-12-30T18:13:00"/>
    <n v="41"/>
    <s v="Male"/>
    <n v="53"/>
    <x v="0"/>
    <n v="4"/>
    <n v="300"/>
    <n v="138"/>
    <n v="1200"/>
    <x v="0"/>
    <s v="Valid"/>
    <n v="1062"/>
  </r>
  <r>
    <n v="1648"/>
    <x v="15"/>
    <d v="2023-07-10T00:00:00"/>
    <d v="1899-12-30T17:18:00"/>
    <n v="16"/>
    <s v="Male"/>
    <n v="53"/>
    <x v="0"/>
    <n v="4"/>
    <n v="300"/>
    <n v="87"/>
    <n v="1200"/>
    <x v="0"/>
    <s v="Valid"/>
    <n v="1113"/>
  </r>
  <r>
    <n v="635"/>
    <x v="10"/>
    <d v="2022-12-04T00:00:00"/>
    <d v="1899-12-30T21:03:00"/>
    <n v="89"/>
    <s v="Female"/>
    <n v="63"/>
    <x v="2"/>
    <n v="3"/>
    <n v="300"/>
    <n v="129"/>
    <n v="900"/>
    <x v="0"/>
    <s v="Valid"/>
    <n v="771"/>
  </r>
  <r>
    <n v="1635"/>
    <x v="14"/>
    <d v="2023-04-17T00:00:00"/>
    <d v="1899-12-30T18:08:00"/>
    <n v="36"/>
    <s v="Female"/>
    <n v="63"/>
    <x v="2"/>
    <n v="3"/>
    <n v="300"/>
    <n v="159"/>
    <n v="900"/>
    <x v="0"/>
    <s v="Valid"/>
    <n v="741"/>
  </r>
  <r>
    <n v="725"/>
    <x v="22"/>
    <d v="2023-09-21T00:00:00"/>
    <d v="1899-12-30T20:32:00"/>
    <n v="2"/>
    <s v="Male"/>
    <n v="61"/>
    <x v="2"/>
    <n v="1"/>
    <n v="300"/>
    <n v="153"/>
    <n v="300"/>
    <x v="0"/>
    <s v="Valid"/>
    <n v="147"/>
  </r>
  <r>
    <n v="1725"/>
    <x v="0"/>
    <d v="2022-05-16T00:00:00"/>
    <d v="1899-12-30T21:02:00"/>
    <n v="109"/>
    <s v="Male"/>
    <n v="61"/>
    <x v="2"/>
    <n v="1"/>
    <n v="300"/>
    <n v="105"/>
    <n v="300"/>
    <x v="0"/>
    <s v="Valid"/>
    <n v="195"/>
  </r>
  <r>
    <n v="597"/>
    <x v="6"/>
    <d v="2022-11-01T00:00:00"/>
    <d v="1899-12-30T19:29:00"/>
    <n v="84"/>
    <s v="Male"/>
    <n v="22"/>
    <x v="0"/>
    <n v="4"/>
    <n v="300"/>
    <n v="111"/>
    <n v="1200"/>
    <x v="0"/>
    <s v="Valid"/>
    <n v="1089"/>
  </r>
  <r>
    <n v="1597"/>
    <x v="21"/>
    <d v="2023-08-28T00:00:00"/>
    <d v="1899-12-30T18:21:00"/>
    <n v="32"/>
    <s v="Male"/>
    <n v="22"/>
    <x v="0"/>
    <n v="4"/>
    <n v="300"/>
    <n v="78"/>
    <n v="1200"/>
    <x v="0"/>
    <s v="Valid"/>
    <n v="1122"/>
  </r>
  <r>
    <n v="368"/>
    <x v="13"/>
    <d v="2023-01-31T00:00:00"/>
    <d v="1899-12-30T21:11:00"/>
    <n v="90"/>
    <s v="Female"/>
    <n v="56"/>
    <x v="1"/>
    <n v="4"/>
    <n v="300"/>
    <n v="132"/>
    <n v="1200"/>
    <x v="0"/>
    <s v="Valid"/>
    <n v="1068"/>
  </r>
  <r>
    <n v="1368"/>
    <x v="2"/>
    <d v="2022-03-08T00:00:00"/>
    <d v="1899-12-30T21:29:00"/>
    <n v="145"/>
    <s v="Female"/>
    <n v="56"/>
    <x v="1"/>
    <n v="4"/>
    <n v="300"/>
    <n v="132"/>
    <n v="1200"/>
    <x v="0"/>
    <s v="Valid"/>
    <n v="1068"/>
  </r>
  <r>
    <n v="479"/>
    <x v="6"/>
    <d v="2022-11-03T00:00:00"/>
    <d v="1899-12-30T21:35:00"/>
    <n v="90"/>
    <s v="Male"/>
    <n v="52"/>
    <x v="2"/>
    <n v="4"/>
    <n v="300"/>
    <n v="105"/>
    <n v="1200"/>
    <x v="0"/>
    <s v="Valid"/>
    <n v="1095"/>
  </r>
  <r>
    <n v="1479"/>
    <x v="0"/>
    <d v="2022-05-31T00:00:00"/>
    <d v="1899-12-30T22:24:00"/>
    <n v="108"/>
    <s v="Male"/>
    <n v="52"/>
    <x v="2"/>
    <n v="4"/>
    <n v="300"/>
    <n v="162"/>
    <n v="1200"/>
    <x v="0"/>
    <s v="Valid"/>
    <n v="1038"/>
  </r>
  <r>
    <n v="624"/>
    <x v="5"/>
    <d v="2022-02-05T00:00:00"/>
    <d v="1899-12-30T19:08:00"/>
    <n v="48"/>
    <s v="Female"/>
    <n v="34"/>
    <x v="0"/>
    <n v="3"/>
    <n v="300"/>
    <n v="342"/>
    <n v="900"/>
    <x v="0"/>
    <s v="Valid"/>
    <n v="558"/>
  </r>
  <r>
    <n v="1624"/>
    <x v="6"/>
    <d v="2022-11-18T00:00:00"/>
    <d v="1899-12-30T20:48:00"/>
    <n v="121"/>
    <s v="Female"/>
    <n v="34"/>
    <x v="0"/>
    <n v="3"/>
    <n v="300"/>
    <n v="363"/>
    <n v="900"/>
    <x v="0"/>
    <s v="Valid"/>
    <n v="537"/>
  </r>
  <r>
    <n v="568"/>
    <x v="21"/>
    <d v="2023-08-11T00:00:00"/>
    <d v="1899-12-30T20:03:00"/>
    <n v="32"/>
    <s v="Female"/>
    <n v="51"/>
    <x v="2"/>
    <n v="1"/>
    <n v="300"/>
    <n v="372"/>
    <n v="300"/>
    <x v="0"/>
    <s v="Valid"/>
    <n v="-72"/>
  </r>
  <r>
    <n v="756"/>
    <x v="15"/>
    <d v="2023-07-17T00:00:00"/>
    <d v="1899-12-30T20:33:00"/>
    <n v="4"/>
    <s v="Female"/>
    <n v="62"/>
    <x v="2"/>
    <n v="4"/>
    <n v="300"/>
    <n v="333"/>
    <n v="1200"/>
    <x v="0"/>
    <s v="Valid"/>
    <n v="867"/>
  </r>
  <r>
    <n v="1568"/>
    <x v="8"/>
    <d v="2022-10-09T00:00:00"/>
    <d v="1899-12-30T22:34:00"/>
    <n v="51"/>
    <s v="Female"/>
    <n v="51"/>
    <x v="2"/>
    <n v="1"/>
    <n v="300"/>
    <n v="336"/>
    <n v="300"/>
    <x v="0"/>
    <s v="Valid"/>
    <n v="-36"/>
  </r>
  <r>
    <n v="1756"/>
    <x v="0"/>
    <d v="2022-05-12T00:00:00"/>
    <d v="1899-12-30T22:16:00"/>
    <n v="119"/>
    <s v="Female"/>
    <n v="62"/>
    <x v="2"/>
    <n v="4"/>
    <n v="300"/>
    <n v="297"/>
    <n v="1200"/>
    <x v="0"/>
    <s v="Valid"/>
    <n v="903"/>
  </r>
  <r>
    <n v="594"/>
    <x v="22"/>
    <d v="2023-09-07T00:00:00"/>
    <d v="1899-12-30T21:49:00"/>
    <n v="72"/>
    <s v="Female"/>
    <n v="19"/>
    <x v="2"/>
    <n v="2"/>
    <n v="300"/>
    <n v="291"/>
    <n v="600"/>
    <x v="0"/>
    <s v="Valid"/>
    <n v="309"/>
  </r>
  <r>
    <n v="637"/>
    <x v="10"/>
    <d v="2022-12-02T00:00:00"/>
    <d v="1899-12-30T18:54:00"/>
    <n v="21"/>
    <s v="Male"/>
    <n v="43"/>
    <x v="1"/>
    <n v="2"/>
    <n v="300"/>
    <n v="321"/>
    <n v="600"/>
    <x v="0"/>
    <s v="Valid"/>
    <n v="279"/>
  </r>
  <r>
    <n v="1594"/>
    <x v="12"/>
    <d v="2023-10-01T00:00:00"/>
    <d v="1899-12-30T19:02:00"/>
    <n v="31"/>
    <s v="Female"/>
    <n v="19"/>
    <x v="2"/>
    <n v="2"/>
    <n v="300"/>
    <n v="345"/>
    <n v="600"/>
    <x v="0"/>
    <s v="Valid"/>
    <n v="255"/>
  </r>
  <r>
    <n v="1637"/>
    <x v="8"/>
    <d v="2022-10-25T00:00:00"/>
    <d v="1899-12-30T20:50:00"/>
    <n v="97"/>
    <s v="Male"/>
    <n v="43"/>
    <x v="1"/>
    <n v="2"/>
    <n v="300"/>
    <n v="297"/>
    <n v="600"/>
    <x v="0"/>
    <s v="Valid"/>
    <n v="303"/>
  </r>
  <r>
    <n v="682"/>
    <x v="12"/>
    <d v="2023-10-23T00:00:00"/>
    <d v="1899-12-30T20:51:00"/>
    <n v="60"/>
    <s v="Male"/>
    <n v="46"/>
    <x v="0"/>
    <n v="4"/>
    <n v="300"/>
    <n v="354"/>
    <n v="1200"/>
    <x v="0"/>
    <s v="Valid"/>
    <n v="846"/>
  </r>
  <r>
    <n v="1682"/>
    <x v="10"/>
    <d v="2022-12-30T00:00:00"/>
    <d v="1899-12-30T19:30:00"/>
    <n v="71"/>
    <s v="Male"/>
    <n v="46"/>
    <x v="0"/>
    <n v="4"/>
    <n v="300"/>
    <n v="315"/>
    <n v="1200"/>
    <x v="0"/>
    <s v="Valid"/>
    <n v="885"/>
  </r>
  <r>
    <n v="925"/>
    <x v="10"/>
    <d v="2022-12-20T00:00:00"/>
    <d v="1899-12-30T17:12:00"/>
    <n v="54"/>
    <s v="Male"/>
    <n v="25"/>
    <x v="2"/>
    <n v="1"/>
    <n v="300"/>
    <n v="315"/>
    <n v="300"/>
    <x v="0"/>
    <s v="Valid"/>
    <n v="-15"/>
  </r>
  <r>
    <n v="1925"/>
    <x v="16"/>
    <d v="2023-12-21T00:00:00"/>
    <d v="1899-12-30T17:05:00"/>
    <n v="81"/>
    <s v="Male"/>
    <n v="25"/>
    <x v="2"/>
    <n v="1"/>
    <n v="300"/>
    <n v="366"/>
    <n v="300"/>
    <x v="0"/>
    <s v="Valid"/>
    <n v="-66"/>
  </r>
  <r>
    <n v="296"/>
    <x v="10"/>
    <d v="2022-12-31T00:00:00"/>
    <d v="1899-12-30T22:44:00"/>
    <n v="73"/>
    <s v="Female"/>
    <n v="22"/>
    <x v="1"/>
    <n v="4"/>
    <n v="300"/>
    <n v="369"/>
    <n v="1200"/>
    <x v="0"/>
    <s v="Valid"/>
    <n v="831"/>
  </r>
  <r>
    <n v="1296"/>
    <x v="6"/>
    <d v="2022-11-26T00:00:00"/>
    <d v="1899-12-30T20:42:00"/>
    <n v="45"/>
    <s v="Female"/>
    <n v="22"/>
    <x v="1"/>
    <n v="4"/>
    <n v="300"/>
    <n v="342"/>
    <n v="1200"/>
    <x v="0"/>
    <s v="Valid"/>
    <n v="858"/>
  </r>
  <r>
    <n v="183"/>
    <x v="3"/>
    <d v="2022-09-01T00:00:00"/>
    <d v="1899-12-30T19:22:00"/>
    <n v="28"/>
    <s v="Female"/>
    <n v="43"/>
    <x v="0"/>
    <n v="3"/>
    <n v="300"/>
    <n v="375"/>
    <n v="900"/>
    <x v="0"/>
    <s v="Valid"/>
    <n v="525"/>
  </r>
  <r>
    <n v="1183"/>
    <x v="10"/>
    <d v="2022-12-28T00:00:00"/>
    <d v="1899-12-30T17:10:00"/>
    <n v="54"/>
    <s v="Female"/>
    <n v="43"/>
    <x v="0"/>
    <n v="3"/>
    <n v="300"/>
    <n v="342"/>
    <n v="900"/>
    <x v="0"/>
    <s v="Valid"/>
    <n v="558"/>
  </r>
  <r>
    <n v="165"/>
    <x v="3"/>
    <d v="2022-09-24T00:00:00"/>
    <d v="1899-12-30T19:01:00"/>
    <n v="75"/>
    <s v="Female"/>
    <n v="60"/>
    <x v="1"/>
    <n v="4"/>
    <n v="300"/>
    <n v="318"/>
    <n v="1200"/>
    <x v="0"/>
    <s v="Valid"/>
    <n v="882"/>
  </r>
  <r>
    <n v="1165"/>
    <x v="16"/>
    <d v="2023-12-01T00:00:00"/>
    <d v="1899-12-30T17:04:00"/>
    <n v="29"/>
    <s v="Female"/>
    <n v="60"/>
    <x v="1"/>
    <n v="4"/>
    <n v="300"/>
    <n v="291"/>
    <n v="1200"/>
    <x v="0"/>
    <s v="Valid"/>
    <n v="909"/>
  </r>
  <r>
    <n v="794"/>
    <x v="6"/>
    <d v="2022-11-02T00:00:00"/>
    <d v="1899-12-30T21:47:00"/>
    <n v="145"/>
    <s v="Female"/>
    <n v="60"/>
    <x v="0"/>
    <n v="1"/>
    <n v="300"/>
    <n v="315"/>
    <n v="300"/>
    <x v="0"/>
    <s v="Valid"/>
    <n v="-15"/>
  </r>
  <r>
    <n v="1794"/>
    <x v="10"/>
    <d v="2022-12-22T00:00:00"/>
    <d v="1899-12-30T19:40:00"/>
    <n v="26"/>
    <s v="Female"/>
    <n v="60"/>
    <x v="0"/>
    <n v="1"/>
    <n v="300"/>
    <n v="351"/>
    <n v="300"/>
    <x v="0"/>
    <s v="Valid"/>
    <n v="-51"/>
  </r>
  <r>
    <n v="131"/>
    <x v="22"/>
    <d v="2023-09-29T00:00:00"/>
    <d v="1899-12-30T22:32:00"/>
    <n v="44"/>
    <s v="Female"/>
    <n v="21"/>
    <x v="0"/>
    <n v="2"/>
    <n v="300"/>
    <n v="375"/>
    <n v="600"/>
    <x v="0"/>
    <s v="Valid"/>
    <n v="225"/>
  </r>
  <r>
    <n v="1131"/>
    <x v="10"/>
    <d v="2022-12-31T00:00:00"/>
    <d v="1899-12-30T19:16:00"/>
    <n v="130"/>
    <s v="Female"/>
    <n v="21"/>
    <x v="0"/>
    <n v="2"/>
    <n v="300"/>
    <n v="336"/>
    <n v="600"/>
    <x v="0"/>
    <s v="Valid"/>
    <n v="264"/>
  </r>
  <r>
    <n v="523"/>
    <x v="20"/>
    <d v="2023-11-13T00:00:00"/>
    <d v="1899-12-30T19:18:00"/>
    <n v="110"/>
    <s v="Female"/>
    <n v="62"/>
    <x v="2"/>
    <n v="1"/>
    <n v="300"/>
    <n v="375"/>
    <n v="300"/>
    <x v="0"/>
    <s v="Valid"/>
    <n v="-75"/>
  </r>
  <r>
    <n v="1523"/>
    <x v="16"/>
    <d v="2023-12-31T00:00:00"/>
    <d v="1899-12-30T20:40:00"/>
    <n v="150"/>
    <s v="Female"/>
    <n v="62"/>
    <x v="2"/>
    <n v="1"/>
    <n v="300"/>
    <n v="330"/>
    <n v="300"/>
    <x v="0"/>
    <s v="Valid"/>
    <n v="-30"/>
  </r>
  <r>
    <n v="954"/>
    <x v="22"/>
    <d v="2023-09-05T00:00:00"/>
    <d v="1899-12-30T21:03:00"/>
    <n v="87"/>
    <s v="Female"/>
    <n v="50"/>
    <x v="2"/>
    <n v="3"/>
    <n v="300"/>
    <n v="321"/>
    <n v="900"/>
    <x v="0"/>
    <s v="Valid"/>
    <n v="579"/>
  </r>
  <r>
    <n v="1954"/>
    <x v="12"/>
    <d v="2023-10-29T00:00:00"/>
    <d v="1899-12-30T17:30:00"/>
    <n v="93"/>
    <s v="Female"/>
    <n v="50"/>
    <x v="2"/>
    <n v="3"/>
    <n v="300"/>
    <n v="318"/>
    <n v="900"/>
    <x v="0"/>
    <s v="Valid"/>
    <n v="582"/>
  </r>
  <r>
    <n v="147"/>
    <x v="6"/>
    <d v="2022-11-12T00:00:00"/>
    <d v="1899-12-30T20:30:00"/>
    <n v="101"/>
    <s v="Male"/>
    <n v="23"/>
    <x v="2"/>
    <n v="1"/>
    <n v="300"/>
    <n v="297"/>
    <n v="300"/>
    <x v="0"/>
    <s v="Valid"/>
    <n v="3"/>
  </r>
  <r>
    <n v="1147"/>
    <x v="20"/>
    <d v="2023-11-25T00:00:00"/>
    <d v="1899-12-30T22:14:00"/>
    <n v="35"/>
    <s v="Male"/>
    <n v="23"/>
    <x v="2"/>
    <n v="1"/>
    <n v="300"/>
    <n v="330"/>
    <n v="300"/>
    <x v="0"/>
    <s v="Valid"/>
    <n v="-30"/>
  </r>
  <r>
    <n v="179"/>
    <x v="12"/>
    <d v="2023-10-07T00:00:00"/>
    <d v="1899-12-30T20:42:00"/>
    <n v="121"/>
    <s v="Male"/>
    <n v="31"/>
    <x v="2"/>
    <n v="1"/>
    <n v="300"/>
    <n v="375"/>
    <n v="300"/>
    <x v="0"/>
    <s v="Valid"/>
    <n v="-75"/>
  </r>
  <r>
    <n v="1179"/>
    <x v="16"/>
    <d v="2023-12-12T00:00:00"/>
    <d v="1899-12-30T17:28:00"/>
    <n v="122"/>
    <s v="Male"/>
    <n v="31"/>
    <x v="2"/>
    <n v="1"/>
    <n v="300"/>
    <n v="354"/>
    <n v="300"/>
    <x v="0"/>
    <s v="Valid"/>
    <n v="-54"/>
  </r>
  <r>
    <n v="196"/>
    <x v="16"/>
    <d v="2023-12-29T00:00:00"/>
    <d v="1899-12-30T19:14:00"/>
    <n v="43"/>
    <s v="Female"/>
    <n v="32"/>
    <x v="1"/>
    <n v="3"/>
    <n v="300"/>
    <n v="312"/>
    <n v="900"/>
    <x v="0"/>
    <s v="Valid"/>
    <n v="588"/>
  </r>
  <r>
    <n v="1196"/>
    <x v="10"/>
    <d v="2022-12-31T00:00:00"/>
    <d v="1899-12-30T21:18:00"/>
    <n v="93"/>
    <s v="Female"/>
    <n v="32"/>
    <x v="1"/>
    <n v="3"/>
    <n v="300"/>
    <n v="306"/>
    <n v="900"/>
    <x v="0"/>
    <s v="Valid"/>
    <n v="594"/>
  </r>
  <r>
    <n v="909"/>
    <x v="12"/>
    <d v="2023-10-29T00:00:00"/>
    <d v="1899-12-30T19:43:00"/>
    <n v="71"/>
    <s v="Male"/>
    <n v="26"/>
    <x v="2"/>
    <n v="1"/>
    <n v="300"/>
    <n v="288"/>
    <n v="300"/>
    <x v="0"/>
    <s v="Valid"/>
    <n v="12"/>
  </r>
  <r>
    <n v="1909"/>
    <x v="8"/>
    <d v="2022-10-22T00:00:00"/>
    <d v="1899-12-30T19:41:00"/>
    <n v="17"/>
    <s v="Male"/>
    <n v="26"/>
    <x v="2"/>
    <n v="1"/>
    <n v="300"/>
    <n v="339"/>
    <n v="300"/>
    <x v="0"/>
    <s v="Valid"/>
    <n v="-39"/>
  </r>
  <r>
    <n v="154"/>
    <x v="10"/>
    <d v="2022-12-24T00:00:00"/>
    <d v="1899-12-30T17:47:00"/>
    <n v="24"/>
    <s v="Male"/>
    <n v="51"/>
    <x v="2"/>
    <n v="3"/>
    <n v="300"/>
    <n v="321"/>
    <n v="900"/>
    <x v="0"/>
    <s v="Valid"/>
    <n v="579"/>
  </r>
  <r>
    <n v="1154"/>
    <x v="16"/>
    <d v="2023-12-16T00:00:00"/>
    <d v="1899-12-30T21:44:00"/>
    <n v="29"/>
    <s v="Male"/>
    <n v="51"/>
    <x v="2"/>
    <n v="3"/>
    <n v="300"/>
    <n v="291"/>
    <n v="900"/>
    <x v="0"/>
    <s v="Valid"/>
    <n v="609"/>
  </r>
  <r>
    <n v="373"/>
    <x v="3"/>
    <d v="2022-09-23T00:00:00"/>
    <d v="1899-12-30T22:19:00"/>
    <n v="78"/>
    <s v="Female"/>
    <n v="25"/>
    <x v="0"/>
    <n v="2"/>
    <n v="300"/>
    <n v="333"/>
    <n v="600"/>
    <x v="0"/>
    <s v="Valid"/>
    <n v="267"/>
  </r>
  <r>
    <n v="524"/>
    <x v="22"/>
    <d v="2023-09-17T00:00:00"/>
    <d v="1899-12-30T19:52:00"/>
    <n v="12"/>
    <s v="Male"/>
    <n v="46"/>
    <x v="0"/>
    <n v="4"/>
    <n v="300"/>
    <n v="297"/>
    <n v="1200"/>
    <x v="0"/>
    <s v="Valid"/>
    <n v="903"/>
  </r>
  <r>
    <n v="1373"/>
    <x v="12"/>
    <d v="2023-10-02T00:00:00"/>
    <d v="1899-12-30T20:26:00"/>
    <n v="64"/>
    <s v="Female"/>
    <n v="25"/>
    <x v="0"/>
    <n v="2"/>
    <n v="300"/>
    <n v="294"/>
    <n v="600"/>
    <x v="0"/>
    <s v="Valid"/>
    <n v="306"/>
  </r>
  <r>
    <n v="1524"/>
    <x v="8"/>
    <d v="2022-10-26T00:00:00"/>
    <d v="1899-12-30T22:10:00"/>
    <n v="115"/>
    <s v="Male"/>
    <n v="46"/>
    <x v="0"/>
    <n v="4"/>
    <n v="300"/>
    <n v="321"/>
    <n v="1200"/>
    <x v="0"/>
    <s v="Valid"/>
    <n v="879"/>
  </r>
  <r>
    <n v="290"/>
    <x v="16"/>
    <d v="2023-12-08T00:00:00"/>
    <d v="1899-12-30T21:39:00"/>
    <n v="86"/>
    <s v="Female"/>
    <n v="30"/>
    <x v="0"/>
    <n v="2"/>
    <n v="300"/>
    <n v="342"/>
    <n v="600"/>
    <x v="0"/>
    <s v="Valid"/>
    <n v="258"/>
  </r>
  <r>
    <n v="1290"/>
    <x v="10"/>
    <d v="2022-12-30T00:00:00"/>
    <d v="1899-12-30T22:40:00"/>
    <n v="66"/>
    <s v="Female"/>
    <n v="30"/>
    <x v="0"/>
    <n v="2"/>
    <n v="300"/>
    <n v="318"/>
    <n v="600"/>
    <x v="0"/>
    <s v="Valid"/>
    <n v="282"/>
  </r>
  <r>
    <n v="437"/>
    <x v="20"/>
    <d v="2023-11-26T00:00:00"/>
    <d v="1899-12-30T18:53:00"/>
    <n v="56"/>
    <s v="Female"/>
    <n v="35"/>
    <x v="2"/>
    <n v="4"/>
    <n v="300"/>
    <n v="345"/>
    <n v="1200"/>
    <x v="0"/>
    <s v="Valid"/>
    <n v="855"/>
  </r>
  <r>
    <n v="1437"/>
    <x v="22"/>
    <d v="2023-09-04T00:00:00"/>
    <d v="1899-12-30T19:19:00"/>
    <n v="76"/>
    <s v="Female"/>
    <n v="35"/>
    <x v="2"/>
    <n v="4"/>
    <n v="300"/>
    <n v="372"/>
    <n v="1200"/>
    <x v="0"/>
    <s v="Valid"/>
    <n v="828"/>
  </r>
  <r>
    <n v="441"/>
    <x v="20"/>
    <d v="2023-11-06T00:00:00"/>
    <d v="1899-12-30T22:00:00"/>
    <n v="85"/>
    <s v="Male"/>
    <n v="57"/>
    <x v="0"/>
    <n v="4"/>
    <n v="300"/>
    <n v="351"/>
    <n v="1200"/>
    <x v="0"/>
    <s v="Valid"/>
    <n v="849"/>
  </r>
  <r>
    <n v="976"/>
    <x v="12"/>
    <d v="2023-10-08T00:00:00"/>
    <d v="1899-12-30T19:50:00"/>
    <n v="56"/>
    <s v="Female"/>
    <n v="48"/>
    <x v="0"/>
    <n v="2"/>
    <n v="300"/>
    <n v="345"/>
    <n v="600"/>
    <x v="0"/>
    <s v="Valid"/>
    <n v="255"/>
  </r>
  <r>
    <n v="1441"/>
    <x v="12"/>
    <d v="2023-10-04T00:00:00"/>
    <d v="1899-12-30T21:38:00"/>
    <n v="63"/>
    <s v="Male"/>
    <n v="57"/>
    <x v="0"/>
    <n v="4"/>
    <n v="300"/>
    <n v="354"/>
    <n v="1200"/>
    <x v="0"/>
    <s v="Valid"/>
    <n v="846"/>
  </r>
  <r>
    <n v="1976"/>
    <x v="12"/>
    <d v="2023-10-15T00:00:00"/>
    <d v="1899-12-30T21:10:00"/>
    <n v="108"/>
    <s v="Female"/>
    <n v="48"/>
    <x v="0"/>
    <n v="2"/>
    <n v="300"/>
    <n v="360"/>
    <n v="600"/>
    <x v="0"/>
    <s v="Valid"/>
    <n v="240"/>
  </r>
  <r>
    <n v="401"/>
    <x v="16"/>
    <d v="2023-12-03T00:00:00"/>
    <d v="1899-12-30T19:03:00"/>
    <n v="51"/>
    <s v="Female"/>
    <n v="62"/>
    <x v="1"/>
    <n v="1"/>
    <n v="300"/>
    <n v="372"/>
    <n v="300"/>
    <x v="0"/>
    <s v="Valid"/>
    <n v="-72"/>
  </r>
  <r>
    <n v="1401"/>
    <x v="8"/>
    <d v="2022-10-01T00:00:00"/>
    <d v="1899-12-30T21:20:00"/>
    <n v="85"/>
    <s v="Female"/>
    <n v="62"/>
    <x v="1"/>
    <n v="1"/>
    <n v="300"/>
    <n v="294"/>
    <n v="300"/>
    <x v="0"/>
    <s v="Valid"/>
    <n v="6"/>
  </r>
  <r>
    <n v="852"/>
    <x v="8"/>
    <d v="2022-10-01T00:00:00"/>
    <d v="1899-12-30T19:35:00"/>
    <n v="82"/>
    <s v="Female"/>
    <n v="41"/>
    <x v="1"/>
    <n v="1"/>
    <n v="300"/>
    <n v="375"/>
    <n v="300"/>
    <x v="0"/>
    <s v="Valid"/>
    <n v="-75"/>
  </r>
  <r>
    <n v="1852"/>
    <x v="12"/>
    <d v="2023-10-11T00:00:00"/>
    <d v="1899-12-30T18:09:00"/>
    <n v="109"/>
    <s v="Female"/>
    <n v="41"/>
    <x v="1"/>
    <n v="1"/>
    <n v="300"/>
    <n v="333"/>
    <n v="300"/>
    <x v="0"/>
    <s v="Valid"/>
    <n v="-33"/>
  </r>
  <r>
    <n v="431"/>
    <x v="8"/>
    <d v="2022-10-29T00:00:00"/>
    <d v="1899-12-30T22:02:00"/>
    <n v="99"/>
    <s v="Male"/>
    <n v="63"/>
    <x v="2"/>
    <n v="4"/>
    <n v="300"/>
    <n v="345"/>
    <n v="1200"/>
    <x v="0"/>
    <s v="Valid"/>
    <n v="855"/>
  </r>
  <r>
    <n v="1431"/>
    <x v="22"/>
    <d v="2023-09-28T00:00:00"/>
    <d v="1899-12-30T21:28:00"/>
    <n v="114"/>
    <s v="Male"/>
    <n v="63"/>
    <x v="2"/>
    <n v="4"/>
    <n v="300"/>
    <n v="312"/>
    <n v="1200"/>
    <x v="0"/>
    <s v="Valid"/>
    <n v="888"/>
  </r>
  <r>
    <n v="943"/>
    <x v="6"/>
    <d v="2022-11-05T00:00:00"/>
    <d v="1899-12-30T19:29:00"/>
    <n v="90"/>
    <s v="Female"/>
    <n v="57"/>
    <x v="1"/>
    <n v="4"/>
    <n v="300"/>
    <n v="318"/>
    <n v="1200"/>
    <x v="0"/>
    <s v="Valid"/>
    <n v="882"/>
  </r>
  <r>
    <n v="1943"/>
    <x v="20"/>
    <d v="2023-11-17T00:00:00"/>
    <d v="1899-12-30T21:00:00"/>
    <n v="108"/>
    <s v="Female"/>
    <n v="57"/>
    <x v="1"/>
    <n v="4"/>
    <n v="300"/>
    <n v="321"/>
    <n v="1200"/>
    <x v="0"/>
    <s v="Valid"/>
    <n v="879"/>
  </r>
  <r>
    <n v="340"/>
    <x v="22"/>
    <d v="2023-09-19T00:00:00"/>
    <d v="1899-12-30T22:59:00"/>
    <n v="54"/>
    <s v="Female"/>
    <n v="36"/>
    <x v="1"/>
    <n v="4"/>
    <n v="300"/>
    <n v="294"/>
    <n v="1200"/>
    <x v="0"/>
    <s v="Valid"/>
    <n v="906"/>
  </r>
  <r>
    <n v="555"/>
    <x v="10"/>
    <d v="2022-12-14T00:00:00"/>
    <d v="1899-12-30T19:35:00"/>
    <n v="103"/>
    <s v="Male"/>
    <n v="25"/>
    <x v="0"/>
    <n v="1"/>
    <n v="300"/>
    <n v="360"/>
    <n v="300"/>
    <x v="0"/>
    <s v="Valid"/>
    <n v="-60"/>
  </r>
  <r>
    <n v="826"/>
    <x v="10"/>
    <d v="2022-12-24T00:00:00"/>
    <d v="1899-12-30T19:08:00"/>
    <n v="81"/>
    <s v="Female"/>
    <n v="46"/>
    <x v="1"/>
    <n v="1"/>
    <n v="300"/>
    <n v="303"/>
    <n v="300"/>
    <x v="0"/>
    <s v="Valid"/>
    <n v="-3"/>
  </r>
  <r>
    <n v="1340"/>
    <x v="12"/>
    <d v="2023-10-30T00:00:00"/>
    <d v="1899-12-30T20:55:00"/>
    <n v="92"/>
    <s v="Female"/>
    <n v="36"/>
    <x v="1"/>
    <n v="4"/>
    <n v="300"/>
    <n v="348"/>
    <n v="1200"/>
    <x v="0"/>
    <s v="Valid"/>
    <n v="852"/>
  </r>
  <r>
    <n v="1555"/>
    <x v="10"/>
    <d v="2022-12-19T00:00:00"/>
    <d v="1899-12-30T18:54:00"/>
    <n v="55"/>
    <s v="Male"/>
    <n v="25"/>
    <x v="0"/>
    <n v="1"/>
    <n v="300"/>
    <n v="312"/>
    <n v="300"/>
    <x v="0"/>
    <s v="Valid"/>
    <n v="-12"/>
  </r>
  <r>
    <n v="1826"/>
    <x v="10"/>
    <d v="2022-12-30T00:00:00"/>
    <d v="1899-12-30T22:05:00"/>
    <n v="104"/>
    <s v="Female"/>
    <n v="46"/>
    <x v="1"/>
    <n v="1"/>
    <n v="300"/>
    <n v="297"/>
    <n v="300"/>
    <x v="0"/>
    <s v="Valid"/>
    <n v="3"/>
  </r>
  <r>
    <n v="680"/>
    <x v="10"/>
    <d v="2022-12-01T00:00:00"/>
    <d v="1899-12-30T22:04:00"/>
    <n v="110"/>
    <s v="Female"/>
    <n v="53"/>
    <x v="1"/>
    <n v="3"/>
    <n v="300"/>
    <n v="330"/>
    <n v="900"/>
    <x v="0"/>
    <s v="Valid"/>
    <n v="570"/>
  </r>
  <r>
    <n v="1680"/>
    <x v="22"/>
    <d v="2023-09-03T00:00:00"/>
    <d v="1899-12-30T17:12:00"/>
    <n v="72"/>
    <s v="Female"/>
    <n v="53"/>
    <x v="1"/>
    <n v="3"/>
    <n v="300"/>
    <n v="324"/>
    <n v="900"/>
    <x v="0"/>
    <s v="Valid"/>
    <n v="576"/>
  </r>
  <r>
    <n v="440"/>
    <x v="20"/>
    <d v="2023-11-22T00:00:00"/>
    <d v="1899-12-30T20:15:00"/>
    <n v="110"/>
    <s v="Male"/>
    <n v="64"/>
    <x v="1"/>
    <n v="2"/>
    <n v="300"/>
    <n v="348"/>
    <n v="600"/>
    <x v="0"/>
    <s v="Valid"/>
    <n v="252"/>
  </r>
  <r>
    <n v="1440"/>
    <x v="22"/>
    <d v="2023-09-01T00:00:00"/>
    <d v="1899-12-30T19:20:00"/>
    <n v="86"/>
    <s v="Male"/>
    <n v="64"/>
    <x v="1"/>
    <n v="2"/>
    <n v="300"/>
    <n v="354"/>
    <n v="600"/>
    <x v="0"/>
    <s v="Valid"/>
    <n v="246"/>
  </r>
  <r>
    <n v="30"/>
    <x v="12"/>
    <d v="2023-10-10T00:00:00"/>
    <d v="1899-12-30T20:05:00"/>
    <n v="59"/>
    <s v="Female"/>
    <n v="39"/>
    <x v="0"/>
    <n v="3"/>
    <n v="300"/>
    <n v="285"/>
    <n v="900"/>
    <x v="0"/>
    <s v="Valid"/>
    <n v="615"/>
  </r>
  <r>
    <n v="1030"/>
    <x v="6"/>
    <d v="2022-11-27T00:00:00"/>
    <d v="1899-12-30T18:02:00"/>
    <n v="96"/>
    <s v="Female"/>
    <n v="39"/>
    <x v="0"/>
    <n v="3"/>
    <n v="300"/>
    <n v="309"/>
    <n v="900"/>
    <x v="0"/>
    <s v="Valid"/>
    <n v="591"/>
  </r>
  <r>
    <n v="334"/>
    <x v="8"/>
    <d v="2022-10-16T00:00:00"/>
    <d v="1899-12-30T20:37:00"/>
    <n v="103"/>
    <s v="Male"/>
    <n v="31"/>
    <x v="2"/>
    <n v="3"/>
    <n v="300"/>
    <n v="360"/>
    <n v="900"/>
    <x v="0"/>
    <s v="Valid"/>
    <n v="540"/>
  </r>
  <r>
    <n v="983"/>
    <x v="8"/>
    <d v="2022-10-10T00:00:00"/>
    <d v="1899-12-30T20:12:00"/>
    <n v="61"/>
    <s v="Female"/>
    <n v="29"/>
    <x v="1"/>
    <n v="1"/>
    <n v="300"/>
    <n v="345"/>
    <n v="300"/>
    <x v="0"/>
    <s v="Valid"/>
    <n v="-45"/>
  </r>
  <r>
    <n v="1334"/>
    <x v="3"/>
    <d v="2022-09-21T00:00:00"/>
    <d v="1899-12-30T20:37:00"/>
    <n v="60"/>
    <s v="Male"/>
    <n v="31"/>
    <x v="2"/>
    <n v="3"/>
    <n v="300"/>
    <n v="366"/>
    <n v="900"/>
    <x v="0"/>
    <s v="Valid"/>
    <n v="534"/>
  </r>
  <r>
    <n v="1983"/>
    <x v="10"/>
    <d v="2022-12-21T00:00:00"/>
    <d v="1899-12-30T21:38:00"/>
    <n v="114"/>
    <s v="Female"/>
    <n v="29"/>
    <x v="1"/>
    <n v="1"/>
    <n v="300"/>
    <n v="303"/>
    <n v="300"/>
    <x v="0"/>
    <s v="Valid"/>
    <n v="-3"/>
  </r>
  <r>
    <n v="181"/>
    <x v="20"/>
    <d v="2023-11-06T00:00:00"/>
    <d v="1899-12-30T19:59:00"/>
    <n v="79"/>
    <s v="Male"/>
    <n v="19"/>
    <x v="2"/>
    <n v="4"/>
    <n v="300"/>
    <n v="327"/>
    <n v="1200"/>
    <x v="0"/>
    <s v="Valid"/>
    <n v="873"/>
  </r>
  <r>
    <n v="1181"/>
    <x v="6"/>
    <d v="2022-11-06T00:00:00"/>
    <d v="1899-12-30T18:28:00"/>
    <n v="84"/>
    <s v="Male"/>
    <n v="19"/>
    <x v="2"/>
    <n v="4"/>
    <n v="300"/>
    <n v="354"/>
    <n v="1200"/>
    <x v="0"/>
    <s v="Valid"/>
    <n v="846"/>
  </r>
  <r>
    <n v="20"/>
    <x v="16"/>
    <d v="2023-12-12T00:00:00"/>
    <d v="1899-12-30T21:35:00"/>
    <n v="85"/>
    <s v="Male"/>
    <n v="22"/>
    <x v="1"/>
    <n v="3"/>
    <n v="300"/>
    <n v="345"/>
    <n v="900"/>
    <x v="0"/>
    <s v="Valid"/>
    <n v="555"/>
  </r>
  <r>
    <n v="690"/>
    <x v="16"/>
    <d v="2023-12-19T00:00:00"/>
    <d v="1899-12-30T18:39:00"/>
    <n v="91"/>
    <s v="Female"/>
    <n v="52"/>
    <x v="1"/>
    <n v="3"/>
    <n v="300"/>
    <n v="324"/>
    <n v="900"/>
    <x v="0"/>
    <s v="Valid"/>
    <n v="576"/>
  </r>
  <r>
    <n v="1020"/>
    <x v="6"/>
    <d v="2022-11-22T00:00:00"/>
    <d v="1899-12-30T18:30:00"/>
    <n v="86"/>
    <s v="Male"/>
    <n v="22"/>
    <x v="1"/>
    <n v="3"/>
    <n v="300"/>
    <n v="300"/>
    <n v="900"/>
    <x v="0"/>
    <s v="Valid"/>
    <n v="600"/>
  </r>
  <r>
    <n v="1690"/>
    <x v="22"/>
    <d v="2023-09-05T00:00:00"/>
    <d v="1899-12-30T17:36:00"/>
    <n v="101"/>
    <s v="Female"/>
    <n v="52"/>
    <x v="1"/>
    <n v="3"/>
    <n v="300"/>
    <n v="369"/>
    <n v="900"/>
    <x v="0"/>
    <s v="Valid"/>
    <n v="531"/>
  </r>
  <r>
    <n v="405"/>
    <x v="8"/>
    <d v="2022-10-17T00:00:00"/>
    <d v="1899-12-30T17:55:00"/>
    <n v="79"/>
    <s v="Female"/>
    <n v="25"/>
    <x v="1"/>
    <n v="4"/>
    <n v="300"/>
    <n v="324"/>
    <n v="1200"/>
    <x v="0"/>
    <s v="Valid"/>
    <n v="876"/>
  </r>
  <r>
    <n v="1405"/>
    <x v="12"/>
    <d v="2023-10-28T00:00:00"/>
    <d v="1899-12-30T20:08:00"/>
    <n v="91"/>
    <s v="Female"/>
    <n v="25"/>
    <x v="1"/>
    <n v="4"/>
    <n v="300"/>
    <n v="342"/>
    <n v="1200"/>
    <x v="0"/>
    <s v="Valid"/>
    <n v="858"/>
  </r>
  <r>
    <n v="950"/>
    <x v="3"/>
    <d v="2022-09-22T00:00:00"/>
    <d v="1899-12-30T21:27:00"/>
    <n v="75"/>
    <s v="Male"/>
    <n v="36"/>
    <x v="1"/>
    <n v="3"/>
    <n v="300"/>
    <n v="144"/>
    <n v="900"/>
    <x v="0"/>
    <s v="Valid"/>
    <n v="756"/>
  </r>
  <r>
    <n v="1950"/>
    <x v="10"/>
    <d v="2022-12-04T00:00:00"/>
    <d v="1899-12-30T19:23:00"/>
    <n v="50"/>
    <s v="Male"/>
    <n v="36"/>
    <x v="1"/>
    <n v="3"/>
    <n v="300"/>
    <n v="84"/>
    <n v="900"/>
    <x v="0"/>
    <s v="Valid"/>
    <n v="816"/>
  </r>
  <r>
    <n v="827"/>
    <x v="12"/>
    <d v="2023-10-28T00:00:00"/>
    <d v="1899-12-30T19:24:00"/>
    <n v="96"/>
    <s v="Male"/>
    <n v="61"/>
    <x v="0"/>
    <n v="3"/>
    <n v="300"/>
    <n v="165"/>
    <n v="900"/>
    <x v="0"/>
    <s v="Valid"/>
    <n v="735"/>
  </r>
  <r>
    <n v="1827"/>
    <x v="6"/>
    <d v="2022-11-09T00:00:00"/>
    <d v="1899-12-30T20:02:00"/>
    <n v="62"/>
    <s v="Male"/>
    <n v="61"/>
    <x v="0"/>
    <n v="3"/>
    <n v="300"/>
    <n v="132"/>
    <n v="900"/>
    <x v="0"/>
    <s v="Valid"/>
    <n v="768"/>
  </r>
  <r>
    <n v="58"/>
    <x v="22"/>
    <d v="2023-09-16T00:00:00"/>
    <d v="1899-12-30T19:18:00"/>
    <n v="53"/>
    <s v="Male"/>
    <n v="18"/>
    <x v="1"/>
    <n v="4"/>
    <n v="300"/>
    <n v="75"/>
    <n v="1200"/>
    <x v="0"/>
    <s v="Valid"/>
    <n v="1125"/>
  </r>
  <r>
    <n v="1058"/>
    <x v="8"/>
    <d v="2022-10-30T00:00:00"/>
    <d v="1899-12-30T18:31:00"/>
    <n v="100"/>
    <s v="Male"/>
    <n v="18"/>
    <x v="1"/>
    <n v="4"/>
    <n v="300"/>
    <n v="153"/>
    <n v="1200"/>
    <x v="0"/>
    <s v="Valid"/>
    <n v="1047"/>
  </r>
  <r>
    <n v="582"/>
    <x v="3"/>
    <d v="2022-09-30T00:00:00"/>
    <d v="1899-12-30T21:38:00"/>
    <n v="110"/>
    <s v="Male"/>
    <n v="35"/>
    <x v="1"/>
    <n v="3"/>
    <n v="300"/>
    <n v="75"/>
    <n v="900"/>
    <x v="0"/>
    <s v="Valid"/>
    <n v="825"/>
  </r>
  <r>
    <n v="1582"/>
    <x v="12"/>
    <d v="2023-10-17T00:00:00"/>
    <d v="1899-12-30T19:12:00"/>
    <n v="56"/>
    <s v="Male"/>
    <n v="35"/>
    <x v="1"/>
    <n v="3"/>
    <n v="300"/>
    <n v="114"/>
    <n v="900"/>
    <x v="0"/>
    <s v="Valid"/>
    <n v="786"/>
  </r>
  <r>
    <n v="968"/>
    <x v="16"/>
    <d v="2023-12-18T00:00:00"/>
    <d v="1899-12-30T20:34:00"/>
    <n v="101"/>
    <s v="Female"/>
    <n v="48"/>
    <x v="1"/>
    <n v="3"/>
    <n v="300"/>
    <n v="120"/>
    <n v="900"/>
    <x v="0"/>
    <s v="Valid"/>
    <n v="780"/>
  </r>
  <r>
    <n v="1968"/>
    <x v="3"/>
    <d v="2022-09-21T00:00:00"/>
    <d v="1899-12-30T19:09:00"/>
    <n v="75"/>
    <s v="Female"/>
    <n v="48"/>
    <x v="1"/>
    <n v="3"/>
    <n v="300"/>
    <n v="153"/>
    <n v="900"/>
    <x v="0"/>
    <s v="Valid"/>
    <n v="747"/>
  </r>
  <r>
    <n v="417"/>
    <x v="12"/>
    <d v="2023-10-01T00:00:00"/>
    <d v="1899-12-30T22:03:00"/>
    <n v="109"/>
    <s v="Male"/>
    <n v="43"/>
    <x v="2"/>
    <n v="3"/>
    <n v="300"/>
    <n v="162"/>
    <n v="900"/>
    <x v="0"/>
    <s v="Valid"/>
    <n v="738"/>
  </r>
  <r>
    <n v="1417"/>
    <x v="10"/>
    <d v="2022-12-26T00:00:00"/>
    <d v="1899-12-30T17:43:00"/>
    <n v="54"/>
    <s v="Male"/>
    <n v="43"/>
    <x v="2"/>
    <n v="3"/>
    <n v="300"/>
    <n v="147"/>
    <n v="900"/>
    <x v="0"/>
    <s v="Valid"/>
    <n v="753"/>
  </r>
  <r>
    <n v="424"/>
    <x v="16"/>
    <d v="2023-12-20T00:00:00"/>
    <d v="1899-12-30T19:21:00"/>
    <n v="101"/>
    <s v="Male"/>
    <n v="57"/>
    <x v="0"/>
    <n v="4"/>
    <n v="300"/>
    <n v="147"/>
    <n v="1200"/>
    <x v="0"/>
    <s v="Valid"/>
    <n v="1053"/>
  </r>
  <r>
    <n v="641"/>
    <x v="16"/>
    <d v="2023-12-25T00:00:00"/>
    <d v="1899-12-30T18:30:00"/>
    <n v="105"/>
    <s v="Female"/>
    <n v="40"/>
    <x v="2"/>
    <n v="1"/>
    <n v="300"/>
    <n v="144"/>
    <n v="300"/>
    <x v="0"/>
    <s v="Valid"/>
    <n v="156"/>
  </r>
  <r>
    <n v="1424"/>
    <x v="22"/>
    <d v="2023-09-05T00:00:00"/>
    <d v="1899-12-30T21:32:00"/>
    <n v="54"/>
    <s v="Male"/>
    <n v="57"/>
    <x v="0"/>
    <n v="4"/>
    <n v="300"/>
    <n v="111"/>
    <n v="1200"/>
    <x v="0"/>
    <s v="Valid"/>
    <n v="1089"/>
  </r>
  <r>
    <n v="1641"/>
    <x v="3"/>
    <d v="2022-09-01T00:00:00"/>
    <d v="1899-12-30T17:41:00"/>
    <n v="65"/>
    <s v="Female"/>
    <n v="40"/>
    <x v="2"/>
    <n v="1"/>
    <n v="300"/>
    <n v="165"/>
    <n v="300"/>
    <x v="0"/>
    <s v="Valid"/>
    <n v="135"/>
  </r>
  <r>
    <n v="171"/>
    <x v="8"/>
    <d v="2022-10-14T00:00:00"/>
    <d v="1899-12-30T20:10:00"/>
    <n v="109"/>
    <s v="Female"/>
    <n v="52"/>
    <x v="1"/>
    <n v="3"/>
    <n v="300"/>
    <n v="126"/>
    <n v="900"/>
    <x v="0"/>
    <s v="Valid"/>
    <n v="774"/>
  </r>
  <r>
    <n v="1171"/>
    <x v="8"/>
    <d v="2022-10-05T00:00:00"/>
    <d v="1899-12-30T21:05:00"/>
    <n v="87"/>
    <s v="Female"/>
    <n v="52"/>
    <x v="1"/>
    <n v="3"/>
    <n v="300"/>
    <n v="84"/>
    <n v="900"/>
    <x v="0"/>
    <s v="Valid"/>
    <n v="816"/>
  </r>
  <r>
    <n v="795"/>
    <x v="12"/>
    <d v="2023-10-03T00:00:00"/>
    <d v="1899-12-30T19:51:00"/>
    <n v="71"/>
    <s v="Male"/>
    <n v="57"/>
    <x v="2"/>
    <n v="1"/>
    <n v="300"/>
    <n v="102"/>
    <n v="300"/>
    <x v="0"/>
    <s v="Valid"/>
    <n v="198"/>
  </r>
  <r>
    <n v="1795"/>
    <x v="16"/>
    <d v="2023-12-29T00:00:00"/>
    <d v="1899-12-30T18:50:00"/>
    <n v="86"/>
    <s v="Male"/>
    <n v="57"/>
    <x v="2"/>
    <n v="1"/>
    <n v="300"/>
    <n v="105"/>
    <n v="300"/>
    <x v="0"/>
    <s v="Valid"/>
    <n v="195"/>
  </r>
  <r>
    <n v="24"/>
    <x v="16"/>
    <d v="2023-12-14T00:00:00"/>
    <d v="1899-12-30T22:59:00"/>
    <n v="59"/>
    <s v="Female"/>
    <n v="49"/>
    <x v="1"/>
    <n v="1"/>
    <n v="300"/>
    <n v="87"/>
    <n v="300"/>
    <x v="0"/>
    <s v="Valid"/>
    <n v="213"/>
  </r>
  <r>
    <n v="1024"/>
    <x v="16"/>
    <d v="2023-12-03T00:00:00"/>
    <d v="1899-12-30T21:51:00"/>
    <n v="72"/>
    <s v="Female"/>
    <n v="49"/>
    <x v="1"/>
    <n v="1"/>
    <n v="300"/>
    <n v="126"/>
    <n v="300"/>
    <x v="0"/>
    <s v="Valid"/>
    <n v="174"/>
  </r>
  <r>
    <n v="741"/>
    <x v="10"/>
    <d v="2022-12-24T00:00:00"/>
    <d v="1899-12-30T22:30:00"/>
    <n v="53"/>
    <s v="Male"/>
    <n v="48"/>
    <x v="1"/>
    <n v="1"/>
    <n v="300"/>
    <n v="141"/>
    <n v="300"/>
    <x v="0"/>
    <s v="Valid"/>
    <n v="159"/>
  </r>
  <r>
    <n v="1741"/>
    <x v="22"/>
    <d v="2023-09-02T00:00:00"/>
    <d v="1899-12-30T20:47:00"/>
    <n v="70"/>
    <s v="Male"/>
    <n v="48"/>
    <x v="1"/>
    <n v="1"/>
    <n v="300"/>
    <n v="132"/>
    <n v="300"/>
    <x v="0"/>
    <s v="Valid"/>
    <n v="168"/>
  </r>
  <r>
    <n v="348"/>
    <x v="8"/>
    <d v="2022-10-17T00:00:00"/>
    <d v="1899-12-30T20:20:00"/>
    <n v="83"/>
    <s v="Female"/>
    <n v="35"/>
    <x v="2"/>
    <n v="2"/>
    <n v="300"/>
    <n v="147"/>
    <n v="600"/>
    <x v="0"/>
    <s v="Valid"/>
    <n v="453"/>
  </r>
  <r>
    <n v="1348"/>
    <x v="12"/>
    <d v="2023-10-25T00:00:00"/>
    <d v="1899-12-30T17:21:00"/>
    <n v="79"/>
    <s v="Female"/>
    <n v="35"/>
    <x v="2"/>
    <n v="2"/>
    <n v="300"/>
    <n v="87"/>
    <n v="600"/>
    <x v="0"/>
    <s v="Valid"/>
    <n v="513"/>
  </r>
  <r>
    <n v="868"/>
    <x v="16"/>
    <d v="2023-12-04T00:00:00"/>
    <d v="1899-12-30T13:39:00"/>
    <n v="110"/>
    <s v="Female"/>
    <n v="25"/>
    <x v="2"/>
    <n v="1"/>
    <n v="300"/>
    <n v="111"/>
    <n v="300"/>
    <x v="0"/>
    <s v="Valid"/>
    <n v="189"/>
  </r>
  <r>
    <n v="1868"/>
    <x v="10"/>
    <d v="2022-12-06T00:00:00"/>
    <d v="1899-12-30T16:23:00"/>
    <n v="78"/>
    <s v="Female"/>
    <n v="25"/>
    <x v="2"/>
    <n v="1"/>
    <n v="300"/>
    <n v="138"/>
    <n v="300"/>
    <x v="0"/>
    <s v="Valid"/>
    <n v="162"/>
  </r>
  <r>
    <n v="550"/>
    <x v="22"/>
    <d v="2023-09-27T00:00:00"/>
    <d v="1899-12-30T16:58:00"/>
    <n v="80"/>
    <s v="Male"/>
    <n v="40"/>
    <x v="1"/>
    <n v="3"/>
    <n v="300"/>
    <n v="90"/>
    <n v="900"/>
    <x v="0"/>
    <s v="Valid"/>
    <n v="810"/>
  </r>
  <r>
    <n v="1550"/>
    <x v="3"/>
    <d v="2022-09-30T00:00:00"/>
    <d v="1899-12-30T13:11:00"/>
    <n v="73"/>
    <s v="Male"/>
    <n v="40"/>
    <x v="1"/>
    <n v="3"/>
    <n v="300"/>
    <n v="147"/>
    <n v="900"/>
    <x v="0"/>
    <s v="Valid"/>
    <n v="753"/>
  </r>
  <r>
    <n v="392"/>
    <x v="10"/>
    <d v="2022-12-21T00:00:00"/>
    <d v="1899-12-30T13:11:00"/>
    <n v="77"/>
    <s v="Male"/>
    <n v="27"/>
    <x v="1"/>
    <n v="2"/>
    <n v="300"/>
    <n v="78"/>
    <n v="600"/>
    <x v="0"/>
    <s v="Valid"/>
    <n v="522"/>
  </r>
  <r>
    <n v="540"/>
    <x v="10"/>
    <d v="2022-12-22T00:00:00"/>
    <d v="1899-12-30T16:17:00"/>
    <n v="79"/>
    <s v="Female"/>
    <n v="46"/>
    <x v="2"/>
    <n v="3"/>
    <n v="300"/>
    <n v="87"/>
    <n v="900"/>
    <x v="0"/>
    <s v="Valid"/>
    <n v="813"/>
  </r>
  <r>
    <n v="625"/>
    <x v="10"/>
    <d v="2022-12-25T00:00:00"/>
    <d v="1899-12-30T13:36:00"/>
    <n v="68"/>
    <s v="Male"/>
    <n v="31"/>
    <x v="1"/>
    <n v="1"/>
    <n v="300"/>
    <n v="123"/>
    <n v="300"/>
    <x v="0"/>
    <s v="Valid"/>
    <n v="177"/>
  </r>
  <r>
    <n v="1392"/>
    <x v="3"/>
    <d v="2022-09-12T00:00:00"/>
    <d v="1899-12-30T12:28:00"/>
    <n v="70"/>
    <s v="Male"/>
    <n v="27"/>
    <x v="1"/>
    <n v="2"/>
    <n v="300"/>
    <n v="90"/>
    <n v="600"/>
    <x v="0"/>
    <s v="Valid"/>
    <n v="510"/>
  </r>
  <r>
    <n v="1540"/>
    <x v="12"/>
    <d v="2023-10-12T00:00:00"/>
    <d v="1899-12-30T16:51:00"/>
    <n v="115"/>
    <s v="Female"/>
    <n v="46"/>
    <x v="2"/>
    <n v="3"/>
    <n v="300"/>
    <n v="147"/>
    <n v="900"/>
    <x v="0"/>
    <s v="Valid"/>
    <n v="753"/>
  </r>
  <r>
    <n v="1625"/>
    <x v="22"/>
    <d v="2023-09-27T00:00:00"/>
    <d v="1899-12-30T16:36:00"/>
    <n v="52"/>
    <s v="Male"/>
    <n v="31"/>
    <x v="1"/>
    <n v="1"/>
    <n v="300"/>
    <n v="147"/>
    <n v="300"/>
    <x v="0"/>
    <s v="Valid"/>
    <n v="153"/>
  </r>
  <r>
    <n v="828"/>
    <x v="6"/>
    <d v="2022-11-24T00:00:00"/>
    <d v="1899-12-30T15:54:00"/>
    <n v="76"/>
    <s v="Female"/>
    <n v="33"/>
    <x v="2"/>
    <n v="4"/>
    <n v="300"/>
    <n v="132"/>
    <n v="1200"/>
    <x v="0"/>
    <s v="Valid"/>
    <n v="1068"/>
  </r>
  <r>
    <n v="1828"/>
    <x v="8"/>
    <d v="2022-10-14T00:00:00"/>
    <d v="1899-12-30T14:14:00"/>
    <n v="99"/>
    <s v="Female"/>
    <n v="33"/>
    <x v="2"/>
    <n v="4"/>
    <n v="300"/>
    <n v="165"/>
    <n v="1200"/>
    <x v="0"/>
    <s v="Valid"/>
    <n v="1035"/>
  </r>
  <r>
    <n v="361"/>
    <x v="3"/>
    <d v="2022-09-12T00:00:00"/>
    <d v="1899-12-30T16:37:00"/>
    <n v="112"/>
    <s v="Female"/>
    <n v="34"/>
    <x v="2"/>
    <n v="4"/>
    <n v="300"/>
    <n v="81"/>
    <n v="1200"/>
    <x v="0"/>
    <s v="Valid"/>
    <n v="1119"/>
  </r>
  <r>
    <n v="1361"/>
    <x v="22"/>
    <d v="2023-09-12T00:00:00"/>
    <d v="1899-12-30T16:00:00"/>
    <n v="89"/>
    <s v="Female"/>
    <n v="34"/>
    <x v="2"/>
    <n v="4"/>
    <n v="300"/>
    <n v="153"/>
    <n v="1200"/>
    <x v="0"/>
    <s v="Valid"/>
    <n v="1047"/>
  </r>
  <r>
    <n v="265"/>
    <x v="6"/>
    <d v="2022-11-24T00:00:00"/>
    <d v="1899-12-30T12:12:00"/>
    <n v="80"/>
    <s v="Male"/>
    <n v="55"/>
    <x v="1"/>
    <n v="3"/>
    <n v="300"/>
    <n v="132"/>
    <n v="900"/>
    <x v="0"/>
    <s v="Valid"/>
    <n v="768"/>
  </r>
  <r>
    <n v="1265"/>
    <x v="6"/>
    <d v="2022-11-05T00:00:00"/>
    <d v="1899-12-30T14:35:00"/>
    <n v="86"/>
    <s v="Male"/>
    <n v="55"/>
    <x v="1"/>
    <n v="3"/>
    <n v="300"/>
    <n v="111"/>
    <n v="900"/>
    <x v="0"/>
    <s v="Valid"/>
    <n v="789"/>
  </r>
  <r>
    <n v="9"/>
    <x v="10"/>
    <d v="2022-12-02T00:00:00"/>
    <d v="1899-12-30T13:12:00"/>
    <n v="85"/>
    <s v="Male"/>
    <n v="63"/>
    <x v="2"/>
    <n v="2"/>
    <n v="300"/>
    <n v="78"/>
    <n v="600"/>
    <x v="0"/>
    <s v="Valid"/>
    <n v="522"/>
  </r>
  <r>
    <n v="1009"/>
    <x v="22"/>
    <d v="2023-09-22T00:00:00"/>
    <d v="1899-12-30T14:18:00"/>
    <n v="88"/>
    <s v="Male"/>
    <n v="63"/>
    <x v="2"/>
    <n v="2"/>
    <n v="300"/>
    <n v="78"/>
    <n v="600"/>
    <x v="0"/>
    <s v="Valid"/>
    <n v="522"/>
  </r>
  <r>
    <n v="496"/>
    <x v="10"/>
    <d v="2022-12-12T00:00:00"/>
    <d v="1899-12-30T13:07:00"/>
    <n v="91"/>
    <s v="Male"/>
    <n v="23"/>
    <x v="1"/>
    <n v="2"/>
    <n v="300"/>
    <n v="141"/>
    <n v="600"/>
    <x v="0"/>
    <s v="Valid"/>
    <n v="459"/>
  </r>
  <r>
    <n v="1496"/>
    <x v="3"/>
    <d v="2022-09-03T00:00:00"/>
    <d v="1899-12-30T15:05:00"/>
    <n v="110"/>
    <s v="Male"/>
    <n v="23"/>
    <x v="1"/>
    <n v="2"/>
    <n v="300"/>
    <n v="120"/>
    <n v="600"/>
    <x v="0"/>
    <s v="Valid"/>
    <n v="480"/>
  </r>
  <r>
    <n v="99"/>
    <x v="20"/>
    <d v="2023-11-19T00:00:00"/>
    <d v="1899-12-30T15:12:00"/>
    <n v="71"/>
    <s v="Female"/>
    <n v="50"/>
    <x v="2"/>
    <n v="4"/>
    <n v="300"/>
    <n v="132"/>
    <n v="1200"/>
    <x v="0"/>
    <s v="Valid"/>
    <n v="1068"/>
  </r>
  <r>
    <n v="783"/>
    <x v="6"/>
    <d v="2022-11-11T00:00:00"/>
    <d v="1899-12-30T15:37:00"/>
    <n v="91"/>
    <s v="Female"/>
    <n v="56"/>
    <x v="1"/>
    <n v="1"/>
    <n v="300"/>
    <n v="150"/>
    <n v="300"/>
    <x v="0"/>
    <s v="Valid"/>
    <n v="150"/>
  </r>
  <r>
    <n v="1099"/>
    <x v="10"/>
    <d v="2022-12-24T00:00:00"/>
    <d v="1899-12-30T12:41:00"/>
    <n v="56"/>
    <s v="Female"/>
    <n v="50"/>
    <x v="2"/>
    <n v="4"/>
    <n v="300"/>
    <n v="162"/>
    <n v="1200"/>
    <x v="0"/>
    <s v="Valid"/>
    <n v="1038"/>
  </r>
  <r>
    <n v="1783"/>
    <x v="22"/>
    <d v="2023-09-05T00:00:00"/>
    <d v="1899-12-30T16:37:00"/>
    <n v="52"/>
    <s v="Female"/>
    <n v="56"/>
    <x v="1"/>
    <n v="1"/>
    <n v="300"/>
    <n v="135"/>
    <n v="300"/>
    <x v="0"/>
    <s v="Valid"/>
    <n v="165"/>
  </r>
  <r>
    <n v="409"/>
    <x v="16"/>
    <d v="2023-12-17T00:00:00"/>
    <d v="1899-12-30T12:30:00"/>
    <n v="55"/>
    <s v="Female"/>
    <n v="21"/>
    <x v="2"/>
    <n v="3"/>
    <n v="300"/>
    <n v="87"/>
    <n v="900"/>
    <x v="0"/>
    <s v="Valid"/>
    <n v="813"/>
  </r>
  <r>
    <n v="939"/>
    <x v="6"/>
    <d v="2022-11-07T00:00:00"/>
    <d v="1899-12-30T15:28:00"/>
    <n v="75"/>
    <s v="Female"/>
    <n v="46"/>
    <x v="2"/>
    <n v="1"/>
    <n v="300"/>
    <n v="81"/>
    <n v="300"/>
    <x v="0"/>
    <s v="Valid"/>
    <n v="219"/>
  </r>
  <r>
    <n v="1409"/>
    <x v="20"/>
    <d v="2023-11-22T00:00:00"/>
    <d v="1899-12-30T12:15:00"/>
    <n v="102"/>
    <s v="Female"/>
    <n v="21"/>
    <x v="2"/>
    <n v="3"/>
    <n v="300"/>
    <n v="138"/>
    <n v="900"/>
    <x v="0"/>
    <s v="Valid"/>
    <n v="762"/>
  </r>
  <r>
    <n v="1939"/>
    <x v="8"/>
    <d v="2022-10-31T00:00:00"/>
    <d v="1899-12-30T13:30:00"/>
    <n v="74"/>
    <s v="Female"/>
    <n v="46"/>
    <x v="2"/>
    <n v="1"/>
    <n v="300"/>
    <n v="135"/>
    <n v="300"/>
    <x v="0"/>
    <s v="Valid"/>
    <n v="165"/>
  </r>
  <r>
    <n v="96"/>
    <x v="20"/>
    <d v="2023-11-22T00:00:00"/>
    <d v="1899-12-30T14:10:00"/>
    <n v="62"/>
    <s v="Female"/>
    <n v="44"/>
    <x v="1"/>
    <n v="2"/>
    <n v="300"/>
    <n v="84"/>
    <n v="600"/>
    <x v="0"/>
    <s v="Valid"/>
    <n v="516"/>
  </r>
  <r>
    <n v="1096"/>
    <x v="10"/>
    <d v="2022-12-01T00:00:00"/>
    <d v="1899-12-30T14:49:00"/>
    <n v="82"/>
    <s v="Female"/>
    <n v="44"/>
    <x v="1"/>
    <n v="2"/>
    <n v="300"/>
    <n v="138"/>
    <n v="600"/>
    <x v="0"/>
    <s v="Valid"/>
    <n v="462"/>
  </r>
  <r>
    <n v="435"/>
    <x v="16"/>
    <d v="2023-12-15T00:00:00"/>
    <d v="1899-12-30T13:41:00"/>
    <n v="113"/>
    <s v="Female"/>
    <n v="30"/>
    <x v="0"/>
    <n v="3"/>
    <n v="300"/>
    <n v="108"/>
    <n v="900"/>
    <x v="0"/>
    <s v="Valid"/>
    <n v="792"/>
  </r>
  <r>
    <n v="1435"/>
    <x v="8"/>
    <d v="2022-10-27T00:00:00"/>
    <d v="1899-12-30T13:31:00"/>
    <n v="61"/>
    <s v="Female"/>
    <n v="30"/>
    <x v="0"/>
    <n v="3"/>
    <n v="300"/>
    <n v="114"/>
    <n v="900"/>
    <x v="0"/>
    <s v="Valid"/>
    <n v="786"/>
  </r>
  <r>
    <n v="865"/>
    <x v="16"/>
    <d v="2023-12-17T00:00:00"/>
    <d v="1899-12-30T14:49:00"/>
    <n v="78"/>
    <s v="Female"/>
    <n v="42"/>
    <x v="1"/>
    <n v="1"/>
    <n v="300"/>
    <n v="108"/>
    <n v="300"/>
    <x v="0"/>
    <s v="Valid"/>
    <n v="192"/>
  </r>
  <r>
    <n v="1865"/>
    <x v="6"/>
    <d v="2022-11-18T00:00:00"/>
    <d v="1899-12-30T14:52:00"/>
    <n v="107"/>
    <s v="Female"/>
    <n v="42"/>
    <x v="1"/>
    <n v="1"/>
    <n v="300"/>
    <n v="156"/>
    <n v="300"/>
    <x v="0"/>
    <s v="Valid"/>
    <n v="144"/>
  </r>
  <r>
    <n v="602"/>
    <x v="16"/>
    <d v="2023-12-12T00:00:00"/>
    <d v="1899-12-30T16:46:00"/>
    <n v="75"/>
    <s v="Female"/>
    <n v="20"/>
    <x v="2"/>
    <n v="1"/>
    <n v="300"/>
    <n v="96"/>
    <n v="300"/>
    <x v="0"/>
    <s v="Valid"/>
    <n v="204"/>
  </r>
  <r>
    <n v="678"/>
    <x v="6"/>
    <d v="2022-11-17T00:00:00"/>
    <d v="1899-12-30T15:55:00"/>
    <n v="70"/>
    <s v="Female"/>
    <n v="60"/>
    <x v="2"/>
    <n v="3"/>
    <n v="300"/>
    <n v="144"/>
    <n v="900"/>
    <x v="0"/>
    <s v="Valid"/>
    <n v="756"/>
  </r>
  <r>
    <n v="1602"/>
    <x v="10"/>
    <d v="2022-12-01T00:00:00"/>
    <d v="1899-12-30T15:17:00"/>
    <n v="86"/>
    <s v="Female"/>
    <n v="20"/>
    <x v="2"/>
    <n v="1"/>
    <n v="300"/>
    <n v="126"/>
    <n v="300"/>
    <x v="0"/>
    <s v="Valid"/>
    <n v="174"/>
  </r>
  <r>
    <n v="1678"/>
    <x v="3"/>
    <d v="2022-09-16T00:00:00"/>
    <d v="1899-12-30T13:44:00"/>
    <n v="99"/>
    <s v="Female"/>
    <n v="60"/>
    <x v="2"/>
    <n v="3"/>
    <n v="300"/>
    <n v="102"/>
    <n v="900"/>
    <x v="0"/>
    <s v="Valid"/>
    <n v="798"/>
  </r>
  <r>
    <n v="757"/>
    <x v="12"/>
    <d v="2023-10-06T00:00:00"/>
    <d v="1899-12-30T12:10:00"/>
    <n v="82"/>
    <s v="Female"/>
    <n v="43"/>
    <x v="2"/>
    <n v="4"/>
    <n v="300"/>
    <n v="105"/>
    <n v="1200"/>
    <x v="0"/>
    <s v="Valid"/>
    <n v="1095"/>
  </r>
  <r>
    <n v="1757"/>
    <x v="22"/>
    <d v="2023-09-29T00:00:00"/>
    <d v="1899-12-30T16:42:00"/>
    <n v="50"/>
    <s v="Female"/>
    <n v="43"/>
    <x v="2"/>
    <n v="4"/>
    <n v="300"/>
    <n v="132"/>
    <n v="1200"/>
    <x v="0"/>
    <s v="Valid"/>
    <n v="1068"/>
  </r>
  <r>
    <n v="472"/>
    <x v="12"/>
    <d v="2023-10-30T00:00:00"/>
    <d v="1899-12-30T15:23:00"/>
    <n v="95"/>
    <s v="Female"/>
    <n v="38"/>
    <x v="0"/>
    <n v="3"/>
    <n v="300"/>
    <n v="162"/>
    <n v="900"/>
    <x v="0"/>
    <s v="Valid"/>
    <n v="738"/>
  </r>
  <r>
    <n v="842"/>
    <x v="6"/>
    <d v="2022-11-28T00:00:00"/>
    <d v="1899-12-30T14:13:00"/>
    <n v="71"/>
    <s v="Female"/>
    <n v="47"/>
    <x v="1"/>
    <n v="2"/>
    <n v="300"/>
    <n v="105"/>
    <n v="600"/>
    <x v="0"/>
    <s v="Valid"/>
    <n v="495"/>
  </r>
  <r>
    <n v="1472"/>
    <x v="16"/>
    <d v="2023-12-18T00:00:00"/>
    <d v="1899-12-30T15:22:00"/>
    <n v="74"/>
    <s v="Female"/>
    <n v="38"/>
    <x v="0"/>
    <n v="3"/>
    <n v="300"/>
    <n v="150"/>
    <n v="900"/>
    <x v="0"/>
    <s v="Valid"/>
    <n v="750"/>
  </r>
  <r>
    <n v="1842"/>
    <x v="8"/>
    <d v="2022-10-04T00:00:00"/>
    <d v="1899-12-30T14:03:00"/>
    <n v="84"/>
    <s v="Female"/>
    <n v="47"/>
    <x v="1"/>
    <n v="2"/>
    <n v="300"/>
    <n v="75"/>
    <n v="600"/>
    <x v="0"/>
    <s v="Valid"/>
    <n v="525"/>
  </r>
  <r>
    <n v="386"/>
    <x v="8"/>
    <d v="2022-10-23T00:00:00"/>
    <d v="1899-12-30T13:20:00"/>
    <n v="77"/>
    <s v="Female"/>
    <n v="54"/>
    <x v="2"/>
    <n v="2"/>
    <n v="300"/>
    <n v="153"/>
    <n v="600"/>
    <x v="0"/>
    <s v="Valid"/>
    <n v="447"/>
  </r>
  <r>
    <n v="1386"/>
    <x v="16"/>
    <d v="2023-12-19T00:00:00"/>
    <d v="1899-12-30T14:06:00"/>
    <n v="110"/>
    <s v="Female"/>
    <n v="54"/>
    <x v="2"/>
    <n v="2"/>
    <n v="300"/>
    <n v="81"/>
    <n v="600"/>
    <x v="0"/>
    <s v="Valid"/>
    <n v="519"/>
  </r>
  <r>
    <n v="233"/>
    <x v="3"/>
    <d v="2022-09-03T00:00:00"/>
    <d v="1899-12-30T13:09:00"/>
    <n v="81"/>
    <s v="Female"/>
    <n v="51"/>
    <x v="0"/>
    <n v="2"/>
    <n v="300"/>
    <n v="132"/>
    <n v="600"/>
    <x v="0"/>
    <s v="Valid"/>
    <n v="468"/>
  </r>
  <r>
    <n v="908"/>
    <x v="8"/>
    <d v="2022-10-30T00:00:00"/>
    <d v="1899-12-30T14:47:00"/>
    <n v="64"/>
    <s v="Male"/>
    <n v="46"/>
    <x v="0"/>
    <n v="4"/>
    <n v="300"/>
    <n v="81"/>
    <n v="1200"/>
    <x v="0"/>
    <s v="Valid"/>
    <n v="1119"/>
  </r>
  <r>
    <n v="1233"/>
    <x v="12"/>
    <d v="2023-10-01T00:00:00"/>
    <d v="1899-12-30T16:20:00"/>
    <n v="79"/>
    <s v="Female"/>
    <n v="51"/>
    <x v="0"/>
    <n v="2"/>
    <n v="300"/>
    <n v="117"/>
    <n v="600"/>
    <x v="0"/>
    <s v="Valid"/>
    <n v="483"/>
  </r>
  <r>
    <n v="1908"/>
    <x v="16"/>
    <d v="2023-12-17T00:00:00"/>
    <d v="1899-12-30T12:34:00"/>
    <n v="93"/>
    <s v="Male"/>
    <n v="46"/>
    <x v="0"/>
    <n v="4"/>
    <n v="300"/>
    <n v="87"/>
    <n v="1200"/>
    <x v="0"/>
    <s v="Valid"/>
    <n v="1113"/>
  </r>
  <r>
    <n v="522"/>
    <x v="9"/>
    <d v="2022-07-09T00:00:00"/>
    <d v="1899-12-30T11:00:00"/>
    <n v="52"/>
    <s v="Male"/>
    <n v="46"/>
    <x v="0"/>
    <n v="3"/>
    <n v="500"/>
    <n v="145"/>
    <n v="1500"/>
    <x v="0"/>
    <s v="Valid"/>
    <n v="1355"/>
  </r>
  <r>
    <n v="1522"/>
    <x v="6"/>
    <d v="2022-11-14T00:00:00"/>
    <d v="1899-12-30T08:35:00"/>
    <n v="48"/>
    <s v="Male"/>
    <n v="46"/>
    <x v="0"/>
    <n v="3"/>
    <n v="500"/>
    <n v="235"/>
    <n v="1500"/>
    <x v="0"/>
    <s v="Valid"/>
    <n v="1265"/>
  </r>
  <r>
    <n v="421"/>
    <x v="4"/>
    <d v="2022-04-08T00:00:00"/>
    <d v="1899-12-30T08:43:00"/>
    <n v="66"/>
    <s v="Female"/>
    <n v="37"/>
    <x v="1"/>
    <n v="3"/>
    <n v="500"/>
    <n v="235"/>
    <n v="1500"/>
    <x v="0"/>
    <s v="Valid"/>
    <n v="1265"/>
  </r>
  <r>
    <n v="1421"/>
    <x v="11"/>
    <d v="2022-01-17T00:00:00"/>
    <d v="1899-12-30T07:07:00"/>
    <n v="59"/>
    <s v="Female"/>
    <n v="37"/>
    <x v="1"/>
    <n v="3"/>
    <n v="500"/>
    <n v="185"/>
    <n v="1500"/>
    <x v="0"/>
    <s v="Valid"/>
    <n v="1315"/>
  </r>
  <r>
    <n v="683"/>
    <x v="2"/>
    <d v="2022-03-06T00:00:00"/>
    <d v="1899-12-30T10:22:00"/>
    <n v="82"/>
    <s v="Male"/>
    <n v="38"/>
    <x v="0"/>
    <n v="2"/>
    <n v="500"/>
    <n v="175"/>
    <n v="1000"/>
    <x v="0"/>
    <s v="Valid"/>
    <n v="825"/>
  </r>
  <r>
    <n v="1683"/>
    <x v="0"/>
    <d v="2022-05-04T00:00:00"/>
    <d v="1899-12-30T07:19:00"/>
    <n v="98"/>
    <s v="Male"/>
    <n v="38"/>
    <x v="0"/>
    <n v="2"/>
    <n v="500"/>
    <n v="220"/>
    <n v="1000"/>
    <x v="0"/>
    <s v="Valid"/>
    <n v="780"/>
  </r>
  <r>
    <n v="432"/>
    <x v="2"/>
    <d v="2022-03-10T00:00:00"/>
    <d v="1899-12-30T11:31:00"/>
    <n v="17"/>
    <s v="Female"/>
    <m/>
    <x v="2"/>
    <n v="2"/>
    <n v="500"/>
    <n v="190"/>
    <n v="1000"/>
    <x v="0"/>
    <s v="Valid"/>
    <n v="810"/>
  </r>
  <r>
    <n v="1432"/>
    <x v="10"/>
    <d v="2022-12-25T00:00:00"/>
    <d v="1899-12-30T06:24:00"/>
    <n v="67"/>
    <s v="Female"/>
    <m/>
    <x v="2"/>
    <n v="2"/>
    <n v="500"/>
    <n v="245"/>
    <n v="1000"/>
    <x v="0"/>
    <s v="Valid"/>
    <n v="755"/>
  </r>
  <r>
    <n v="845"/>
    <x v="8"/>
    <d v="2022-10-27T00:00:00"/>
    <d v="1899-12-30T10:12:00"/>
    <n v="25"/>
    <s v="Male"/>
    <m/>
    <x v="1"/>
    <n v="1"/>
    <n v="500"/>
    <n v="145"/>
    <n v="500"/>
    <x v="0"/>
    <s v="Valid"/>
    <n v="355"/>
  </r>
  <r>
    <n v="1845"/>
    <x v="0"/>
    <d v="2022-05-24T00:00:00"/>
    <d v="1899-12-30T07:06:00"/>
    <n v="94"/>
    <s v="Male"/>
    <m/>
    <x v="1"/>
    <n v="1"/>
    <n v="500"/>
    <n v="185"/>
    <n v="500"/>
    <x v="0"/>
    <s v="Valid"/>
    <n v="315"/>
  </r>
  <r>
    <n v="21"/>
    <x v="9"/>
    <d v="2022-07-11T00:00:00"/>
    <d v="1899-12-30T07:33:00"/>
    <n v="59"/>
    <s v="Female"/>
    <n v="50"/>
    <x v="0"/>
    <n v="1"/>
    <n v="500"/>
    <n v="275"/>
    <n v="500"/>
    <x v="0"/>
    <s v="Valid"/>
    <n v="225"/>
  </r>
  <r>
    <n v="1021"/>
    <x v="7"/>
    <d v="2022-06-11T00:00:00"/>
    <d v="1899-12-30T10:19:00"/>
    <n v="44"/>
    <s v="Female"/>
    <n v="50"/>
    <x v="0"/>
    <n v="1"/>
    <n v="500"/>
    <n v="155"/>
    <n v="500"/>
    <x v="0"/>
    <s v="Valid"/>
    <n v="345"/>
  </r>
  <r>
    <n v="697"/>
    <x v="10"/>
    <d v="2022-12-25T00:00:00"/>
    <d v="1899-12-30T07:52:00"/>
    <n v="152"/>
    <s v="Male"/>
    <n v="53"/>
    <x v="1"/>
    <n v="1"/>
    <n v="500"/>
    <n v="200"/>
    <n v="500"/>
    <x v="0"/>
    <s v="Valid"/>
    <n v="300"/>
  </r>
  <r>
    <n v="1697"/>
    <x v="10"/>
    <d v="2022-12-18T00:00:00"/>
    <d v="1899-12-30T08:22:00"/>
    <n v="54"/>
    <s v="Male"/>
    <n v="53"/>
    <x v="1"/>
    <n v="1"/>
    <n v="500"/>
    <n v="265"/>
    <n v="500"/>
    <x v="0"/>
    <s v="Valid"/>
    <n v="235"/>
  </r>
  <r>
    <n v="15"/>
    <x v="9"/>
    <d v="2022-07-01T00:00:00"/>
    <d v="1899-12-30T11:50:00"/>
    <n v="75"/>
    <s v="Female"/>
    <n v="42"/>
    <x v="2"/>
    <n v="4"/>
    <n v="500"/>
    <n v="210"/>
    <n v="2000"/>
    <x v="0"/>
    <s v="Valid"/>
    <n v="1790"/>
  </r>
  <r>
    <n v="743"/>
    <x v="1"/>
    <d v="2022-08-07T00:00:00"/>
    <d v="1899-12-30T07:54:00"/>
    <n v="55"/>
    <s v="Female"/>
    <n v="34"/>
    <x v="0"/>
    <n v="4"/>
    <n v="500"/>
    <n v="260"/>
    <n v="2000"/>
    <x v="0"/>
    <s v="Valid"/>
    <n v="1740"/>
  </r>
  <r>
    <n v="1015"/>
    <x v="2"/>
    <d v="2022-03-09T00:00:00"/>
    <d v="1899-12-30T11:53:00"/>
    <n v="94"/>
    <s v="Female"/>
    <n v="42"/>
    <x v="2"/>
    <n v="4"/>
    <n v="500"/>
    <n v="200"/>
    <n v="2000"/>
    <x v="0"/>
    <s v="Valid"/>
    <n v="1800"/>
  </r>
  <r>
    <n v="1743"/>
    <x v="8"/>
    <d v="2022-10-26T00:00:00"/>
    <d v="1899-12-30T09:37:00"/>
    <n v="47"/>
    <s v="Female"/>
    <n v="34"/>
    <x v="0"/>
    <n v="4"/>
    <n v="500"/>
    <n v="250"/>
    <n v="2000"/>
    <x v="0"/>
    <s v="Valid"/>
    <n v="1750"/>
  </r>
  <r>
    <n v="238"/>
    <x v="0"/>
    <d v="2022-05-10T00:00:00"/>
    <d v="1899-12-30T11:52:00"/>
    <n v="20"/>
    <s v="Female"/>
    <n v="39"/>
    <x v="0"/>
    <n v="1"/>
    <n v="500"/>
    <n v="150"/>
    <n v="500"/>
    <x v="0"/>
    <s v="Valid"/>
    <n v="350"/>
  </r>
  <r>
    <n v="986"/>
    <x v="1"/>
    <d v="2022-08-01T00:00:00"/>
    <d v="1899-12-30T09:35:00"/>
    <n v="65"/>
    <s v="Female"/>
    <n v="49"/>
    <x v="1"/>
    <n v="2"/>
    <n v="500"/>
    <n v="200"/>
    <n v="1000"/>
    <x v="0"/>
    <s v="Valid"/>
    <n v="800"/>
  </r>
  <r>
    <n v="1238"/>
    <x v="3"/>
    <d v="2022-09-17T00:00:00"/>
    <d v="1899-12-30T07:38:00"/>
    <n v="129"/>
    <s v="Female"/>
    <n v="39"/>
    <x v="0"/>
    <n v="1"/>
    <n v="500"/>
    <n v="165"/>
    <n v="500"/>
    <x v="0"/>
    <s v="Valid"/>
    <n v="335"/>
  </r>
  <r>
    <n v="1986"/>
    <x v="3"/>
    <d v="2022-09-14T00:00:00"/>
    <d v="1899-12-30T08:28:00"/>
    <n v="29"/>
    <s v="Female"/>
    <n v="49"/>
    <x v="1"/>
    <n v="2"/>
    <n v="500"/>
    <n v="145"/>
    <n v="1000"/>
    <x v="0"/>
    <s v="Valid"/>
    <n v="855"/>
  </r>
  <r>
    <n v="742"/>
    <x v="2"/>
    <d v="2022-03-19T00:00:00"/>
    <d v="1899-12-30T06:08:00"/>
    <n v="37"/>
    <s v="Female"/>
    <n v="38"/>
    <x v="2"/>
    <n v="4"/>
    <n v="500"/>
    <n v="195"/>
    <n v="2000"/>
    <x v="0"/>
    <s v="Valid"/>
    <n v="1805"/>
  </r>
  <r>
    <n v="1742"/>
    <x v="6"/>
    <d v="2022-11-22T00:00:00"/>
    <d v="1899-12-30T08:25:00"/>
    <n v="18"/>
    <s v="Female"/>
    <n v="38"/>
    <x v="2"/>
    <n v="4"/>
    <n v="500"/>
    <n v="220"/>
    <n v="2000"/>
    <x v="0"/>
    <s v="Valid"/>
    <n v="1780"/>
  </r>
  <r>
    <n v="49"/>
    <x v="3"/>
    <d v="2022-09-17T00:00:00"/>
    <d v="1899-12-30T10:33:00"/>
    <n v="37"/>
    <s v="Female"/>
    <n v="54"/>
    <x v="2"/>
    <n v="2"/>
    <n v="500"/>
    <n v="255"/>
    <n v="1000"/>
    <x v="0"/>
    <s v="Valid"/>
    <n v="745"/>
  </r>
  <r>
    <n v="420"/>
    <x v="11"/>
    <d v="2022-01-02T00:00:00"/>
    <d v="1899-12-30T10:53:00"/>
    <n v="28"/>
    <s v="Female"/>
    <n v="22"/>
    <x v="1"/>
    <n v="4"/>
    <n v="500"/>
    <n v="200"/>
    <n v="2000"/>
    <x v="0"/>
    <s v="Valid"/>
    <n v="1800"/>
  </r>
  <r>
    <n v="1049"/>
    <x v="0"/>
    <d v="2022-05-16T00:00:00"/>
    <d v="1899-12-30T06:36:00"/>
    <n v="143"/>
    <s v="Female"/>
    <n v="54"/>
    <x v="2"/>
    <n v="2"/>
    <n v="500"/>
    <n v="125"/>
    <n v="1000"/>
    <x v="0"/>
    <s v="Valid"/>
    <n v="875"/>
  </r>
  <r>
    <n v="1420"/>
    <x v="4"/>
    <d v="2022-04-15T00:00:00"/>
    <d v="1899-12-30T07:01:00"/>
    <n v="138"/>
    <s v="Female"/>
    <n v="22"/>
    <x v="1"/>
    <n v="4"/>
    <n v="500"/>
    <n v="205"/>
    <n v="2000"/>
    <x v="0"/>
    <s v="Valid"/>
    <n v="1795"/>
  </r>
  <r>
    <n v="592"/>
    <x v="10"/>
    <d v="2022-12-26T00:00:00"/>
    <d v="1899-12-30T09:15:00"/>
    <n v="77"/>
    <s v="Female"/>
    <n v="46"/>
    <x v="0"/>
    <n v="4"/>
    <n v="500"/>
    <n v="275"/>
    <n v="2000"/>
    <x v="0"/>
    <s v="Valid"/>
    <n v="1725"/>
  </r>
  <r>
    <n v="1592"/>
    <x v="2"/>
    <d v="2022-03-16T00:00:00"/>
    <d v="1899-12-30T09:08:00"/>
    <n v="81"/>
    <s v="Female"/>
    <n v="46"/>
    <x v="0"/>
    <n v="4"/>
    <n v="500"/>
    <n v="155"/>
    <n v="2000"/>
    <x v="0"/>
    <s v="Valid"/>
    <n v="1845"/>
  </r>
  <r>
    <n v="720"/>
    <x v="4"/>
    <d v="2022-04-08T00:00:00"/>
    <d v="1899-12-30T08:50:00"/>
    <n v="116"/>
    <s v="Female"/>
    <n v="56"/>
    <x v="0"/>
    <n v="3"/>
    <n v="500"/>
    <n v="235"/>
    <n v="1500"/>
    <x v="0"/>
    <s v="Valid"/>
    <n v="1265"/>
  </r>
  <r>
    <n v="1720"/>
    <x v="8"/>
    <d v="2022-10-10T00:00:00"/>
    <d v="1899-12-30T08:51:00"/>
    <n v="28"/>
    <s v="Female"/>
    <n v="56"/>
    <x v="0"/>
    <n v="3"/>
    <n v="500"/>
    <n v="190"/>
    <n v="1500"/>
    <x v="0"/>
    <s v="Valid"/>
    <n v="1310"/>
  </r>
  <r>
    <n v="322"/>
    <x v="8"/>
    <d v="2022-10-19T00:00:00"/>
    <d v="1899-12-30T06:11:00"/>
    <n v="13"/>
    <s v="Male"/>
    <n v="51"/>
    <x v="2"/>
    <n v="1"/>
    <n v="500"/>
    <n v="125"/>
    <n v="500"/>
    <x v="0"/>
    <s v="Valid"/>
    <n v="375"/>
  </r>
  <r>
    <n v="1322"/>
    <x v="6"/>
    <d v="2022-11-14T00:00:00"/>
    <d v="1899-12-30T09:56:00"/>
    <n v="10"/>
    <s v="Male"/>
    <n v="51"/>
    <x v="2"/>
    <n v="1"/>
    <n v="500"/>
    <n v="250"/>
    <n v="500"/>
    <x v="0"/>
    <s v="Valid"/>
    <n v="250"/>
  </r>
  <r>
    <n v="235"/>
    <x v="2"/>
    <d v="2022-03-10T00:00:00"/>
    <d v="1899-12-30T10:13:00"/>
    <n v="132"/>
    <s v="Female"/>
    <n v="23"/>
    <x v="2"/>
    <n v="2"/>
    <n v="500"/>
    <n v="275"/>
    <n v="1000"/>
    <x v="0"/>
    <s v="Valid"/>
    <n v="725"/>
  </r>
  <r>
    <n v="1235"/>
    <x v="4"/>
    <d v="2022-04-04T00:00:00"/>
    <d v="1899-12-30T06:44:00"/>
    <n v="87"/>
    <s v="Female"/>
    <n v="23"/>
    <x v="2"/>
    <n v="2"/>
    <n v="500"/>
    <n v="220"/>
    <n v="1000"/>
    <x v="0"/>
    <s v="Valid"/>
    <n v="780"/>
  </r>
  <r>
    <n v="269"/>
    <x v="3"/>
    <d v="2022-09-19T00:00:00"/>
    <d v="1899-12-30T11:31:00"/>
    <n v="87"/>
    <s v="Male"/>
    <n v="25"/>
    <x v="1"/>
    <n v="4"/>
    <n v="500"/>
    <n v="250"/>
    <n v="2000"/>
    <x v="0"/>
    <s v="Valid"/>
    <n v="1750"/>
  </r>
  <r>
    <n v="673"/>
    <x v="9"/>
    <d v="2022-07-04T00:00:00"/>
    <d v="1899-12-30T10:14:00"/>
    <n v="18"/>
    <s v="Female"/>
    <n v="43"/>
    <x v="1"/>
    <n v="3"/>
    <n v="500"/>
    <n v="270"/>
    <n v="1500"/>
    <x v="0"/>
    <s v="Valid"/>
    <n v="1230"/>
  </r>
  <r>
    <n v="1269"/>
    <x v="11"/>
    <d v="2022-01-01T00:00:00"/>
    <d v="1899-12-30T08:09:00"/>
    <n v="71"/>
    <s v="Male"/>
    <n v="25"/>
    <x v="1"/>
    <n v="4"/>
    <n v="500"/>
    <n v="145"/>
    <n v="2000"/>
    <x v="0"/>
    <s v="Valid"/>
    <n v="1855"/>
  </r>
  <r>
    <n v="1673"/>
    <x v="7"/>
    <d v="2022-06-14T00:00:00"/>
    <d v="1899-12-30T07:36:00"/>
    <n v="42"/>
    <s v="Female"/>
    <n v="43"/>
    <x v="1"/>
    <n v="3"/>
    <n v="500"/>
    <n v="185"/>
    <n v="1500"/>
    <x v="0"/>
    <s v="Valid"/>
    <n v="1315"/>
  </r>
  <r>
    <n v="237"/>
    <x v="4"/>
    <d v="2022-04-11T00:00:00"/>
    <d v="1899-12-30T08:54:00"/>
    <n v="105"/>
    <s v="Female"/>
    <n v="50"/>
    <x v="0"/>
    <n v="2"/>
    <n v="500"/>
    <n v="165"/>
    <n v="1000"/>
    <x v="0"/>
    <s v="Valid"/>
    <n v="835"/>
  </r>
  <r>
    <n v="1237"/>
    <x v="5"/>
    <d v="2022-02-23T00:00:00"/>
    <d v="1899-12-30T09:20:00"/>
    <n v="48"/>
    <s v="Female"/>
    <n v="50"/>
    <x v="0"/>
    <n v="2"/>
    <n v="500"/>
    <n v="215"/>
    <n v="1000"/>
    <x v="0"/>
    <s v="Valid"/>
    <n v="785"/>
  </r>
  <r>
    <n v="372"/>
    <x v="7"/>
    <d v="2022-06-19T00:00:00"/>
    <d v="1899-12-30T11:45:00"/>
    <n v="27"/>
    <s v="Female"/>
    <n v="24"/>
    <x v="0"/>
    <n v="3"/>
    <n v="500"/>
    <n v="140"/>
    <n v="1500"/>
    <x v="0"/>
    <s v="Valid"/>
    <n v="1360"/>
  </r>
  <r>
    <n v="1372"/>
    <x v="2"/>
    <d v="2022-03-18T00:00:00"/>
    <d v="1899-12-30T10:53:00"/>
    <n v="60"/>
    <s v="Female"/>
    <n v="24"/>
    <x v="0"/>
    <n v="3"/>
    <n v="500"/>
    <n v="145"/>
    <n v="1500"/>
    <x v="0"/>
    <s v="Valid"/>
    <n v="1355"/>
  </r>
  <r>
    <n v="54"/>
    <x v="8"/>
    <d v="2022-10-20T00:00:00"/>
    <d v="1899-12-30T10:17:00"/>
    <n v="142"/>
    <s v="Female"/>
    <n v="38"/>
    <x v="2"/>
    <n v="3"/>
    <n v="500"/>
    <n v="200"/>
    <n v="1500"/>
    <x v="0"/>
    <s v="Valid"/>
    <n v="1300"/>
  </r>
  <r>
    <n v="1054"/>
    <x v="11"/>
    <d v="2022-01-10T00:00:00"/>
    <d v="1899-12-30T09:24:00"/>
    <n v="49"/>
    <s v="Female"/>
    <n v="38"/>
    <x v="2"/>
    <n v="3"/>
    <n v="500"/>
    <n v="140"/>
    <n v="1500"/>
    <x v="0"/>
    <s v="Valid"/>
    <n v="1360"/>
  </r>
  <r>
    <n v="346"/>
    <x v="3"/>
    <d v="2022-09-05T00:00:00"/>
    <d v="1899-12-30T06:54:00"/>
    <n v="38"/>
    <s v="Male"/>
    <n v="59"/>
    <x v="1"/>
    <n v="2"/>
    <n v="500"/>
    <n v="215"/>
    <n v="1000"/>
    <x v="0"/>
    <s v="Valid"/>
    <n v="785"/>
  </r>
  <r>
    <n v="732"/>
    <x v="8"/>
    <d v="2022-10-13T00:00:00"/>
    <d v="1899-12-30T08:45:00"/>
    <n v="136"/>
    <s v="Male"/>
    <n v="61"/>
    <x v="2"/>
    <n v="2"/>
    <n v="500"/>
    <n v="250"/>
    <n v="1000"/>
    <x v="0"/>
    <s v="Valid"/>
    <n v="750"/>
  </r>
  <r>
    <n v="1346"/>
    <x v="4"/>
    <d v="2022-04-10T00:00:00"/>
    <d v="1899-12-30T10:01:00"/>
    <n v="112"/>
    <s v="Male"/>
    <n v="59"/>
    <x v="1"/>
    <n v="2"/>
    <n v="500"/>
    <n v="130"/>
    <n v="1000"/>
    <x v="0"/>
    <s v="Valid"/>
    <n v="870"/>
  </r>
  <r>
    <n v="1732"/>
    <x v="5"/>
    <d v="2022-02-25T00:00:00"/>
    <d v="1899-12-30T07:05:00"/>
    <n v="55"/>
    <s v="Male"/>
    <n v="61"/>
    <x v="2"/>
    <n v="2"/>
    <n v="500"/>
    <n v="215"/>
    <n v="1000"/>
    <x v="0"/>
    <s v="Valid"/>
    <n v="785"/>
  </r>
  <r>
    <n v="714"/>
    <x v="8"/>
    <d v="2022-10-29T00:00:00"/>
    <d v="1899-12-30T08:50:00"/>
    <n v="20"/>
    <s v="Female"/>
    <n v="18"/>
    <x v="1"/>
    <n v="1"/>
    <n v="500"/>
    <n v="190"/>
    <n v="500"/>
    <x v="0"/>
    <s v="Valid"/>
    <n v="310"/>
  </r>
  <r>
    <n v="1714"/>
    <x v="6"/>
    <d v="2022-11-23T00:00:00"/>
    <d v="1899-12-30T06:07:00"/>
    <n v="111"/>
    <s v="Female"/>
    <n v="18"/>
    <x v="1"/>
    <n v="1"/>
    <n v="500"/>
    <n v="245"/>
    <n v="500"/>
    <x v="0"/>
    <s v="Valid"/>
    <n v="255"/>
  </r>
  <r>
    <n v="193"/>
    <x v="2"/>
    <d v="2022-03-27T00:00:00"/>
    <d v="1899-12-30T10:40:00"/>
    <n v="55"/>
    <s v="Male"/>
    <n v="35"/>
    <x v="0"/>
    <n v="3"/>
    <n v="500"/>
    <n v="180"/>
    <n v="1500"/>
    <x v="0"/>
    <s v="Valid"/>
    <n v="1320"/>
  </r>
  <r>
    <n v="577"/>
    <x v="4"/>
    <d v="2022-04-21T00:00:00"/>
    <d v="1899-12-30T11:55:00"/>
    <n v="45"/>
    <s v="Male"/>
    <n v="21"/>
    <x v="0"/>
    <n v="4"/>
    <n v="500"/>
    <n v="215"/>
    <n v="2000"/>
    <x v="0"/>
    <s v="Valid"/>
    <n v="1785"/>
  </r>
  <r>
    <n v="1193"/>
    <x v="0"/>
    <d v="2022-05-11T00:00:00"/>
    <d v="1899-12-30T11:31:00"/>
    <n v="50"/>
    <s v="Male"/>
    <n v="35"/>
    <x v="0"/>
    <n v="3"/>
    <n v="500"/>
    <n v="145"/>
    <n v="1500"/>
    <x v="0"/>
    <s v="Valid"/>
    <n v="1355"/>
  </r>
  <r>
    <n v="1577"/>
    <x v="3"/>
    <d v="2022-09-11T00:00:00"/>
    <d v="1899-12-30T06:22:00"/>
    <n v="145"/>
    <s v="Male"/>
    <n v="21"/>
    <x v="0"/>
    <n v="4"/>
    <n v="500"/>
    <n v="160"/>
    <n v="2000"/>
    <x v="0"/>
    <s v="Valid"/>
    <n v="1840"/>
  </r>
  <r>
    <n v="16"/>
    <x v="7"/>
    <d v="2022-06-25T00:00:00"/>
    <d v="1899-12-30T10:33:00"/>
    <n v="82"/>
    <s v="Male"/>
    <n v="19"/>
    <x v="1"/>
    <n v="3"/>
    <n v="500"/>
    <n v="180"/>
    <n v="1500"/>
    <x v="0"/>
    <s v="Valid"/>
    <n v="1320"/>
  </r>
  <r>
    <n v="416"/>
    <x v="1"/>
    <d v="2022-08-21T00:00:00"/>
    <d v="1899-12-30T09:29:00"/>
    <n v="55"/>
    <s v="Male"/>
    <n v="53"/>
    <x v="2"/>
    <n v="4"/>
    <n v="500"/>
    <n v="245"/>
    <n v="2000"/>
    <x v="0"/>
    <s v="Valid"/>
    <n v="1755"/>
  </r>
  <r>
    <n v="1016"/>
    <x v="10"/>
    <d v="2022-12-12T00:00:00"/>
    <d v="1899-12-30T07:39:00"/>
    <n v="52"/>
    <s v="Male"/>
    <n v="19"/>
    <x v="1"/>
    <n v="3"/>
    <n v="500"/>
    <n v="200"/>
    <n v="1500"/>
    <x v="0"/>
    <s v="Valid"/>
    <n v="1300"/>
  </r>
  <r>
    <n v="1416"/>
    <x v="10"/>
    <d v="2022-12-29T00:00:00"/>
    <d v="1899-12-30T10:47:00"/>
    <n v="111"/>
    <s v="Male"/>
    <n v="53"/>
    <x v="2"/>
    <n v="4"/>
    <n v="500"/>
    <n v="125"/>
    <n v="2000"/>
    <x v="0"/>
    <s v="Valid"/>
    <n v="1875"/>
  </r>
  <r>
    <n v="256"/>
    <x v="11"/>
    <d v="2022-01-09T00:00:00"/>
    <d v="1899-12-30T08:05:00"/>
    <n v="3"/>
    <s v="Male"/>
    <n v="23"/>
    <x v="1"/>
    <n v="2"/>
    <n v="500"/>
    <n v="270"/>
    <n v="1000"/>
    <x v="0"/>
    <s v="Valid"/>
    <n v="730"/>
  </r>
  <r>
    <n v="1256"/>
    <x v="6"/>
    <d v="2022-11-05T00:00:00"/>
    <d v="1899-12-30T09:58:00"/>
    <n v="29"/>
    <s v="Male"/>
    <n v="23"/>
    <x v="1"/>
    <n v="2"/>
    <n v="500"/>
    <n v="190"/>
    <n v="1000"/>
    <x v="0"/>
    <s v="Valid"/>
    <n v="810"/>
  </r>
  <r>
    <n v="257"/>
    <x v="10"/>
    <d v="2022-12-10T00:00:00"/>
    <d v="1899-12-30T08:49:00"/>
    <n v="130"/>
    <s v="Male"/>
    <n v="19"/>
    <x v="0"/>
    <n v="4"/>
    <n v="500"/>
    <n v="165"/>
    <n v="2000"/>
    <x v="0"/>
    <s v="Valid"/>
    <n v="1835"/>
  </r>
  <r>
    <n v="1257"/>
    <x v="0"/>
    <d v="2022-05-10T00:00:00"/>
    <d v="1899-12-30T11:55:00"/>
    <n v="29"/>
    <s v="Male"/>
    <n v="19"/>
    <x v="0"/>
    <n v="4"/>
    <n v="500"/>
    <n v="255"/>
    <n v="2000"/>
    <x v="0"/>
    <s v="Valid"/>
    <n v="1745"/>
  </r>
  <r>
    <n v="966"/>
    <x v="6"/>
    <d v="2022-11-07T00:00:00"/>
    <d v="1899-12-30T07:22:00"/>
    <n v="119"/>
    <s v="Male"/>
    <n v="60"/>
    <x v="2"/>
    <n v="2"/>
    <n v="500"/>
    <n v="190"/>
    <n v="1000"/>
    <x v="0"/>
    <s v="Valid"/>
    <n v="810"/>
  </r>
  <r>
    <n v="1966"/>
    <x v="9"/>
    <d v="2022-07-20T00:00:00"/>
    <d v="1899-12-30T09:52:00"/>
    <n v="74"/>
    <s v="Male"/>
    <n v="60"/>
    <x v="2"/>
    <n v="2"/>
    <n v="500"/>
    <n v="200"/>
    <n v="1000"/>
    <x v="0"/>
    <s v="Valid"/>
    <n v="800"/>
  </r>
  <r>
    <n v="611"/>
    <x v="9"/>
    <d v="2022-07-21T00:00:00"/>
    <d v="1899-12-30T08:13:00"/>
    <n v="11"/>
    <s v="Male"/>
    <n v="51"/>
    <x v="0"/>
    <n v="3"/>
    <n v="500"/>
    <n v="180"/>
    <n v="1500"/>
    <x v="0"/>
    <s v="Valid"/>
    <n v="1320"/>
  </r>
  <r>
    <n v="1611"/>
    <x v="6"/>
    <d v="2022-11-17T00:00:00"/>
    <d v="1899-12-30T07:30:00"/>
    <n v="125"/>
    <s v="Male"/>
    <n v="51"/>
    <x v="0"/>
    <n v="3"/>
    <n v="500"/>
    <n v="180"/>
    <n v="1500"/>
    <x v="0"/>
    <s v="Valid"/>
    <n v="1320"/>
  </r>
  <r>
    <n v="506"/>
    <x v="4"/>
    <d v="2022-04-29T00:00:00"/>
    <d v="1899-12-30T07:13:00"/>
    <n v="9"/>
    <s v="Male"/>
    <n v="34"/>
    <x v="0"/>
    <n v="3"/>
    <n v="500"/>
    <n v="200"/>
    <n v="1500"/>
    <x v="0"/>
    <s v="Valid"/>
    <n v="1300"/>
  </r>
  <r>
    <n v="1506"/>
    <x v="11"/>
    <d v="2022-01-09T00:00:00"/>
    <d v="1899-12-30T07:31:00"/>
    <n v="52"/>
    <s v="Male"/>
    <n v="34"/>
    <x v="0"/>
    <n v="3"/>
    <n v="500"/>
    <n v="245"/>
    <n v="1500"/>
    <x v="0"/>
    <s v="Valid"/>
    <n v="1255"/>
  </r>
  <r>
    <n v="2"/>
    <x v="7"/>
    <d v="2022-06-24T00:00:00"/>
    <d v="1899-12-30T10:07:00"/>
    <n v="104"/>
    <s v="Female"/>
    <n v="26"/>
    <x v="1"/>
    <n v="2"/>
    <n v="500"/>
    <n v="135"/>
    <n v="1000"/>
    <x v="0"/>
    <s v="Valid"/>
    <n v="865"/>
  </r>
  <r>
    <n v="1002"/>
    <x v="2"/>
    <d v="2022-03-02T00:00:00"/>
    <d v="1899-12-30T09:24:00"/>
    <n v="69"/>
    <s v="Female"/>
    <n v="26"/>
    <x v="1"/>
    <n v="2"/>
    <n v="500"/>
    <n v="270"/>
    <n v="1000"/>
    <x v="0"/>
    <s v="Valid"/>
    <n v="730"/>
  </r>
  <r>
    <n v="152"/>
    <x v="7"/>
    <d v="2022-06-16T00:00:00"/>
    <d v="1899-12-30T11:58:00"/>
    <n v="120"/>
    <s v="Male"/>
    <n v="43"/>
    <x v="2"/>
    <n v="4"/>
    <n v="500"/>
    <n v="210"/>
    <n v="2000"/>
    <x v="0"/>
    <s v="Valid"/>
    <n v="1790"/>
  </r>
  <r>
    <n v="1152"/>
    <x v="10"/>
    <d v="2022-12-26T00:00:00"/>
    <d v="1899-12-30T07:48:00"/>
    <n v="87"/>
    <s v="Male"/>
    <n v="43"/>
    <x v="2"/>
    <n v="4"/>
    <n v="500"/>
    <n v="170"/>
    <n v="2000"/>
    <x v="0"/>
    <s v="Valid"/>
    <n v="1830"/>
  </r>
  <r>
    <n v="220"/>
    <x v="0"/>
    <d v="2022-05-07T00:00:00"/>
    <d v="1899-12-30T06:44:00"/>
    <n v="138"/>
    <s v="Male"/>
    <n v="64"/>
    <x v="0"/>
    <n v="1"/>
    <n v="500"/>
    <n v="140"/>
    <n v="500"/>
    <x v="0"/>
    <s v="Valid"/>
    <n v="360"/>
  </r>
  <r>
    <n v="1220"/>
    <x v="7"/>
    <d v="2022-06-29T00:00:00"/>
    <d v="1899-12-30T11:16:00"/>
    <n v="47"/>
    <s v="Male"/>
    <n v="64"/>
    <x v="0"/>
    <n v="1"/>
    <n v="500"/>
    <n v="240"/>
    <n v="500"/>
    <x v="0"/>
    <s v="Valid"/>
    <n v="260"/>
  </r>
  <r>
    <n v="621"/>
    <x v="4"/>
    <d v="2022-04-13T00:00:00"/>
    <d v="1899-12-30T09:55:00"/>
    <n v="138"/>
    <s v="Female"/>
    <n v="40"/>
    <x v="0"/>
    <n v="2"/>
    <n v="500"/>
    <n v="275"/>
    <n v="1000"/>
    <x v="0"/>
    <s v="Valid"/>
    <n v="725"/>
  </r>
  <r>
    <n v="1621"/>
    <x v="3"/>
    <d v="2022-09-22T00:00:00"/>
    <d v="1899-12-30T10:49:00"/>
    <n v="2"/>
    <s v="Female"/>
    <n v="40"/>
    <x v="0"/>
    <n v="2"/>
    <n v="500"/>
    <n v="160"/>
    <n v="1000"/>
    <x v="0"/>
    <s v="Valid"/>
    <n v="840"/>
  </r>
  <r>
    <n v="547"/>
    <x v="6"/>
    <d v="2022-11-14T00:00:00"/>
    <d v="1899-12-30T07:36:00"/>
    <n v="3"/>
    <s v="Male"/>
    <n v="63"/>
    <x v="1"/>
    <n v="4"/>
    <n v="500"/>
    <n v="250"/>
    <n v="2000"/>
    <x v="0"/>
    <s v="Valid"/>
    <n v="1750"/>
  </r>
  <r>
    <n v="1547"/>
    <x v="1"/>
    <d v="2022-08-11T00:00:00"/>
    <d v="1899-12-30T06:39:00"/>
    <n v="142"/>
    <s v="Male"/>
    <n v="63"/>
    <x v="1"/>
    <n v="4"/>
    <n v="500"/>
    <n v="235"/>
    <n v="2000"/>
    <x v="0"/>
    <s v="Valid"/>
    <n v="1765"/>
  </r>
  <r>
    <n v="717"/>
    <x v="20"/>
    <d v="2023-11-30T00:00:00"/>
    <d v="1899-12-30T08:15:00"/>
    <n v="8"/>
    <s v="Male"/>
    <n v="57"/>
    <x v="1"/>
    <n v="1"/>
    <n v="500"/>
    <n v="190"/>
    <n v="500"/>
    <x v="0"/>
    <s v="Valid"/>
    <n v="310"/>
  </r>
  <r>
    <n v="1717"/>
    <x v="13"/>
    <d v="2023-01-12T00:00:00"/>
    <d v="1899-12-30T09:40:00"/>
    <n v="21"/>
    <s v="Male"/>
    <n v="57"/>
    <x v="1"/>
    <n v="1"/>
    <n v="500"/>
    <n v="175"/>
    <n v="500"/>
    <x v="0"/>
    <s v="Valid"/>
    <n v="325"/>
  </r>
  <r>
    <n v="130"/>
    <x v="17"/>
    <d v="2023-06-19T00:00:00"/>
    <d v="1899-12-30T06:21:00"/>
    <n v="114"/>
    <s v="Female"/>
    <n v="57"/>
    <x v="1"/>
    <n v="1"/>
    <n v="500"/>
    <n v="125"/>
    <n v="500"/>
    <x v="0"/>
    <s v="Valid"/>
    <n v="375"/>
  </r>
  <r>
    <n v="1130"/>
    <x v="19"/>
    <d v="2023-02-20T00:00:00"/>
    <d v="1899-12-30T09:03:00"/>
    <n v="28"/>
    <s v="Female"/>
    <n v="57"/>
    <x v="1"/>
    <n v="1"/>
    <n v="500"/>
    <n v="180"/>
    <n v="500"/>
    <x v="0"/>
    <s v="Valid"/>
    <n v="320"/>
  </r>
  <r>
    <n v="117"/>
    <x v="21"/>
    <d v="2023-08-04T00:00:00"/>
    <d v="1899-12-30T11:38:00"/>
    <n v="8"/>
    <s v="Male"/>
    <n v="19"/>
    <x v="2"/>
    <n v="2"/>
    <n v="500"/>
    <n v="230"/>
    <n v="1000"/>
    <x v="0"/>
    <s v="Valid"/>
    <n v="770"/>
  </r>
  <r>
    <n v="1117"/>
    <x v="22"/>
    <d v="2023-09-11T00:00:00"/>
    <d v="1899-12-30T07:48:00"/>
    <n v="144"/>
    <s v="Male"/>
    <n v="19"/>
    <x v="2"/>
    <n v="2"/>
    <n v="500"/>
    <n v="210"/>
    <n v="1000"/>
    <x v="0"/>
    <s v="Valid"/>
    <n v="790"/>
  </r>
  <r>
    <n v="942"/>
    <x v="16"/>
    <d v="2023-12-01T00:00:00"/>
    <d v="1899-12-30T09:22:00"/>
    <n v="35"/>
    <s v="Male"/>
    <n v="51"/>
    <x v="1"/>
    <n v="3"/>
    <n v="500"/>
    <n v="160"/>
    <n v="1500"/>
    <x v="0"/>
    <s v="Valid"/>
    <n v="1340"/>
  </r>
  <r>
    <n v="1942"/>
    <x v="22"/>
    <d v="2023-09-16T00:00:00"/>
    <d v="1899-12-30T11:53:00"/>
    <n v="112"/>
    <s v="Male"/>
    <n v="51"/>
    <x v="1"/>
    <n v="3"/>
    <n v="500"/>
    <n v="265"/>
    <n v="1500"/>
    <x v="0"/>
    <s v="Valid"/>
    <n v="1235"/>
  </r>
  <r>
    <n v="313"/>
    <x v="16"/>
    <d v="2023-12-16T00:00:00"/>
    <d v="1899-12-30T10:03:00"/>
    <n v="11"/>
    <s v="Female"/>
    <n v="55"/>
    <x v="0"/>
    <n v="3"/>
    <n v="500"/>
    <n v="140"/>
    <n v="1500"/>
    <x v="0"/>
    <s v="Valid"/>
    <n v="1360"/>
  </r>
  <r>
    <n v="1313"/>
    <x v="17"/>
    <d v="2023-06-04T00:00:00"/>
    <d v="1899-12-30T09:22:00"/>
    <n v="10"/>
    <s v="Female"/>
    <n v="55"/>
    <x v="0"/>
    <n v="3"/>
    <n v="500"/>
    <n v="170"/>
    <n v="1500"/>
    <x v="0"/>
    <s v="Valid"/>
    <n v="1330"/>
  </r>
  <r>
    <n v="161"/>
    <x v="15"/>
    <d v="2023-07-01T00:00:00"/>
    <d v="1899-12-30T06:58:00"/>
    <n v="104"/>
    <s v="Male"/>
    <n v="64"/>
    <x v="0"/>
    <n v="2"/>
    <n v="500"/>
    <n v="195"/>
    <n v="1000"/>
    <x v="0"/>
    <s v="Valid"/>
    <n v="805"/>
  </r>
  <r>
    <n v="1161"/>
    <x v="17"/>
    <d v="2023-06-29T00:00:00"/>
    <d v="1899-12-30T11:06:00"/>
    <n v="30"/>
    <s v="Male"/>
    <n v="64"/>
    <x v="0"/>
    <n v="2"/>
    <n v="500"/>
    <n v="160"/>
    <n v="1000"/>
    <x v="0"/>
    <s v="Valid"/>
    <n v="840"/>
  </r>
  <r>
    <n v="636"/>
    <x v="18"/>
    <d v="2023-05-09T00:00:00"/>
    <d v="1899-12-30T06:15:00"/>
    <n v="60"/>
    <s v="Female"/>
    <n v="21"/>
    <x v="0"/>
    <n v="3"/>
    <n v="500"/>
    <n v="230"/>
    <n v="1500"/>
    <x v="0"/>
    <s v="Valid"/>
    <n v="1270"/>
  </r>
  <r>
    <n v="1636"/>
    <x v="15"/>
    <d v="2023-07-22T00:00:00"/>
    <d v="1899-12-30T11:26:00"/>
    <n v="50"/>
    <s v="Female"/>
    <n v="21"/>
    <x v="0"/>
    <n v="3"/>
    <n v="500"/>
    <n v="150"/>
    <n v="1500"/>
    <x v="0"/>
    <s v="Valid"/>
    <n v="1350"/>
  </r>
  <r>
    <n v="91"/>
    <x v="14"/>
    <d v="2023-04-14T00:00:00"/>
    <d v="1899-12-30T06:31:00"/>
    <n v="152"/>
    <s v="Female"/>
    <n v="55"/>
    <x v="2"/>
    <n v="1"/>
    <n v="500"/>
    <n v="235"/>
    <n v="500"/>
    <x v="0"/>
    <s v="Valid"/>
    <n v="265"/>
  </r>
  <r>
    <n v="461"/>
    <x v="15"/>
    <d v="2023-07-18T00:00:00"/>
    <d v="1899-12-30T10:33:00"/>
    <n v="21"/>
    <s v="Female"/>
    <n v="18"/>
    <x v="0"/>
    <n v="2"/>
    <n v="500"/>
    <n v="265"/>
    <n v="1000"/>
    <x v="0"/>
    <s v="Valid"/>
    <n v="735"/>
  </r>
  <r>
    <n v="1091"/>
    <x v="15"/>
    <d v="2023-07-15T00:00:00"/>
    <d v="1899-12-30T08:46:00"/>
    <n v="139"/>
    <s v="Female"/>
    <n v="55"/>
    <x v="2"/>
    <n v="1"/>
    <n v="500"/>
    <n v="235"/>
    <n v="500"/>
    <x v="0"/>
    <s v="Valid"/>
    <n v="265"/>
  </r>
  <r>
    <n v="1461"/>
    <x v="18"/>
    <d v="2023-05-01T00:00:00"/>
    <d v="1899-12-30T08:43:00"/>
    <n v="63"/>
    <s v="Female"/>
    <n v="18"/>
    <x v="0"/>
    <n v="2"/>
    <n v="500"/>
    <n v="180"/>
    <n v="1000"/>
    <x v="0"/>
    <s v="Valid"/>
    <n v="820"/>
  </r>
  <r>
    <n v="760"/>
    <x v="17"/>
    <d v="2023-06-26T00:00:00"/>
    <d v="1899-12-30T07:59:00"/>
    <n v="14"/>
    <s v="Male"/>
    <n v="27"/>
    <x v="0"/>
    <n v="1"/>
    <n v="500"/>
    <n v="125"/>
    <n v="500"/>
    <x v="0"/>
    <s v="Valid"/>
    <n v="375"/>
  </r>
  <r>
    <n v="1760"/>
    <x v="21"/>
    <d v="2023-08-23T00:00:00"/>
    <d v="1899-12-30T07:26:00"/>
    <n v="44"/>
    <s v="Male"/>
    <n v="27"/>
    <x v="0"/>
    <n v="1"/>
    <n v="500"/>
    <n v="230"/>
    <n v="500"/>
    <x v="0"/>
    <s v="Valid"/>
    <n v="270"/>
  </r>
  <r>
    <n v="88"/>
    <x v="19"/>
    <d v="2023-02-16T00:00:00"/>
    <d v="1899-12-30T08:31:00"/>
    <n v="122"/>
    <s v="Male"/>
    <n v="56"/>
    <x v="1"/>
    <n v="1"/>
    <n v="500"/>
    <n v="185"/>
    <n v="500"/>
    <x v="0"/>
    <s v="Valid"/>
    <n v="315"/>
  </r>
  <r>
    <n v="1088"/>
    <x v="22"/>
    <d v="2023-09-14T00:00:00"/>
    <d v="1899-12-30T07:00:00"/>
    <n v="6"/>
    <s v="Male"/>
    <n v="56"/>
    <x v="1"/>
    <n v="1"/>
    <n v="500"/>
    <n v="155"/>
    <n v="500"/>
    <x v="0"/>
    <s v="Valid"/>
    <n v="345"/>
  </r>
  <r>
    <n v="808"/>
    <x v="20"/>
    <d v="2023-11-22T00:00:00"/>
    <d v="1899-12-30T07:18:00"/>
    <n v="30"/>
    <s v="Male"/>
    <n v="33"/>
    <x v="0"/>
    <n v="4"/>
    <n v="500"/>
    <n v="195"/>
    <n v="2000"/>
    <x v="0"/>
    <s v="Valid"/>
    <n v="1805"/>
  </r>
  <r>
    <n v="1808"/>
    <x v="19"/>
    <d v="2023-02-12T00:00:00"/>
    <d v="1899-12-30T10:48:00"/>
    <n v="109"/>
    <s v="Male"/>
    <n v="33"/>
    <x v="0"/>
    <n v="4"/>
    <n v="500"/>
    <n v="210"/>
    <n v="2000"/>
    <x v="0"/>
    <s v="Valid"/>
    <n v="1790"/>
  </r>
  <r>
    <n v="166"/>
    <x v="13"/>
    <d v="2023-01-28T00:00:00"/>
    <d v="1899-12-30T11:42:00"/>
    <n v="32"/>
    <s v="Male"/>
    <n v="34"/>
    <x v="1"/>
    <n v="4"/>
    <n v="500"/>
    <n v="225"/>
    <n v="2000"/>
    <x v="0"/>
    <s v="Valid"/>
    <n v="1775"/>
  </r>
  <r>
    <n v="1166"/>
    <x v="15"/>
    <d v="2023-07-19T00:00:00"/>
    <d v="1899-12-30T07:45:00"/>
    <n v="65"/>
    <s v="Male"/>
    <n v="34"/>
    <x v="1"/>
    <n v="4"/>
    <n v="500"/>
    <n v="245"/>
    <n v="2000"/>
    <x v="0"/>
    <s v="Valid"/>
    <n v="1755"/>
  </r>
  <r>
    <n v="280"/>
    <x v="20"/>
    <d v="2023-11-17T00:00:00"/>
    <d v="1899-12-30T09:35:00"/>
    <n v="76"/>
    <s v="Female"/>
    <n v="37"/>
    <x v="1"/>
    <n v="3"/>
    <n v="500"/>
    <n v="240"/>
    <n v="1500"/>
    <x v="0"/>
    <s v="Valid"/>
    <n v="1260"/>
  </r>
  <r>
    <n v="1280"/>
    <x v="21"/>
    <d v="2023-08-24T00:00:00"/>
    <d v="1899-12-30T09:15:00"/>
    <n v="116"/>
    <s v="Female"/>
    <n v="37"/>
    <x v="1"/>
    <n v="3"/>
    <n v="500"/>
    <n v="255"/>
    <n v="1500"/>
    <x v="0"/>
    <s v="Valid"/>
    <n v="1245"/>
  </r>
  <r>
    <n v="275"/>
    <x v="23"/>
    <d v="2023-03-05T00:00:00"/>
    <d v="1899-12-30T11:34:00"/>
    <n v="2"/>
    <s v="Male"/>
    <n v="43"/>
    <x v="1"/>
    <n v="2"/>
    <n v="500"/>
    <n v="260"/>
    <n v="1000"/>
    <x v="0"/>
    <s v="Valid"/>
    <n v="740"/>
  </r>
  <r>
    <n v="1275"/>
    <x v="23"/>
    <d v="2023-03-02T00:00:00"/>
    <d v="1899-12-30T08:48:00"/>
    <n v="5"/>
    <s v="Male"/>
    <n v="43"/>
    <x v="1"/>
    <n v="2"/>
    <n v="500"/>
    <n v="250"/>
    <n v="1000"/>
    <x v="0"/>
    <s v="Valid"/>
    <n v="750"/>
  </r>
  <r>
    <n v="274"/>
    <x v="14"/>
    <d v="2023-04-14T00:00:00"/>
    <d v="1899-12-30T07:12:00"/>
    <n v="4"/>
    <s v="Female"/>
    <n v="23"/>
    <x v="1"/>
    <n v="2"/>
    <n v="500"/>
    <n v="150"/>
    <n v="1000"/>
    <x v="0"/>
    <s v="Valid"/>
    <n v="850"/>
  </r>
  <r>
    <n v="1274"/>
    <x v="12"/>
    <d v="2023-10-06T00:00:00"/>
    <d v="1899-12-30T09:01:00"/>
    <n v="2"/>
    <s v="Female"/>
    <n v="23"/>
    <x v="1"/>
    <n v="2"/>
    <n v="500"/>
    <n v="185"/>
    <n v="1000"/>
    <x v="0"/>
    <s v="Valid"/>
    <n v="815"/>
  </r>
  <r>
    <n v="589"/>
    <x v="15"/>
    <d v="2023-07-08T00:00:00"/>
    <d v="1899-12-30T07:11:00"/>
    <n v="5"/>
    <s v="Female"/>
    <n v="36"/>
    <x v="0"/>
    <n v="2"/>
    <n v="500"/>
    <n v="145"/>
    <n v="1000"/>
    <x v="0"/>
    <s v="Valid"/>
    <n v="855"/>
  </r>
  <r>
    <n v="1589"/>
    <x v="15"/>
    <d v="2023-07-01T00:00:00"/>
    <d v="1899-12-30T06:30:00"/>
    <n v="5"/>
    <s v="Female"/>
    <n v="36"/>
    <x v="0"/>
    <n v="2"/>
    <n v="500"/>
    <n v="145"/>
    <n v="1000"/>
    <x v="0"/>
    <s v="Valid"/>
    <n v="855"/>
  </r>
  <r>
    <n v="408"/>
    <x v="16"/>
    <d v="2023-12-22T00:00:00"/>
    <d v="1899-12-30T08:18:00"/>
    <n v="4"/>
    <s v="Female"/>
    <n v="64"/>
    <x v="0"/>
    <n v="1"/>
    <n v="500"/>
    <n v="140"/>
    <n v="500"/>
    <x v="0"/>
    <s v="Valid"/>
    <n v="360"/>
  </r>
  <r>
    <n v="1408"/>
    <x v="21"/>
    <d v="2023-08-28T00:00:00"/>
    <d v="1899-12-30T08:17:00"/>
    <n v="2"/>
    <s v="Female"/>
    <n v="64"/>
    <x v="0"/>
    <n v="1"/>
    <n v="500"/>
    <n v="250"/>
    <n v="500"/>
    <x v="0"/>
    <s v="Valid"/>
    <n v="250"/>
  </r>
  <r>
    <n v="111"/>
    <x v="14"/>
    <d v="2023-04-15T00:00:00"/>
    <d v="1899-12-30T09:45:00"/>
    <n v="5"/>
    <s v="Female"/>
    <n v="34"/>
    <x v="2"/>
    <n v="3"/>
    <n v="500"/>
    <n v="130"/>
    <n v="1500"/>
    <x v="0"/>
    <s v="Valid"/>
    <n v="1370"/>
  </r>
  <r>
    <n v="1111"/>
    <x v="14"/>
    <d v="2023-04-30T00:00:00"/>
    <d v="1899-12-30T21:34:00"/>
    <n v="2"/>
    <s v="Female"/>
    <n v="34"/>
    <x v="2"/>
    <n v="3"/>
    <n v="500"/>
    <n v="185"/>
    <n v="1500"/>
    <x v="0"/>
    <s v="Valid"/>
    <n v="1315"/>
  </r>
  <r>
    <n v="572"/>
    <x v="16"/>
    <d v="2023-12-13T00:00:00"/>
    <d v="1899-12-30T18:33:00"/>
    <n v="5"/>
    <s v="Male"/>
    <n v="31"/>
    <x v="1"/>
    <n v="4"/>
    <n v="500"/>
    <n v="185"/>
    <n v="2000"/>
    <x v="0"/>
    <s v="Valid"/>
    <n v="1815"/>
  </r>
  <r>
    <n v="1572"/>
    <x v="17"/>
    <d v="2023-06-18T00:00:00"/>
    <d v="1899-12-30T22:20:00"/>
    <n v="1"/>
    <s v="Male"/>
    <n v="31"/>
    <x v="1"/>
    <n v="4"/>
    <n v="500"/>
    <n v="175"/>
    <n v="2000"/>
    <x v="0"/>
    <s v="Valid"/>
    <n v="1825"/>
  </r>
  <r>
    <n v="28"/>
    <x v="16"/>
    <d v="2023-12-11T00:00:00"/>
    <d v="1899-12-30T22:34:00"/>
    <n v="3"/>
    <s v="Female"/>
    <n v="43"/>
    <x v="0"/>
    <n v="1"/>
    <n v="500"/>
    <n v="150"/>
    <n v="500"/>
    <x v="0"/>
    <s v="Valid"/>
    <n v="350"/>
  </r>
  <r>
    <n v="693"/>
    <x v="17"/>
    <d v="2023-06-08T00:00:00"/>
    <d v="1899-12-30T17:12:00"/>
    <n v="1"/>
    <s v="Male"/>
    <n v="41"/>
    <x v="0"/>
    <n v="3"/>
    <n v="500"/>
    <n v="270"/>
    <n v="1500"/>
    <x v="0"/>
    <s v="Valid"/>
    <n v="1230"/>
  </r>
  <r>
    <n v="1028"/>
    <x v="23"/>
    <d v="2023-03-09T00:00:00"/>
    <d v="1899-12-30T18:09:00"/>
    <n v="1"/>
    <s v="Female"/>
    <n v="43"/>
    <x v="0"/>
    <n v="1"/>
    <n v="500"/>
    <n v="250"/>
    <n v="500"/>
    <x v="0"/>
    <s v="Valid"/>
    <n v="250"/>
  </r>
  <r>
    <n v="1693"/>
    <x v="19"/>
    <d v="2023-02-20T00:00:00"/>
    <d v="1899-12-30T18:21:00"/>
    <n v="1"/>
    <s v="Male"/>
    <n v="41"/>
    <x v="0"/>
    <n v="3"/>
    <n v="500"/>
    <n v="130"/>
    <n v="1500"/>
    <x v="0"/>
    <s v="Valid"/>
    <n v="1370"/>
  </r>
  <r>
    <n v="660"/>
    <x v="15"/>
    <d v="2023-07-29T00:00:00"/>
    <d v="1899-12-30T18:46:00"/>
    <n v="2"/>
    <s v="Female"/>
    <n v="38"/>
    <x v="0"/>
    <n v="2"/>
    <n v="500"/>
    <n v="270"/>
    <n v="1000"/>
    <x v="0"/>
    <s v="Valid"/>
    <n v="730"/>
  </r>
  <r>
    <n v="1660"/>
    <x v="22"/>
    <d v="2023-09-23T00:00:00"/>
    <d v="1899-12-30T20:27:00"/>
    <n v="2"/>
    <s v="Female"/>
    <n v="38"/>
    <x v="0"/>
    <n v="2"/>
    <n v="500"/>
    <n v="160"/>
    <n v="1000"/>
    <x v="0"/>
    <s v="Valid"/>
    <n v="840"/>
  </r>
  <r>
    <n v="337"/>
    <x v="21"/>
    <d v="2023-08-22T00:00:00"/>
    <d v="1899-12-30T17:56:00"/>
    <n v="1"/>
    <s v="Male"/>
    <n v="38"/>
    <x v="1"/>
    <n v="1"/>
    <n v="500"/>
    <n v="275"/>
    <n v="500"/>
    <x v="0"/>
    <s v="Valid"/>
    <n v="225"/>
  </r>
  <r>
    <n v="1337"/>
    <x v="15"/>
    <d v="2023-07-21T00:00:00"/>
    <d v="1899-12-30T19:56:00"/>
    <n v="2"/>
    <s v="Male"/>
    <n v="38"/>
    <x v="1"/>
    <n v="1"/>
    <n v="500"/>
    <n v="225"/>
    <n v="500"/>
    <x v="0"/>
    <s v="Valid"/>
    <n v="275"/>
  </r>
  <r>
    <n v="853"/>
    <x v="18"/>
    <d v="2023-05-14T00:00:00"/>
    <d v="1899-12-30T22:29:00"/>
    <n v="3"/>
    <s v="Male"/>
    <n v="21"/>
    <x v="0"/>
    <n v="2"/>
    <n v="500"/>
    <n v="155"/>
    <n v="1000"/>
    <x v="0"/>
    <s v="Valid"/>
    <n v="845"/>
  </r>
  <r>
    <n v="1853"/>
    <x v="18"/>
    <d v="2023-05-29T00:00:00"/>
    <d v="1899-12-30T18:39:00"/>
    <n v="2"/>
    <s v="Male"/>
    <n v="21"/>
    <x v="0"/>
    <n v="2"/>
    <n v="500"/>
    <n v="190"/>
    <n v="1000"/>
    <x v="0"/>
    <s v="Valid"/>
    <n v="810"/>
  </r>
  <r>
    <n v="779"/>
    <x v="18"/>
    <d v="2023-05-15T00:00:00"/>
    <d v="1899-12-30T19:19:00"/>
    <n v="3"/>
    <s v="Female"/>
    <n v="56"/>
    <x v="2"/>
    <n v="2"/>
    <n v="500"/>
    <n v="155"/>
    <n v="1000"/>
    <x v="0"/>
    <s v="Valid"/>
    <n v="845"/>
  </r>
  <r>
    <n v="1779"/>
    <x v="13"/>
    <d v="2023-01-02T00:00:00"/>
    <d v="1899-12-30T19:45:00"/>
    <n v="3"/>
    <s v="Female"/>
    <n v="56"/>
    <x v="2"/>
    <n v="2"/>
    <n v="500"/>
    <n v="190"/>
    <n v="1000"/>
    <x v="0"/>
    <s v="Valid"/>
    <n v="810"/>
  </r>
  <r>
    <n v="283"/>
    <x v="17"/>
    <d v="2023-06-01T00:00:00"/>
    <d v="1899-12-30T20:08:00"/>
    <n v="3"/>
    <s v="Female"/>
    <n v="18"/>
    <x v="2"/>
    <n v="1"/>
    <n v="500"/>
    <n v="165"/>
    <n v="500"/>
    <x v="0"/>
    <s v="Valid"/>
    <n v="335"/>
  </r>
  <r>
    <n v="452"/>
    <x v="13"/>
    <d v="2023-01-30T00:00:00"/>
    <d v="1899-12-30T22:41:00"/>
    <n v="4"/>
    <s v="Female"/>
    <n v="48"/>
    <x v="1"/>
    <n v="3"/>
    <n v="500"/>
    <n v="240"/>
    <n v="1500"/>
    <x v="0"/>
    <s v="Valid"/>
    <n v="1260"/>
  </r>
  <r>
    <n v="946"/>
    <x v="21"/>
    <d v="2023-08-08T00:00:00"/>
    <d v="1899-12-30T20:15:00"/>
    <n v="2"/>
    <s v="Male"/>
    <n v="62"/>
    <x v="2"/>
    <n v="4"/>
    <n v="500"/>
    <n v="235"/>
    <n v="2000"/>
    <x v="0"/>
    <s v="Valid"/>
    <n v="1765"/>
  </r>
  <r>
    <n v="1283"/>
    <x v="12"/>
    <d v="2023-10-14T00:00:00"/>
    <d v="1899-12-30T20:15:00"/>
    <n v="1"/>
    <s v="Female"/>
    <n v="18"/>
    <x v="2"/>
    <n v="1"/>
    <n v="500"/>
    <n v="130"/>
    <n v="500"/>
    <x v="0"/>
    <s v="Valid"/>
    <n v="370"/>
  </r>
  <r>
    <n v="1452"/>
    <x v="21"/>
    <d v="2023-08-06T00:00:00"/>
    <d v="1899-12-30T17:41:00"/>
    <n v="3"/>
    <s v="Female"/>
    <n v="48"/>
    <x v="1"/>
    <n v="3"/>
    <n v="500"/>
    <n v="185"/>
    <n v="1500"/>
    <x v="0"/>
    <s v="Valid"/>
    <n v="1315"/>
  </r>
  <r>
    <n v="1946"/>
    <x v="15"/>
    <d v="2023-07-27T00:00:00"/>
    <d v="1899-12-30T20:48:00"/>
    <n v="5"/>
    <s v="Male"/>
    <n v="62"/>
    <x v="2"/>
    <n v="4"/>
    <n v="500"/>
    <n v="165"/>
    <n v="2000"/>
    <x v="0"/>
    <s v="Valid"/>
    <n v="1835"/>
  </r>
  <r>
    <n v="883"/>
    <x v="21"/>
    <d v="2023-08-20T00:00:00"/>
    <d v="1899-12-30T20:43:00"/>
    <n v="5"/>
    <s v="Male"/>
    <n v="40"/>
    <x v="2"/>
    <n v="1"/>
    <n v="500"/>
    <n v="245"/>
    <n v="500"/>
    <x v="0"/>
    <s v="Valid"/>
    <n v="255"/>
  </r>
  <r>
    <n v="1883"/>
    <x v="22"/>
    <d v="2023-09-20T00:00:00"/>
    <d v="1899-12-30T17:54:00"/>
    <n v="3"/>
    <s v="Male"/>
    <n v="40"/>
    <x v="2"/>
    <n v="1"/>
    <n v="500"/>
    <n v="200"/>
    <n v="500"/>
    <x v="0"/>
    <s v="Valid"/>
    <n v="300"/>
  </r>
  <r>
    <n v="731"/>
    <x v="22"/>
    <d v="2023-09-30T00:00:00"/>
    <d v="1899-12-30T18:49:00"/>
    <n v="1"/>
    <s v="Male"/>
    <n v="54"/>
    <x v="1"/>
    <n v="4"/>
    <n v="500"/>
    <n v="165"/>
    <n v="2000"/>
    <x v="0"/>
    <s v="Valid"/>
    <n v="1835"/>
  </r>
  <r>
    <n v="1731"/>
    <x v="16"/>
    <d v="2023-12-19T00:00:00"/>
    <d v="1899-12-30T17:41:00"/>
    <n v="3"/>
    <s v="Male"/>
    <n v="54"/>
    <x v="1"/>
    <n v="4"/>
    <n v="500"/>
    <n v="195"/>
    <n v="2000"/>
    <x v="0"/>
    <s v="Valid"/>
    <n v="1805"/>
  </r>
  <r>
    <n v="353"/>
    <x v="23"/>
    <d v="2023-03-18T00:00:00"/>
    <d v="1899-12-30T21:35:00"/>
    <n v="5"/>
    <s v="Male"/>
    <n v="31"/>
    <x v="2"/>
    <n v="1"/>
    <n v="500"/>
    <n v="270"/>
    <n v="500"/>
    <x v="0"/>
    <s v="Valid"/>
    <n v="230"/>
  </r>
  <r>
    <n v="721"/>
    <x v="17"/>
    <d v="2023-06-23T00:00:00"/>
    <d v="1899-12-30T17:10:00"/>
    <n v="5"/>
    <s v="Female"/>
    <n v="52"/>
    <x v="1"/>
    <n v="1"/>
    <n v="500"/>
    <n v="145"/>
    <n v="500"/>
    <x v="0"/>
    <s v="Valid"/>
    <n v="355"/>
  </r>
  <r>
    <n v="1353"/>
    <x v="22"/>
    <d v="2023-09-04T00:00:00"/>
    <d v="1899-12-30T21:59:00"/>
    <n v="3"/>
    <s v="Male"/>
    <n v="31"/>
    <x v="2"/>
    <n v="1"/>
    <n v="500"/>
    <n v="235"/>
    <n v="500"/>
    <x v="0"/>
    <s v="Valid"/>
    <n v="265"/>
  </r>
  <r>
    <n v="1721"/>
    <x v="13"/>
    <d v="2023-01-21T00:00:00"/>
    <d v="1899-12-30T22:42:00"/>
    <n v="3"/>
    <s v="Female"/>
    <n v="52"/>
    <x v="1"/>
    <n v="1"/>
    <n v="500"/>
    <n v="215"/>
    <n v="500"/>
    <x v="0"/>
    <s v="Valid"/>
    <n v="285"/>
  </r>
  <r>
    <n v="164"/>
    <x v="19"/>
    <d v="2023-02-28T00:00:00"/>
    <d v="1899-12-30T18:26:00"/>
    <n v="3"/>
    <s v="Female"/>
    <n v="47"/>
    <x v="0"/>
    <n v="3"/>
    <n v="500"/>
    <n v="185"/>
    <n v="1500"/>
    <x v="0"/>
    <s v="Valid"/>
    <n v="1315"/>
  </r>
  <r>
    <n v="1164"/>
    <x v="14"/>
    <d v="2023-04-07T00:00:00"/>
    <d v="1899-12-30T20:53:00"/>
    <n v="1"/>
    <s v="Female"/>
    <n v="47"/>
    <x v="0"/>
    <n v="3"/>
    <n v="500"/>
    <n v="245"/>
    <n v="1500"/>
    <x v="0"/>
    <s v="Valid"/>
    <n v="1255"/>
  </r>
  <r>
    <n v="118"/>
    <x v="23"/>
    <d v="2023-03-13T00:00:00"/>
    <d v="1899-12-30T20:07:00"/>
    <n v="3"/>
    <s v="Female"/>
    <n v="30"/>
    <x v="2"/>
    <n v="4"/>
    <n v="500"/>
    <n v="270"/>
    <n v="2000"/>
    <x v="0"/>
    <s v="Valid"/>
    <n v="1730"/>
  </r>
  <r>
    <n v="203"/>
    <x v="23"/>
    <d v="2023-03-12T00:00:00"/>
    <d v="1899-12-30T21:33:00"/>
    <n v="4"/>
    <s v="Male"/>
    <n v="56"/>
    <x v="1"/>
    <n v="2"/>
    <n v="500"/>
    <n v="175"/>
    <n v="1000"/>
    <x v="0"/>
    <s v="Valid"/>
    <n v="825"/>
  </r>
  <r>
    <n v="970"/>
    <x v="18"/>
    <d v="2023-05-25T00:00:00"/>
    <d v="1899-12-30T18:13:00"/>
    <n v="2"/>
    <s v="Male"/>
    <n v="59"/>
    <x v="2"/>
    <n v="4"/>
    <n v="500"/>
    <n v="220"/>
    <n v="2000"/>
    <x v="0"/>
    <s v="Valid"/>
    <n v="1780"/>
  </r>
  <r>
    <n v="1118"/>
    <x v="12"/>
    <d v="2023-10-13T00:00:00"/>
    <d v="1899-12-30T17:24:00"/>
    <n v="1"/>
    <s v="Female"/>
    <n v="30"/>
    <x v="2"/>
    <n v="4"/>
    <n v="500"/>
    <n v="170"/>
    <n v="2000"/>
    <x v="0"/>
    <s v="Valid"/>
    <n v="1830"/>
  </r>
  <r>
    <n v="1203"/>
    <x v="20"/>
    <d v="2023-11-26T00:00:00"/>
    <d v="1899-12-30T18:36:00"/>
    <n v="2"/>
    <s v="Male"/>
    <n v="56"/>
    <x v="1"/>
    <n v="2"/>
    <n v="500"/>
    <n v="145"/>
    <n v="1000"/>
    <x v="0"/>
    <s v="Valid"/>
    <n v="855"/>
  </r>
  <r>
    <n v="1970"/>
    <x v="18"/>
    <d v="2023-05-22T00:00:00"/>
    <d v="1899-12-30T17:44:00"/>
    <n v="5"/>
    <s v="Male"/>
    <n v="59"/>
    <x v="2"/>
    <n v="4"/>
    <n v="500"/>
    <n v="230"/>
    <n v="2000"/>
    <x v="0"/>
    <s v="Valid"/>
    <n v="1770"/>
  </r>
  <r>
    <n v="155"/>
    <x v="15"/>
    <d v="2023-07-18T00:00:00"/>
    <d v="1899-12-30T18:05:00"/>
    <n v="3"/>
    <s v="Male"/>
    <n v="31"/>
    <x v="2"/>
    <n v="4"/>
    <n v="500"/>
    <n v="150"/>
    <n v="2000"/>
    <x v="0"/>
    <s v="Valid"/>
    <n v="1850"/>
  </r>
  <r>
    <n v="470"/>
    <x v="16"/>
    <d v="2023-12-26T00:00:00"/>
    <d v="1899-12-30T18:58:00"/>
    <n v="4"/>
    <s v="Female"/>
    <n v="57"/>
    <x v="1"/>
    <n v="2"/>
    <n v="500"/>
    <n v="165"/>
    <n v="1000"/>
    <x v="0"/>
    <s v="Valid"/>
    <n v="835"/>
  </r>
  <r>
    <n v="1155"/>
    <x v="16"/>
    <d v="2023-12-03T00:00:00"/>
    <d v="1899-12-30T18:22:00"/>
    <n v="3"/>
    <s v="Male"/>
    <n v="31"/>
    <x v="2"/>
    <n v="4"/>
    <n v="500"/>
    <n v="255"/>
    <n v="2000"/>
    <x v="0"/>
    <s v="Valid"/>
    <n v="1745"/>
  </r>
  <r>
    <n v="1470"/>
    <x v="17"/>
    <d v="2023-06-26T00:00:00"/>
    <d v="1899-12-30T19:47:00"/>
    <n v="1"/>
    <s v="Female"/>
    <n v="57"/>
    <x v="1"/>
    <n v="2"/>
    <n v="500"/>
    <n v="165"/>
    <n v="1000"/>
    <x v="0"/>
    <s v="Valid"/>
    <n v="835"/>
  </r>
  <r>
    <n v="818"/>
    <x v="18"/>
    <d v="2023-05-29T00:00:00"/>
    <d v="1899-12-30T18:56:00"/>
    <n v="4"/>
    <s v="Male"/>
    <n v="30"/>
    <x v="2"/>
    <n v="1"/>
    <n v="500"/>
    <n v="265"/>
    <n v="500"/>
    <x v="0"/>
    <s v="Valid"/>
    <n v="235"/>
  </r>
  <r>
    <n v="1818"/>
    <x v="22"/>
    <d v="2023-09-20T00:00:00"/>
    <d v="1899-12-30T17:29:00"/>
    <n v="4"/>
    <s v="Male"/>
    <n v="30"/>
    <x v="2"/>
    <n v="1"/>
    <n v="500"/>
    <n v="150"/>
    <n v="500"/>
    <x v="0"/>
    <s v="Valid"/>
    <n v="350"/>
  </r>
  <r>
    <n v="94"/>
    <x v="23"/>
    <d v="2023-03-13T00:00:00"/>
    <d v="1899-12-30T22:39:00"/>
    <n v="5"/>
    <s v="Female"/>
    <n v="47"/>
    <x v="0"/>
    <n v="2"/>
    <n v="500"/>
    <n v="250"/>
    <n v="1000"/>
    <x v="0"/>
    <s v="Valid"/>
    <n v="750"/>
  </r>
  <r>
    <n v="1094"/>
    <x v="17"/>
    <d v="2023-06-15T00:00:00"/>
    <d v="1899-12-30T20:34:00"/>
    <n v="1"/>
    <s v="Female"/>
    <n v="47"/>
    <x v="0"/>
    <n v="2"/>
    <n v="500"/>
    <n v="210"/>
    <n v="1000"/>
    <x v="0"/>
    <s v="Valid"/>
    <n v="790"/>
  </r>
  <r>
    <n v="4"/>
    <x v="21"/>
    <d v="2023-08-27T00:00:00"/>
    <d v="1899-12-30T18:12:00"/>
    <n v="3"/>
    <s v="Male"/>
    <n v="37"/>
    <x v="1"/>
    <n v="1"/>
    <n v="500"/>
    <n v="200"/>
    <n v="500"/>
    <x v="0"/>
    <s v="Valid"/>
    <n v="300"/>
  </r>
  <r>
    <n v="647"/>
    <x v="23"/>
    <d v="2023-03-01T00:00:00"/>
    <d v="1899-12-30T19:53:00"/>
    <n v="5"/>
    <s v="Male"/>
    <n v="59"/>
    <x v="1"/>
    <n v="3"/>
    <n v="500"/>
    <n v="190"/>
    <n v="1500"/>
    <x v="0"/>
    <s v="Valid"/>
    <n v="1310"/>
  </r>
  <r>
    <n v="1004"/>
    <x v="13"/>
    <d v="2023-01-11T00:00:00"/>
    <d v="1899-12-30T21:46:00"/>
    <n v="2"/>
    <s v="Male"/>
    <n v="37"/>
    <x v="1"/>
    <n v="1"/>
    <n v="500"/>
    <n v="230"/>
    <n v="500"/>
    <x v="0"/>
    <s v="Valid"/>
    <n v="270"/>
  </r>
  <r>
    <n v="1647"/>
    <x v="18"/>
    <d v="2023-05-01T00:00:00"/>
    <d v="1899-12-30T20:26:00"/>
    <n v="5"/>
    <s v="Male"/>
    <n v="59"/>
    <x v="1"/>
    <n v="3"/>
    <n v="500"/>
    <n v="240"/>
    <n v="1500"/>
    <x v="0"/>
    <s v="Valid"/>
    <n v="1260"/>
  </r>
  <r>
    <n v="843"/>
    <x v="13"/>
    <d v="2023-01-25T00:00:00"/>
    <d v="1899-12-30T22:46:00"/>
    <n v="3"/>
    <s v="Male"/>
    <n v="21"/>
    <x v="0"/>
    <n v="3"/>
    <n v="500"/>
    <n v="180"/>
    <n v="1500"/>
    <x v="0"/>
    <s v="Valid"/>
    <n v="1320"/>
  </r>
  <r>
    <n v="1843"/>
    <x v="22"/>
    <d v="2023-09-21T00:00:00"/>
    <d v="1899-12-30T18:58:00"/>
    <n v="1"/>
    <s v="Male"/>
    <n v="21"/>
    <x v="0"/>
    <n v="3"/>
    <n v="500"/>
    <n v="240"/>
    <n v="1500"/>
    <x v="0"/>
    <s v="Valid"/>
    <n v="1260"/>
  </r>
  <r>
    <n v="72"/>
    <x v="16"/>
    <d v="2023-12-06T00:00:00"/>
    <d v="1899-12-30T19:19:00"/>
    <n v="5"/>
    <s v="Female"/>
    <n v="20"/>
    <x v="2"/>
    <n v="4"/>
    <n v="500"/>
    <n v="195"/>
    <n v="2000"/>
    <x v="0"/>
    <s v="Valid"/>
    <n v="1805"/>
  </r>
  <r>
    <n v="281"/>
    <x v="22"/>
    <d v="2023-09-18T00:00:00"/>
    <d v="1899-12-30T20:09:00"/>
    <n v="4"/>
    <s v="Female"/>
    <n v="29"/>
    <x v="0"/>
    <n v="4"/>
    <n v="500"/>
    <n v="275"/>
    <n v="2000"/>
    <x v="0"/>
    <s v="Valid"/>
    <n v="1725"/>
  </r>
  <r>
    <n v="1072"/>
    <x v="19"/>
    <d v="2023-02-24T00:00:00"/>
    <d v="1899-12-30T18:10:00"/>
    <n v="4"/>
    <s v="Female"/>
    <n v="20"/>
    <x v="2"/>
    <n v="4"/>
    <n v="500"/>
    <n v="180"/>
    <n v="2000"/>
    <x v="0"/>
    <s v="Valid"/>
    <n v="1820"/>
  </r>
  <r>
    <n v="1281"/>
    <x v="23"/>
    <d v="2023-03-14T00:00:00"/>
    <d v="1899-12-30T19:34:00"/>
    <n v="4"/>
    <s v="Female"/>
    <n v="29"/>
    <x v="0"/>
    <n v="4"/>
    <n v="500"/>
    <n v="165"/>
    <n v="2000"/>
    <x v="0"/>
    <s v="Valid"/>
    <n v="1835"/>
  </r>
  <r>
    <n v="404"/>
    <x v="19"/>
    <d v="2023-02-13T00:00:00"/>
    <d v="1899-12-30T19:55:00"/>
    <n v="59"/>
    <s v="Male"/>
    <n v="46"/>
    <x v="2"/>
    <n v="2"/>
    <n v="500"/>
    <n v="160"/>
    <n v="1000"/>
    <x v="0"/>
    <s v="Valid"/>
    <n v="840"/>
  </r>
  <r>
    <n v="990"/>
    <x v="23"/>
    <d v="2023-03-29T00:00:00"/>
    <d v="1899-12-30T21:45:00"/>
    <n v="68"/>
    <s v="Female"/>
    <n v="58"/>
    <x v="0"/>
    <n v="2"/>
    <n v="500"/>
    <n v="235"/>
    <n v="1000"/>
    <x v="0"/>
    <s v="Valid"/>
    <n v="765"/>
  </r>
  <r>
    <n v="1404"/>
    <x v="21"/>
    <d v="2023-08-20T00:00:00"/>
    <d v="1899-12-30T18:15:00"/>
    <n v="155"/>
    <s v="Male"/>
    <n v="46"/>
    <x v="2"/>
    <n v="2"/>
    <n v="500"/>
    <n v="185"/>
    <n v="1000"/>
    <x v="0"/>
    <s v="Valid"/>
    <n v="815"/>
  </r>
  <r>
    <n v="1990"/>
    <x v="20"/>
    <d v="2023-11-22T00:00:00"/>
    <d v="1899-12-30T17:02:00"/>
    <n v="48"/>
    <s v="Female"/>
    <n v="58"/>
    <x v="0"/>
    <n v="2"/>
    <n v="500"/>
    <n v="155"/>
    <n v="1000"/>
    <x v="0"/>
    <s v="Valid"/>
    <n v="845"/>
  </r>
  <r>
    <n v="382"/>
    <x v="15"/>
    <d v="2023-07-14T00:00:00"/>
    <d v="1899-12-30T21:20:00"/>
    <n v="29"/>
    <s v="Female"/>
    <n v="53"/>
    <x v="1"/>
    <n v="2"/>
    <n v="500"/>
    <n v="245"/>
    <n v="1000"/>
    <x v="0"/>
    <s v="Valid"/>
    <n v="755"/>
  </r>
  <r>
    <n v="1382"/>
    <x v="18"/>
    <d v="2023-05-20T00:00:00"/>
    <d v="1899-12-30T18:13:00"/>
    <n v="139"/>
    <s v="Female"/>
    <n v="53"/>
    <x v="1"/>
    <n v="2"/>
    <n v="500"/>
    <n v="185"/>
    <n v="1000"/>
    <x v="0"/>
    <s v="Valid"/>
    <n v="815"/>
  </r>
  <r>
    <n v="561"/>
    <x v="9"/>
    <d v="2022-07-29T00:00:00"/>
    <d v="1899-12-30T17:04:00"/>
    <n v="34"/>
    <s v="Female"/>
    <n v="64"/>
    <x v="1"/>
    <n v="4"/>
    <n v="500"/>
    <n v="250"/>
    <n v="2000"/>
    <x v="0"/>
    <s v="Valid"/>
    <n v="1750"/>
  </r>
  <r>
    <n v="1561"/>
    <x v="22"/>
    <d v="2023-09-17T00:00:00"/>
    <d v="1899-12-30T19:38:00"/>
    <n v="16"/>
    <s v="Female"/>
    <n v="64"/>
    <x v="1"/>
    <n v="4"/>
    <n v="500"/>
    <n v="170"/>
    <n v="2000"/>
    <x v="0"/>
    <s v="Valid"/>
    <n v="1830"/>
  </r>
  <r>
    <n v="394"/>
    <x v="1"/>
    <d v="2022-08-19T00:00:00"/>
    <d v="1899-12-30T19:27:00"/>
    <n v="105"/>
    <s v="Female"/>
    <n v="27"/>
    <x v="1"/>
    <n v="1"/>
    <n v="500"/>
    <n v="165"/>
    <n v="500"/>
    <x v="0"/>
    <s v="Valid"/>
    <n v="335"/>
  </r>
  <r>
    <n v="537"/>
    <x v="12"/>
    <d v="2023-10-01T00:00:00"/>
    <d v="1899-12-30T18:07:00"/>
    <n v="98"/>
    <s v="Female"/>
    <n v="21"/>
    <x v="0"/>
    <n v="1"/>
    <n v="500"/>
    <n v="275"/>
    <n v="500"/>
    <x v="0"/>
    <s v="Valid"/>
    <n v="225"/>
  </r>
  <r>
    <n v="1394"/>
    <x v="4"/>
    <d v="2022-04-17T00:00:00"/>
    <d v="1899-12-30T20:06:00"/>
    <n v="14"/>
    <s v="Female"/>
    <n v="27"/>
    <x v="1"/>
    <n v="1"/>
    <n v="500"/>
    <n v="250"/>
    <n v="500"/>
    <x v="0"/>
    <s v="Valid"/>
    <n v="250"/>
  </r>
  <r>
    <n v="1537"/>
    <x v="6"/>
    <d v="2022-11-29T00:00:00"/>
    <d v="1899-12-30T17:57:00"/>
    <n v="116"/>
    <s v="Female"/>
    <n v="21"/>
    <x v="0"/>
    <n v="1"/>
    <n v="500"/>
    <n v="140"/>
    <n v="500"/>
    <x v="0"/>
    <s v="Valid"/>
    <n v="360"/>
  </r>
  <r>
    <n v="867"/>
    <x v="9"/>
    <d v="2022-07-24T00:00:00"/>
    <d v="1899-12-30T22:40:00"/>
    <n v="152"/>
    <s v="Male"/>
    <n v="21"/>
    <x v="2"/>
    <n v="1"/>
    <n v="500"/>
    <n v="185"/>
    <n v="500"/>
    <x v="0"/>
    <s v="Valid"/>
    <n v="315"/>
  </r>
  <r>
    <n v="1867"/>
    <x v="18"/>
    <d v="2023-05-16T00:00:00"/>
    <d v="1899-12-30T19:55:00"/>
    <n v="144"/>
    <s v="Male"/>
    <n v="21"/>
    <x v="2"/>
    <n v="1"/>
    <n v="500"/>
    <n v="190"/>
    <n v="500"/>
    <x v="0"/>
    <s v="Valid"/>
    <n v="310"/>
  </r>
  <r>
    <n v="539"/>
    <x v="20"/>
    <d v="2023-11-30T00:00:00"/>
    <d v="1899-12-30T18:13:00"/>
    <n v="135"/>
    <s v="Male"/>
    <n v="25"/>
    <x v="0"/>
    <n v="1"/>
    <n v="500"/>
    <n v="205"/>
    <n v="500"/>
    <x v="0"/>
    <s v="Valid"/>
    <n v="295"/>
  </r>
  <r>
    <n v="1539"/>
    <x v="10"/>
    <d v="2022-12-06T00:00:00"/>
    <d v="1899-12-30T21:52:00"/>
    <n v="96"/>
    <s v="Male"/>
    <n v="25"/>
    <x v="0"/>
    <n v="1"/>
    <n v="500"/>
    <n v="170"/>
    <n v="500"/>
    <x v="0"/>
    <s v="Valid"/>
    <n v="330"/>
  </r>
  <r>
    <n v="212"/>
    <x v="12"/>
    <d v="2023-10-12T00:00:00"/>
    <d v="1899-12-30T18:13:00"/>
    <n v="105"/>
    <s v="Male"/>
    <n v="21"/>
    <x v="1"/>
    <n v="3"/>
    <n v="500"/>
    <n v="215"/>
    <n v="1500"/>
    <x v="0"/>
    <s v="Valid"/>
    <n v="1285"/>
  </r>
  <r>
    <n v="1212"/>
    <x v="2"/>
    <d v="2022-03-16T00:00:00"/>
    <d v="1899-12-30T18:05:00"/>
    <n v="142"/>
    <s v="Male"/>
    <n v="21"/>
    <x v="1"/>
    <n v="3"/>
    <n v="500"/>
    <n v="265"/>
    <n v="1500"/>
    <x v="0"/>
    <s v="Valid"/>
    <n v="1235"/>
  </r>
  <r>
    <n v="356"/>
    <x v="21"/>
    <d v="2023-08-27T00:00:00"/>
    <d v="1899-12-30T18:35:00"/>
    <n v="71"/>
    <s v="Male"/>
    <n v="50"/>
    <x v="2"/>
    <n v="3"/>
    <n v="500"/>
    <n v="255"/>
    <n v="1500"/>
    <x v="0"/>
    <s v="Valid"/>
    <n v="1245"/>
  </r>
  <r>
    <n v="534"/>
    <x v="14"/>
    <d v="2023-04-27T00:00:00"/>
    <d v="1899-12-30T22:30:00"/>
    <n v="112"/>
    <s v="Male"/>
    <n v="45"/>
    <x v="1"/>
    <n v="2"/>
    <n v="500"/>
    <n v="140"/>
    <n v="1000"/>
    <x v="0"/>
    <s v="Valid"/>
    <n v="860"/>
  </r>
  <r>
    <n v="1356"/>
    <x v="16"/>
    <d v="2023-12-18T00:00:00"/>
    <d v="1899-12-30T21:31:00"/>
    <n v="11"/>
    <s v="Male"/>
    <n v="50"/>
    <x v="2"/>
    <n v="3"/>
    <n v="500"/>
    <n v="245"/>
    <n v="1500"/>
    <x v="0"/>
    <s v="Valid"/>
    <n v="1255"/>
  </r>
  <r>
    <n v="1534"/>
    <x v="7"/>
    <d v="2022-06-13T00:00:00"/>
    <d v="1899-12-30T19:44:00"/>
    <n v="72"/>
    <s v="Male"/>
    <n v="45"/>
    <x v="1"/>
    <n v="2"/>
    <n v="500"/>
    <n v="270"/>
    <n v="1000"/>
    <x v="0"/>
    <s v="Valid"/>
    <n v="730"/>
  </r>
  <r>
    <n v="104"/>
    <x v="7"/>
    <d v="2022-06-09T00:00:00"/>
    <d v="1899-12-30T22:58:00"/>
    <n v="129"/>
    <s v="Female"/>
    <n v="34"/>
    <x v="0"/>
    <n v="2"/>
    <n v="500"/>
    <n v="190"/>
    <n v="1000"/>
    <x v="0"/>
    <s v="Valid"/>
    <n v="810"/>
  </r>
  <r>
    <n v="352"/>
    <x v="15"/>
    <d v="2023-07-28T00:00:00"/>
    <d v="1899-12-30T17:55:00"/>
    <n v="54"/>
    <s v="Male"/>
    <n v="57"/>
    <x v="2"/>
    <n v="2"/>
    <n v="500"/>
    <n v="175"/>
    <n v="1000"/>
    <x v="0"/>
    <s v="Valid"/>
    <n v="825"/>
  </r>
  <r>
    <n v="1104"/>
    <x v="9"/>
    <d v="2022-07-11T00:00:00"/>
    <d v="1899-12-30T20:13:00"/>
    <n v="70"/>
    <s v="Female"/>
    <n v="34"/>
    <x v="0"/>
    <n v="2"/>
    <n v="500"/>
    <n v="150"/>
    <n v="1000"/>
    <x v="0"/>
    <s v="Valid"/>
    <n v="850"/>
  </r>
  <r>
    <n v="1352"/>
    <x v="12"/>
    <d v="2023-10-19T00:00:00"/>
    <d v="1899-12-30T17:40:00"/>
    <n v="14"/>
    <s v="Male"/>
    <n v="57"/>
    <x v="2"/>
    <n v="2"/>
    <n v="500"/>
    <n v="260"/>
    <n v="1000"/>
    <x v="0"/>
    <s v="Valid"/>
    <n v="740"/>
  </r>
  <r>
    <n v="655"/>
    <x v="8"/>
    <d v="2022-10-31T00:00:00"/>
    <d v="1899-12-30T18:43:00"/>
    <n v="19"/>
    <s v="Female"/>
    <n v="55"/>
    <x v="1"/>
    <n v="1"/>
    <n v="500"/>
    <n v="210"/>
    <n v="500"/>
    <x v="0"/>
    <s v="Valid"/>
    <n v="290"/>
  </r>
  <r>
    <n v="1655"/>
    <x v="18"/>
    <d v="2023-05-28T00:00:00"/>
    <d v="1899-12-30T17:57:00"/>
    <n v="8"/>
    <s v="Female"/>
    <n v="55"/>
    <x v="1"/>
    <n v="1"/>
    <n v="500"/>
    <n v="125"/>
    <n v="500"/>
    <x v="0"/>
    <s v="Valid"/>
    <n v="375"/>
  </r>
  <r>
    <n v="239"/>
    <x v="3"/>
    <d v="2022-09-19T00:00:00"/>
    <d v="1899-12-30T19:34:00"/>
    <n v="1"/>
    <s v="Male"/>
    <n v="38"/>
    <x v="2"/>
    <n v="3"/>
    <n v="500"/>
    <n v="165"/>
    <n v="1500"/>
    <x v="0"/>
    <s v="Valid"/>
    <n v="1335"/>
  </r>
  <r>
    <n v="1239"/>
    <x v="9"/>
    <d v="2022-07-08T00:00:00"/>
    <d v="1899-12-30T20:42:00"/>
    <n v="134"/>
    <s v="Male"/>
    <n v="38"/>
    <x v="2"/>
    <n v="3"/>
    <n v="500"/>
    <n v="255"/>
    <n v="1500"/>
    <x v="0"/>
    <s v="Valid"/>
    <n v="1245"/>
  </r>
  <r>
    <n v="157"/>
    <x v="0"/>
    <d v="2022-05-15T00:00:00"/>
    <d v="1899-12-30T21:59:00"/>
    <n v="98"/>
    <s v="Male"/>
    <n v="62"/>
    <x v="2"/>
    <n v="4"/>
    <n v="500"/>
    <n v="170"/>
    <n v="2000"/>
    <x v="0"/>
    <s v="Valid"/>
    <n v="1830"/>
  </r>
  <r>
    <n v="927"/>
    <x v="5"/>
    <d v="2022-02-21T00:00:00"/>
    <d v="1899-12-30T17:13:00"/>
    <n v="83"/>
    <s v="Male"/>
    <n v="43"/>
    <x v="2"/>
    <n v="4"/>
    <n v="500"/>
    <n v="250"/>
    <n v="2000"/>
    <x v="0"/>
    <s v="Valid"/>
    <n v="1750"/>
  </r>
  <r>
    <n v="1157"/>
    <x v="10"/>
    <d v="2022-12-23T00:00:00"/>
    <d v="1899-12-30T21:24:00"/>
    <n v="81"/>
    <s v="Male"/>
    <n v="62"/>
    <x v="2"/>
    <n v="4"/>
    <n v="500"/>
    <n v="270"/>
    <n v="2000"/>
    <x v="0"/>
    <s v="Valid"/>
    <n v="1730"/>
  </r>
  <r>
    <n v="1927"/>
    <x v="22"/>
    <d v="2023-09-06T00:00:00"/>
    <d v="1899-12-30T19:44:00"/>
    <n v="46"/>
    <s v="Male"/>
    <n v="43"/>
    <x v="2"/>
    <n v="4"/>
    <n v="500"/>
    <n v="180"/>
    <n v="2000"/>
    <x v="0"/>
    <s v="Valid"/>
    <n v="1820"/>
  </r>
  <r>
    <n v="480"/>
    <x v="10"/>
    <d v="2022-12-22T00:00:00"/>
    <d v="1899-12-30T22:12:00"/>
    <n v="126"/>
    <s v="Female"/>
    <n v="42"/>
    <x v="0"/>
    <n v="4"/>
    <n v="500"/>
    <n v="225"/>
    <n v="2000"/>
    <x v="0"/>
    <s v="Valid"/>
    <n v="1775"/>
  </r>
  <r>
    <n v="1480"/>
    <x v="20"/>
    <d v="2023-11-26T00:00:00"/>
    <d v="1899-12-30T18:05:00"/>
    <n v="3"/>
    <s v="Female"/>
    <n v="42"/>
    <x v="0"/>
    <n v="4"/>
    <n v="500"/>
    <n v="165"/>
    <n v="2000"/>
    <x v="0"/>
    <s v="Valid"/>
    <n v="1835"/>
  </r>
  <r>
    <n v="684"/>
    <x v="17"/>
    <d v="2023-06-20T00:00:00"/>
    <d v="1899-12-30T18:02:00"/>
    <n v="54"/>
    <s v="Female"/>
    <n v="28"/>
    <x v="1"/>
    <n v="2"/>
    <n v="500"/>
    <n v="225"/>
    <n v="1000"/>
    <x v="0"/>
    <s v="Valid"/>
    <n v="775"/>
  </r>
  <r>
    <n v="1684"/>
    <x v="13"/>
    <d v="2023-01-23T00:00:00"/>
    <d v="1899-12-30T21:40:00"/>
    <n v="43"/>
    <s v="Female"/>
    <n v="28"/>
    <x v="1"/>
    <n v="2"/>
    <n v="500"/>
    <n v="200"/>
    <n v="1000"/>
    <x v="0"/>
    <s v="Valid"/>
    <n v="800"/>
  </r>
  <r>
    <n v="78"/>
    <x v="19"/>
    <d v="2023-02-17T00:00:00"/>
    <d v="1899-12-30T21:08:00"/>
    <n v="68"/>
    <s v="Female"/>
    <n v="47"/>
    <x v="1"/>
    <n v="3"/>
    <n v="500"/>
    <n v="265"/>
    <n v="1500"/>
    <x v="0"/>
    <s v="Valid"/>
    <n v="1235"/>
  </r>
  <r>
    <n v="1078"/>
    <x v="18"/>
    <d v="2023-05-04T00:00:00"/>
    <d v="1899-12-30T22:20:00"/>
    <n v="16"/>
    <s v="Female"/>
    <n v="47"/>
    <x v="1"/>
    <n v="3"/>
    <n v="500"/>
    <n v="125"/>
    <n v="1500"/>
    <x v="0"/>
    <s v="Valid"/>
    <n v="1375"/>
  </r>
  <r>
    <n v="904"/>
    <x v="4"/>
    <d v="2022-04-01T00:00:00"/>
    <d v="1899-12-30T20:26:00"/>
    <n v="43"/>
    <s v="Male"/>
    <n v="28"/>
    <x v="1"/>
    <n v="1"/>
    <n v="500"/>
    <n v="160"/>
    <n v="500"/>
    <x v="0"/>
    <s v="Valid"/>
    <n v="340"/>
  </r>
  <r>
    <n v="1904"/>
    <x v="6"/>
    <d v="2022-11-25T00:00:00"/>
    <d v="1899-12-30T19:41:00"/>
    <n v="117"/>
    <s v="Male"/>
    <n v="28"/>
    <x v="1"/>
    <n v="1"/>
    <n v="500"/>
    <n v="220"/>
    <n v="500"/>
    <x v="0"/>
    <s v="Valid"/>
    <n v="280"/>
  </r>
  <r>
    <n v="128"/>
    <x v="10"/>
    <d v="2022-12-21T00:00:00"/>
    <d v="1899-12-30T22:22:00"/>
    <n v="77"/>
    <s v="Male"/>
    <n v="25"/>
    <x v="0"/>
    <n v="1"/>
    <n v="500"/>
    <n v="180"/>
    <n v="500"/>
    <x v="0"/>
    <s v="Valid"/>
    <n v="320"/>
  </r>
  <r>
    <n v="1128"/>
    <x v="11"/>
    <d v="2022-01-04T00:00:00"/>
    <d v="1899-12-30T17:35:00"/>
    <n v="60"/>
    <s v="Male"/>
    <n v="25"/>
    <x v="0"/>
    <n v="1"/>
    <n v="500"/>
    <n v="135"/>
    <n v="500"/>
    <x v="0"/>
    <s v="Valid"/>
    <n v="365"/>
  </r>
  <r>
    <n v="447"/>
    <x v="14"/>
    <d v="2023-04-18T00:00:00"/>
    <d v="1899-12-30T17:57:00"/>
    <n v="37"/>
    <s v="Male"/>
    <n v="22"/>
    <x v="0"/>
    <n v="4"/>
    <n v="500"/>
    <n v="245"/>
    <n v="2000"/>
    <x v="0"/>
    <s v="Valid"/>
    <n v="1755"/>
  </r>
  <r>
    <n v="1447"/>
    <x v="0"/>
    <d v="2022-05-30T00:00:00"/>
    <d v="1899-12-30T22:21:00"/>
    <n v="137"/>
    <s v="Male"/>
    <n v="22"/>
    <x v="0"/>
    <n v="4"/>
    <n v="500"/>
    <n v="155"/>
    <n v="2000"/>
    <x v="0"/>
    <s v="Valid"/>
    <n v="1845"/>
  </r>
  <r>
    <n v="93"/>
    <x v="11"/>
    <d v="2022-01-25T00:00:00"/>
    <d v="1899-12-30T20:52:00"/>
    <n v="148"/>
    <s v="Female"/>
    <n v="35"/>
    <x v="0"/>
    <n v="4"/>
    <n v="500"/>
    <n v="140"/>
    <n v="2000"/>
    <x v="0"/>
    <s v="Valid"/>
    <n v="1860"/>
  </r>
  <r>
    <n v="1093"/>
    <x v="20"/>
    <d v="2023-11-06T00:00:00"/>
    <d v="1899-12-30T17:26:00"/>
    <n v="87"/>
    <s v="Female"/>
    <n v="35"/>
    <x v="0"/>
    <n v="4"/>
    <n v="500"/>
    <n v="270"/>
    <n v="2000"/>
    <x v="0"/>
    <s v="Valid"/>
    <n v="1730"/>
  </r>
  <r>
    <n v="144"/>
    <x v="2"/>
    <d v="2022-03-26T00:00:00"/>
    <d v="1899-12-30T22:18:00"/>
    <n v="119"/>
    <s v="Female"/>
    <n v="59"/>
    <x v="0"/>
    <n v="3"/>
    <n v="500"/>
    <n v="255"/>
    <n v="1500"/>
    <x v="0"/>
    <s v="Valid"/>
    <n v="1245"/>
  </r>
  <r>
    <n v="474"/>
    <x v="0"/>
    <d v="2022-05-08T00:00:00"/>
    <d v="1899-12-30T17:57:00"/>
    <n v="145"/>
    <s v="Female"/>
    <n v="26"/>
    <x v="1"/>
    <n v="3"/>
    <n v="500"/>
    <n v="210"/>
    <n v="1500"/>
    <x v="0"/>
    <s v="Valid"/>
    <n v="1290"/>
  </r>
  <r>
    <n v="1144"/>
    <x v="10"/>
    <d v="2022-12-30T00:00:00"/>
    <d v="1899-12-30T21:27:00"/>
    <n v="148"/>
    <s v="Female"/>
    <n v="59"/>
    <x v="0"/>
    <n v="3"/>
    <n v="500"/>
    <n v="125"/>
    <n v="1500"/>
    <x v="0"/>
    <s v="Valid"/>
    <n v="1375"/>
  </r>
  <r>
    <n v="1474"/>
    <x v="0"/>
    <d v="2022-05-15T00:00:00"/>
    <d v="1899-12-30T20:49:00"/>
    <n v="84"/>
    <s v="Female"/>
    <n v="26"/>
    <x v="1"/>
    <n v="3"/>
    <n v="500"/>
    <n v="255"/>
    <n v="1500"/>
    <x v="0"/>
    <s v="Valid"/>
    <n v="1245"/>
  </r>
  <r>
    <n v="676"/>
    <x v="15"/>
    <d v="2023-07-10T00:00:00"/>
    <d v="1899-12-30T22:13:00"/>
    <n v="80"/>
    <s v="Male"/>
    <n v="63"/>
    <x v="2"/>
    <n v="3"/>
    <n v="500"/>
    <n v="205"/>
    <n v="1500"/>
    <x v="0"/>
    <s v="Valid"/>
    <n v="1295"/>
  </r>
  <r>
    <n v="1676"/>
    <x v="22"/>
    <d v="2023-09-21T00:00:00"/>
    <d v="1899-12-30T20:22:00"/>
    <n v="91"/>
    <s v="Male"/>
    <n v="63"/>
    <x v="2"/>
    <n v="3"/>
    <n v="500"/>
    <n v="210"/>
    <n v="1500"/>
    <x v="0"/>
    <s v="Valid"/>
    <n v="1290"/>
  </r>
  <r>
    <n v="709"/>
    <x v="3"/>
    <d v="2022-09-22T00:00:00"/>
    <d v="1899-12-30T22:32:00"/>
    <n v="61"/>
    <s v="Female"/>
    <n v="19"/>
    <x v="2"/>
    <n v="2"/>
    <n v="500"/>
    <n v="140"/>
    <n v="1000"/>
    <x v="0"/>
    <s v="Valid"/>
    <n v="860"/>
  </r>
  <r>
    <n v="1709"/>
    <x v="22"/>
    <d v="2023-09-13T00:00:00"/>
    <d v="1899-12-30T20:22:00"/>
    <n v="97"/>
    <s v="Female"/>
    <n v="19"/>
    <x v="2"/>
    <n v="2"/>
    <n v="500"/>
    <n v="185"/>
    <n v="1000"/>
    <x v="0"/>
    <s v="Valid"/>
    <n v="815"/>
  </r>
  <r>
    <n v="773"/>
    <x v="13"/>
    <d v="2023-01-14T00:00:00"/>
    <d v="1899-12-30T19:10:00"/>
    <n v="3"/>
    <s v="Male"/>
    <n v="25"/>
    <x v="2"/>
    <n v="4"/>
    <n v="500"/>
    <n v="175"/>
    <n v="2000"/>
    <x v="0"/>
    <s v="Valid"/>
    <n v="1825"/>
  </r>
  <r>
    <n v="1773"/>
    <x v="16"/>
    <d v="2023-12-12T00:00:00"/>
    <d v="1899-12-30T18:50:00"/>
    <n v="80"/>
    <s v="Male"/>
    <n v="25"/>
    <x v="2"/>
    <n v="4"/>
    <n v="500"/>
    <n v="165"/>
    <n v="2000"/>
    <x v="0"/>
    <s v="Valid"/>
    <n v="1835"/>
  </r>
  <r>
    <n v="213"/>
    <x v="21"/>
    <d v="2023-08-13T00:00:00"/>
    <d v="1899-12-30T20:48:00"/>
    <n v="113"/>
    <s v="Male"/>
    <n v="27"/>
    <x v="0"/>
    <n v="3"/>
    <n v="500"/>
    <n v="275"/>
    <n v="1500"/>
    <x v="0"/>
    <s v="Valid"/>
    <n v="1225"/>
  </r>
  <r>
    <n v="487"/>
    <x v="14"/>
    <d v="2023-04-09T00:00:00"/>
    <d v="1899-12-30T21:03:00"/>
    <n v="36"/>
    <s v="Male"/>
    <n v="44"/>
    <x v="1"/>
    <n v="4"/>
    <n v="500"/>
    <n v="235"/>
    <n v="2000"/>
    <x v="0"/>
    <s v="Valid"/>
    <n v="1765"/>
  </r>
  <r>
    <n v="605"/>
    <x v="12"/>
    <d v="2023-10-19T00:00:00"/>
    <d v="1899-12-30T22:24:00"/>
    <n v="76"/>
    <s v="Male"/>
    <n v="37"/>
    <x v="2"/>
    <n v="2"/>
    <n v="500"/>
    <n v="180"/>
    <n v="1000"/>
    <x v="0"/>
    <s v="Valid"/>
    <n v="820"/>
  </r>
  <r>
    <n v="1213"/>
    <x v="17"/>
    <d v="2023-06-21T00:00:00"/>
    <d v="1899-12-30T17:23:00"/>
    <n v="41"/>
    <s v="Male"/>
    <n v="27"/>
    <x v="0"/>
    <n v="3"/>
    <n v="500"/>
    <n v="185"/>
    <n v="1500"/>
    <x v="0"/>
    <s v="Valid"/>
    <n v="1315"/>
  </r>
  <r>
    <n v="1487"/>
    <x v="19"/>
    <d v="2023-02-01T00:00:00"/>
    <d v="1899-12-30T19:01:00"/>
    <n v="131"/>
    <s v="Male"/>
    <n v="44"/>
    <x v="1"/>
    <n v="4"/>
    <n v="500"/>
    <n v="140"/>
    <n v="2000"/>
    <x v="0"/>
    <s v="Valid"/>
    <n v="1860"/>
  </r>
  <r>
    <n v="1605"/>
    <x v="11"/>
    <d v="2022-01-24T00:00:00"/>
    <d v="1899-12-30T19:39:00"/>
    <n v="2"/>
    <s v="Male"/>
    <n v="37"/>
    <x v="2"/>
    <n v="2"/>
    <n v="500"/>
    <n v="165"/>
    <n v="1000"/>
    <x v="0"/>
    <s v="Valid"/>
    <n v="835"/>
  </r>
  <r>
    <n v="105"/>
    <x v="17"/>
    <d v="2023-06-18T00:00:00"/>
    <d v="1899-12-30T18:05:00"/>
    <n v="82"/>
    <s v="Female"/>
    <n v="22"/>
    <x v="2"/>
    <n v="1"/>
    <n v="500"/>
    <n v="230"/>
    <n v="500"/>
    <x v="0"/>
    <s v="Valid"/>
    <n v="270"/>
  </r>
  <r>
    <n v="299"/>
    <x v="13"/>
    <d v="2023-01-25T00:00:00"/>
    <d v="1899-12-30T20:03:00"/>
    <n v="76"/>
    <s v="Male"/>
    <n v="61"/>
    <x v="2"/>
    <n v="2"/>
    <n v="500"/>
    <n v="230"/>
    <n v="1000"/>
    <x v="0"/>
    <s v="Valid"/>
    <n v="770"/>
  </r>
  <r>
    <n v="934"/>
    <x v="6"/>
    <d v="2022-11-22T00:00:00"/>
    <d v="1899-12-30T18:20:00"/>
    <n v="111"/>
    <s v="Male"/>
    <n v="30"/>
    <x v="0"/>
    <n v="1"/>
    <n v="500"/>
    <n v="240"/>
    <n v="500"/>
    <x v="0"/>
    <s v="Valid"/>
    <n v="260"/>
  </r>
  <r>
    <n v="1105"/>
    <x v="6"/>
    <d v="2022-11-12T00:00:00"/>
    <d v="1899-12-30T19:09:00"/>
    <n v="19"/>
    <s v="Female"/>
    <n v="22"/>
    <x v="2"/>
    <n v="1"/>
    <n v="500"/>
    <n v="270"/>
    <n v="500"/>
    <x v="0"/>
    <s v="Valid"/>
    <n v="230"/>
  </r>
  <r>
    <n v="1299"/>
    <x v="0"/>
    <d v="2022-05-08T00:00:00"/>
    <d v="1899-12-30T18:58:00"/>
    <n v="11"/>
    <s v="Male"/>
    <n v="61"/>
    <x v="2"/>
    <n v="2"/>
    <n v="500"/>
    <n v="250"/>
    <n v="1000"/>
    <x v="0"/>
    <s v="Valid"/>
    <n v="750"/>
  </r>
  <r>
    <n v="1934"/>
    <x v="3"/>
    <d v="2022-09-08T00:00:00"/>
    <d v="1899-12-30T17:06:00"/>
    <n v="69"/>
    <s v="Male"/>
    <n v="30"/>
    <x v="0"/>
    <n v="1"/>
    <n v="500"/>
    <n v="150"/>
    <n v="500"/>
    <x v="0"/>
    <s v="Valid"/>
    <n v="350"/>
  </r>
  <r>
    <n v="864"/>
    <x v="15"/>
    <d v="2023-07-31T00:00:00"/>
    <d v="1899-12-30T22:16:00"/>
    <n v="139"/>
    <s v="Female"/>
    <n v="51"/>
    <x v="2"/>
    <n v="1"/>
    <n v="500"/>
    <n v="215"/>
    <n v="500"/>
    <x v="0"/>
    <s v="Valid"/>
    <n v="285"/>
  </r>
  <r>
    <n v="1864"/>
    <x v="14"/>
    <d v="2023-04-30T00:00:00"/>
    <d v="1899-12-30T21:00:00"/>
    <n v="112"/>
    <s v="Female"/>
    <n v="51"/>
    <x v="2"/>
    <n v="1"/>
    <n v="500"/>
    <n v="190"/>
    <n v="500"/>
    <x v="0"/>
    <s v="Valid"/>
    <n v="310"/>
  </r>
  <r>
    <n v="254"/>
    <x v="10"/>
    <d v="2022-12-14T00:00:00"/>
    <d v="1899-12-30T22:45:00"/>
    <n v="104"/>
    <s v="Male"/>
    <n v="41"/>
    <x v="2"/>
    <n v="1"/>
    <n v="500"/>
    <n v="165"/>
    <n v="500"/>
    <x v="0"/>
    <s v="Valid"/>
    <n v="335"/>
  </r>
  <r>
    <n v="850"/>
    <x v="22"/>
    <d v="2023-09-14T00:00:00"/>
    <d v="1899-12-30T19:01:00"/>
    <n v="58"/>
    <s v="Female"/>
    <n v="26"/>
    <x v="0"/>
    <n v="2"/>
    <n v="500"/>
    <n v="235"/>
    <n v="1000"/>
    <x v="0"/>
    <s v="Valid"/>
    <n v="765"/>
  </r>
  <r>
    <n v="1254"/>
    <x v="14"/>
    <d v="2023-04-12T00:00:00"/>
    <d v="1899-12-30T18:24:00"/>
    <n v="86"/>
    <s v="Male"/>
    <n v="41"/>
    <x v="2"/>
    <n v="1"/>
    <n v="500"/>
    <n v="180"/>
    <n v="500"/>
    <x v="0"/>
    <s v="Valid"/>
    <n v="320"/>
  </r>
  <r>
    <n v="1850"/>
    <x v="5"/>
    <d v="2022-02-16T00:00:00"/>
    <d v="1899-12-30T20:44:00"/>
    <n v="154"/>
    <s v="Female"/>
    <n v="26"/>
    <x v="0"/>
    <n v="2"/>
    <n v="500"/>
    <n v="240"/>
    <n v="1000"/>
    <x v="0"/>
    <s v="Valid"/>
    <n v="760"/>
  </r>
  <r>
    <n v="541"/>
    <x v="10"/>
    <d v="2022-12-25T00:00:00"/>
    <d v="1899-12-30T18:37:00"/>
    <n v="39"/>
    <s v="Male"/>
    <n v="56"/>
    <x v="0"/>
    <n v="1"/>
    <n v="500"/>
    <n v="215"/>
    <n v="500"/>
    <x v="0"/>
    <s v="Valid"/>
    <n v="285"/>
  </r>
  <r>
    <n v="1541"/>
    <x v="12"/>
    <d v="2023-10-02T00:00:00"/>
    <d v="1899-12-30T22:17:00"/>
    <n v="57"/>
    <s v="Male"/>
    <n v="56"/>
    <x v="0"/>
    <n v="1"/>
    <n v="500"/>
    <n v="195"/>
    <n v="500"/>
    <x v="0"/>
    <s v="Valid"/>
    <n v="305"/>
  </r>
  <r>
    <n v="463"/>
    <x v="13"/>
    <d v="2023-01-29T00:00:00"/>
    <d v="1899-12-30T20:22:00"/>
    <n v="55"/>
    <s v="Female"/>
    <n v="54"/>
    <x v="0"/>
    <n v="3"/>
    <n v="500"/>
    <n v="175"/>
    <n v="1500"/>
    <x v="0"/>
    <s v="Valid"/>
    <n v="1325"/>
  </r>
  <r>
    <n v="1463"/>
    <x v="9"/>
    <d v="2022-07-29T00:00:00"/>
    <d v="1899-12-30T19:45:00"/>
    <n v="98"/>
    <s v="Female"/>
    <n v="54"/>
    <x v="0"/>
    <n v="3"/>
    <n v="500"/>
    <n v="170"/>
    <n v="1500"/>
    <x v="0"/>
    <s v="Valid"/>
    <n v="1330"/>
  </r>
  <r>
    <n v="667"/>
    <x v="10"/>
    <d v="2022-12-01T00:00:00"/>
    <d v="1899-12-30T18:46:00"/>
    <n v="22"/>
    <s v="Female"/>
    <n v="29"/>
    <x v="2"/>
    <n v="1"/>
    <n v="500"/>
    <n v="190"/>
    <n v="500"/>
    <x v="0"/>
    <s v="Valid"/>
    <n v="310"/>
  </r>
  <r>
    <n v="1667"/>
    <x v="9"/>
    <d v="2022-07-04T00:00:00"/>
    <d v="1899-12-30T19:09:00"/>
    <n v="40"/>
    <s v="Female"/>
    <n v="29"/>
    <x v="2"/>
    <n v="1"/>
    <n v="500"/>
    <n v="125"/>
    <n v="500"/>
    <x v="0"/>
    <s v="Valid"/>
    <n v="375"/>
  </r>
  <r>
    <n v="13"/>
    <x v="19"/>
    <d v="2023-02-08T00:00:00"/>
    <d v="1899-12-30T17:43:00"/>
    <n v="106"/>
    <s v="Male"/>
    <n v="22"/>
    <x v="2"/>
    <n v="3"/>
    <n v="500"/>
    <n v="245"/>
    <n v="1500"/>
    <x v="0"/>
    <s v="Valid"/>
    <n v="1255"/>
  </r>
  <r>
    <n v="279"/>
    <x v="21"/>
    <d v="2023-08-10T00:00:00"/>
    <d v="1899-12-30T17:29:00"/>
    <n v="38"/>
    <s v="Male"/>
    <n v="50"/>
    <x v="1"/>
    <n v="1"/>
    <n v="500"/>
    <n v="210"/>
    <n v="500"/>
    <x v="0"/>
    <s v="Valid"/>
    <n v="290"/>
  </r>
  <r>
    <n v="418"/>
    <x v="4"/>
    <d v="2022-04-01T00:00:00"/>
    <d v="1899-12-30T18:05:00"/>
    <n v="95"/>
    <s v="Female"/>
    <n v="60"/>
    <x v="2"/>
    <n v="2"/>
    <n v="500"/>
    <n v="155"/>
    <n v="1000"/>
    <x v="0"/>
    <s v="Valid"/>
    <n v="845"/>
  </r>
  <r>
    <n v="1013"/>
    <x v="9"/>
    <d v="2022-07-16T00:00:00"/>
    <d v="1899-12-30T19:38:00"/>
    <n v="111"/>
    <s v="Male"/>
    <n v="22"/>
    <x v="2"/>
    <n v="3"/>
    <n v="500"/>
    <n v="200"/>
    <n v="1500"/>
    <x v="0"/>
    <s v="Valid"/>
    <n v="1300"/>
  </r>
  <r>
    <n v="1279"/>
    <x v="4"/>
    <d v="2022-04-21T00:00:00"/>
    <d v="1899-12-30T22:55:00"/>
    <n v="116"/>
    <s v="Male"/>
    <n v="50"/>
    <x v="1"/>
    <n v="1"/>
    <n v="500"/>
    <n v="170"/>
    <n v="500"/>
    <x v="0"/>
    <s v="Valid"/>
    <n v="330"/>
  </r>
  <r>
    <n v="1418"/>
    <x v="3"/>
    <d v="2022-09-17T00:00:00"/>
    <d v="1899-12-30T18:19:00"/>
    <n v="68"/>
    <s v="Female"/>
    <n v="60"/>
    <x v="2"/>
    <n v="2"/>
    <n v="500"/>
    <n v="215"/>
    <n v="1000"/>
    <x v="0"/>
    <s v="Valid"/>
    <n v="785"/>
  </r>
  <r>
    <n v="612"/>
    <x v="5"/>
    <d v="2022-02-23T00:00:00"/>
    <d v="1899-12-30T19:06:00"/>
    <n v="77"/>
    <s v="Female"/>
    <n v="61"/>
    <x v="2"/>
    <n v="1"/>
    <n v="500"/>
    <n v="235"/>
    <n v="500"/>
    <x v="0"/>
    <s v="Valid"/>
    <n v="265"/>
  </r>
  <r>
    <n v="875"/>
    <x v="20"/>
    <d v="2023-11-30T00:00:00"/>
    <d v="1899-12-30T21:47:00"/>
    <n v="134"/>
    <s v="Female"/>
    <n v="51"/>
    <x v="2"/>
    <n v="4"/>
    <n v="500"/>
    <n v="135"/>
    <n v="2000"/>
    <x v="0"/>
    <s v="Valid"/>
    <n v="1865"/>
  </r>
  <r>
    <n v="1612"/>
    <x v="10"/>
    <d v="2022-12-18T00:00:00"/>
    <d v="1899-12-30T21:14:00"/>
    <n v="140"/>
    <s v="Female"/>
    <n v="61"/>
    <x v="2"/>
    <n v="1"/>
    <n v="500"/>
    <n v="230"/>
    <n v="500"/>
    <x v="0"/>
    <s v="Valid"/>
    <n v="270"/>
  </r>
  <r>
    <n v="1875"/>
    <x v="7"/>
    <d v="2022-06-03T00:00:00"/>
    <d v="1899-12-30T22:42:00"/>
    <n v="141"/>
    <s v="Female"/>
    <n v="51"/>
    <x v="2"/>
    <n v="4"/>
    <n v="500"/>
    <n v="165"/>
    <n v="2000"/>
    <x v="0"/>
    <s v="Valid"/>
    <n v="1835"/>
  </r>
  <r>
    <n v="816"/>
    <x v="22"/>
    <d v="2023-09-27T00:00:00"/>
    <d v="1899-12-30T19:29:00"/>
    <n v="133"/>
    <s v="Male"/>
    <n v="47"/>
    <x v="0"/>
    <n v="2"/>
    <n v="500"/>
    <n v="240"/>
    <n v="1000"/>
    <x v="0"/>
    <s v="Valid"/>
    <n v="760"/>
  </r>
  <r>
    <n v="1816"/>
    <x v="7"/>
    <d v="2022-06-17T00:00:00"/>
    <d v="1899-12-30T22:30:00"/>
    <n v="52"/>
    <s v="Male"/>
    <n v="47"/>
    <x v="0"/>
    <n v="2"/>
    <n v="500"/>
    <n v="245"/>
    <n v="1000"/>
    <x v="0"/>
    <s v="Valid"/>
    <n v="755"/>
  </r>
  <r>
    <n v="384"/>
    <x v="4"/>
    <d v="2022-04-10T00:00:00"/>
    <d v="1899-12-30T19:53:00"/>
    <n v="127"/>
    <s v="Male"/>
    <n v="55"/>
    <x v="1"/>
    <n v="1"/>
    <n v="500"/>
    <n v="145"/>
    <n v="500"/>
    <x v="0"/>
    <s v="Valid"/>
    <n v="355"/>
  </r>
  <r>
    <n v="1384"/>
    <x v="16"/>
    <d v="2023-12-17T00:00:00"/>
    <d v="1899-12-30T20:23:00"/>
    <n v="106"/>
    <s v="Male"/>
    <n v="55"/>
    <x v="1"/>
    <n v="1"/>
    <n v="500"/>
    <n v="260"/>
    <n v="500"/>
    <x v="0"/>
    <s v="Valid"/>
    <n v="240"/>
  </r>
  <r>
    <n v="570"/>
    <x v="7"/>
    <d v="2022-06-09T00:00:00"/>
    <d v="1899-12-30T22:53:00"/>
    <n v="91"/>
    <s v="Male"/>
    <n v="49"/>
    <x v="1"/>
    <n v="1"/>
    <n v="500"/>
    <n v="185"/>
    <n v="500"/>
    <x v="0"/>
    <s v="Valid"/>
    <n v="315"/>
  </r>
  <r>
    <n v="1570"/>
    <x v="17"/>
    <d v="2023-06-15T00:00:00"/>
    <d v="1899-12-30T22:32:00"/>
    <n v="109"/>
    <s v="Male"/>
    <n v="49"/>
    <x v="1"/>
    <n v="1"/>
    <n v="500"/>
    <n v="170"/>
    <n v="500"/>
    <x v="0"/>
    <s v="Valid"/>
    <n v="330"/>
  </r>
  <r>
    <n v="859"/>
    <x v="3"/>
    <d v="2022-09-20T00:00:00"/>
    <d v="1899-12-30T21:52:00"/>
    <n v="46"/>
    <s v="Female"/>
    <n v="56"/>
    <x v="2"/>
    <n v="3"/>
    <n v="500"/>
    <n v="190"/>
    <n v="1500"/>
    <x v="0"/>
    <s v="Valid"/>
    <n v="1310"/>
  </r>
  <r>
    <n v="1859"/>
    <x v="3"/>
    <d v="2022-09-14T00:00:00"/>
    <d v="1899-12-30T20:58:00"/>
    <n v="32"/>
    <s v="Female"/>
    <n v="56"/>
    <x v="2"/>
    <n v="3"/>
    <n v="500"/>
    <n v="205"/>
    <n v="1500"/>
    <x v="0"/>
    <s v="Valid"/>
    <n v="1295"/>
  </r>
  <r>
    <n v="638"/>
    <x v="13"/>
    <d v="2023-01-10T00:00:00"/>
    <d v="1899-12-30T19:52:00"/>
    <n v="154"/>
    <s v="Male"/>
    <n v="46"/>
    <x v="2"/>
    <n v="1"/>
    <n v="500"/>
    <n v="190"/>
    <n v="500"/>
    <x v="0"/>
    <s v="Valid"/>
    <n v="310"/>
  </r>
  <r>
    <n v="956"/>
    <x v="14"/>
    <d v="2023-04-24T00:00:00"/>
    <d v="1899-12-30T21:50:00"/>
    <n v="140"/>
    <s v="Male"/>
    <n v="30"/>
    <x v="1"/>
    <n v="3"/>
    <n v="500"/>
    <n v="135"/>
    <n v="1500"/>
    <x v="0"/>
    <s v="Valid"/>
    <n v="1365"/>
  </r>
  <r>
    <n v="1638"/>
    <x v="1"/>
    <d v="2022-08-13T00:00:00"/>
    <d v="1899-12-30T18:26:00"/>
    <n v="37"/>
    <s v="Male"/>
    <n v="46"/>
    <x v="2"/>
    <n v="1"/>
    <n v="500"/>
    <n v="155"/>
    <n v="500"/>
    <x v="0"/>
    <s v="Valid"/>
    <n v="345"/>
  </r>
  <r>
    <n v="1956"/>
    <x v="17"/>
    <d v="2023-06-01T00:00:00"/>
    <d v="1899-12-30T20:40:00"/>
    <n v="62"/>
    <s v="Male"/>
    <n v="30"/>
    <x v="1"/>
    <n v="3"/>
    <n v="500"/>
    <n v="170"/>
    <n v="1500"/>
    <x v="0"/>
    <s v="Valid"/>
    <n v="1330"/>
  </r>
  <r>
    <n v="880"/>
    <x v="22"/>
    <d v="2023-09-26T00:00:00"/>
    <d v="1899-12-30T20:13:00"/>
    <n v="63"/>
    <s v="Male"/>
    <n v="22"/>
    <x v="0"/>
    <n v="2"/>
    <n v="500"/>
    <n v="175"/>
    <n v="1000"/>
    <x v="0"/>
    <s v="Valid"/>
    <n v="825"/>
  </r>
  <r>
    <n v="1880"/>
    <x v="17"/>
    <d v="2023-06-14T00:00:00"/>
    <d v="1899-12-30T20:03:00"/>
    <n v="37"/>
    <s v="Male"/>
    <n v="22"/>
    <x v="0"/>
    <n v="2"/>
    <n v="500"/>
    <n v="175"/>
    <n v="1000"/>
    <x v="0"/>
    <s v="Valid"/>
    <n v="825"/>
  </r>
  <r>
    <n v="364"/>
    <x v="7"/>
    <d v="2022-06-07T00:00:00"/>
    <d v="1899-12-30T19:06:00"/>
    <n v="98"/>
    <s v="Female"/>
    <n v="19"/>
    <x v="0"/>
    <n v="1"/>
    <n v="500"/>
    <n v="200"/>
    <n v="500"/>
    <x v="0"/>
    <s v="Valid"/>
    <n v="300"/>
  </r>
  <r>
    <n v="1364"/>
    <x v="22"/>
    <d v="2023-09-23T00:00:00"/>
    <d v="1899-12-30T17:04:00"/>
    <n v="72"/>
    <s v="Female"/>
    <n v="19"/>
    <x v="0"/>
    <n v="1"/>
    <n v="500"/>
    <n v="250"/>
    <n v="500"/>
    <x v="0"/>
    <s v="Valid"/>
    <n v="250"/>
  </r>
  <r>
    <n v="476"/>
    <x v="16"/>
    <d v="2023-12-12T00:00:00"/>
    <d v="1899-12-30T18:31:00"/>
    <n v="131"/>
    <s v="Female"/>
    <n v="27"/>
    <x v="1"/>
    <n v="4"/>
    <n v="500"/>
    <n v="570"/>
    <n v="2000"/>
    <x v="0"/>
    <s v="Valid"/>
    <n v="1430"/>
  </r>
  <r>
    <n v="984"/>
    <x v="20"/>
    <d v="2023-11-20T00:00:00"/>
    <d v="1899-12-30T19:29:00"/>
    <n v="83"/>
    <s v="Male"/>
    <n v="56"/>
    <x v="1"/>
    <n v="1"/>
    <n v="500"/>
    <n v="480"/>
    <n v="500"/>
    <x v="0"/>
    <s v="Valid"/>
    <n v="20"/>
  </r>
  <r>
    <n v="1476"/>
    <x v="6"/>
    <d v="2022-11-11T00:00:00"/>
    <d v="1899-12-30T22:27:00"/>
    <n v="130"/>
    <s v="Female"/>
    <n v="27"/>
    <x v="1"/>
    <n v="4"/>
    <n v="500"/>
    <n v="555"/>
    <n v="2000"/>
    <x v="0"/>
    <s v="Valid"/>
    <n v="1445"/>
  </r>
  <r>
    <n v="1984"/>
    <x v="22"/>
    <d v="2023-09-09T00:00:00"/>
    <d v="1899-12-30T20:10:00"/>
    <n v="126"/>
    <s v="Male"/>
    <n v="56"/>
    <x v="1"/>
    <n v="1"/>
    <n v="500"/>
    <n v="530"/>
    <n v="500"/>
    <x v="0"/>
    <s v="Valid"/>
    <n v="-30"/>
  </r>
  <r>
    <n v="253"/>
    <x v="3"/>
    <d v="2022-09-30T00:00:00"/>
    <d v="1899-12-30T21:26:00"/>
    <n v="66"/>
    <s v="Female"/>
    <n v="53"/>
    <x v="1"/>
    <n v="4"/>
    <n v="500"/>
    <n v="525"/>
    <n v="2000"/>
    <x v="0"/>
    <s v="Valid"/>
    <n v="1475"/>
  </r>
  <r>
    <n v="1253"/>
    <x v="16"/>
    <d v="2023-12-03T00:00:00"/>
    <d v="1899-12-30T19:58:00"/>
    <n v="108"/>
    <s v="Female"/>
    <n v="53"/>
    <x v="1"/>
    <n v="4"/>
    <n v="500"/>
    <n v="605"/>
    <n v="2000"/>
    <x v="0"/>
    <s v="Valid"/>
    <n v="1395"/>
  </r>
  <r>
    <n v="297"/>
    <x v="3"/>
    <d v="2022-09-12T00:00:00"/>
    <d v="1899-12-30T21:09:00"/>
    <n v="70"/>
    <s v="Female"/>
    <n v="40"/>
    <x v="2"/>
    <n v="2"/>
    <n v="500"/>
    <n v="595"/>
    <n v="1000"/>
    <x v="0"/>
    <s v="Valid"/>
    <n v="405"/>
  </r>
  <r>
    <n v="1297"/>
    <x v="12"/>
    <d v="2023-10-20T00:00:00"/>
    <d v="1899-12-30T22:32:00"/>
    <n v="21"/>
    <s v="Female"/>
    <n v="40"/>
    <x v="2"/>
    <n v="2"/>
    <n v="500"/>
    <n v="535"/>
    <n v="1000"/>
    <x v="0"/>
    <s v="Valid"/>
    <n v="465"/>
  </r>
  <r>
    <n v="814"/>
    <x v="8"/>
    <d v="2022-10-01T00:00:00"/>
    <d v="1899-12-30T20:33:00"/>
    <n v="96"/>
    <s v="Female"/>
    <n v="59"/>
    <x v="1"/>
    <n v="1"/>
    <n v="500"/>
    <n v="540"/>
    <n v="500"/>
    <x v="0"/>
    <s v="Valid"/>
    <n v="-40"/>
  </r>
  <r>
    <n v="1814"/>
    <x v="3"/>
    <d v="2022-09-07T00:00:00"/>
    <d v="1899-12-30T17:53:00"/>
    <n v="43"/>
    <s v="Female"/>
    <n v="59"/>
    <x v="1"/>
    <n v="1"/>
    <n v="500"/>
    <n v="620"/>
    <n v="500"/>
    <x v="0"/>
    <s v="Valid"/>
    <n v="-120"/>
  </r>
  <r>
    <n v="832"/>
    <x v="6"/>
    <d v="2022-11-13T00:00:00"/>
    <d v="1899-12-30T17:25:00"/>
    <n v="106"/>
    <s v="Male"/>
    <n v="47"/>
    <x v="0"/>
    <n v="4"/>
    <n v="500"/>
    <n v="600"/>
    <n v="2000"/>
    <x v="0"/>
    <s v="Valid"/>
    <n v="1400"/>
  </r>
  <r>
    <n v="1832"/>
    <x v="20"/>
    <d v="2023-11-10T00:00:00"/>
    <d v="1899-12-30T21:17:00"/>
    <n v="57"/>
    <s v="Male"/>
    <n v="47"/>
    <x v="0"/>
    <n v="4"/>
    <n v="500"/>
    <n v="480"/>
    <n v="2000"/>
    <x v="0"/>
    <s v="Valid"/>
    <n v="1520"/>
  </r>
  <r>
    <n v="412"/>
    <x v="3"/>
    <d v="2022-09-04T00:00:00"/>
    <d v="1899-12-30T19:36:00"/>
    <n v="30"/>
    <s v="Female"/>
    <n v="19"/>
    <x v="2"/>
    <n v="4"/>
    <n v="500"/>
    <n v="570"/>
    <n v="2000"/>
    <x v="0"/>
    <s v="Valid"/>
    <n v="1430"/>
  </r>
  <r>
    <n v="1412"/>
    <x v="8"/>
    <d v="2022-10-13T00:00:00"/>
    <d v="1899-12-30T19:59:00"/>
    <n v="75"/>
    <s v="Female"/>
    <n v="19"/>
    <x v="2"/>
    <n v="4"/>
    <n v="500"/>
    <n v="615"/>
    <n v="2000"/>
    <x v="0"/>
    <s v="Valid"/>
    <n v="1385"/>
  </r>
  <r>
    <n v="626"/>
    <x v="8"/>
    <d v="2022-10-30T00:00:00"/>
    <d v="1899-12-30T21:01:00"/>
    <n v="65"/>
    <s v="Female"/>
    <n v="26"/>
    <x v="1"/>
    <n v="4"/>
    <n v="500"/>
    <n v="555"/>
    <n v="2000"/>
    <x v="0"/>
    <s v="Valid"/>
    <n v="1445"/>
  </r>
  <r>
    <n v="1626"/>
    <x v="8"/>
    <d v="2022-10-10T00:00:00"/>
    <d v="1899-12-30T19:13:00"/>
    <n v="19"/>
    <s v="Female"/>
    <n v="26"/>
    <x v="1"/>
    <n v="4"/>
    <n v="500"/>
    <n v="495"/>
    <n v="2000"/>
    <x v="0"/>
    <s v="Valid"/>
    <n v="1505"/>
  </r>
  <r>
    <n v="789"/>
    <x v="16"/>
    <d v="2023-12-06T00:00:00"/>
    <d v="1899-12-30T22:13:00"/>
    <n v="34"/>
    <s v="Female"/>
    <n v="61"/>
    <x v="1"/>
    <n v="4"/>
    <n v="500"/>
    <n v="510"/>
    <n v="2000"/>
    <x v="0"/>
    <s v="Valid"/>
    <n v="1490"/>
  </r>
  <r>
    <n v="1789"/>
    <x v="20"/>
    <d v="2023-11-10T00:00:00"/>
    <d v="1899-12-30T17:02:00"/>
    <n v="144"/>
    <s v="Female"/>
    <n v="61"/>
    <x v="1"/>
    <n v="4"/>
    <n v="500"/>
    <n v="615"/>
    <n v="2000"/>
    <x v="0"/>
    <s v="Valid"/>
    <n v="1385"/>
  </r>
  <r>
    <n v="89"/>
    <x v="16"/>
    <d v="2023-12-30T00:00:00"/>
    <d v="1899-12-30T21:15:00"/>
    <n v="117"/>
    <s v="Female"/>
    <n v="55"/>
    <x v="2"/>
    <n v="4"/>
    <n v="500"/>
    <n v="590"/>
    <n v="2000"/>
    <x v="0"/>
    <s v="Valid"/>
    <n v="1410"/>
  </r>
  <r>
    <n v="707"/>
    <x v="12"/>
    <d v="2023-10-23T00:00:00"/>
    <d v="1899-12-30T20:34:00"/>
    <n v="117"/>
    <s v="Female"/>
    <n v="26"/>
    <x v="1"/>
    <n v="1"/>
    <n v="500"/>
    <n v="580"/>
    <n v="500"/>
    <x v="0"/>
    <s v="Valid"/>
    <n v="-80"/>
  </r>
  <r>
    <n v="1089"/>
    <x v="12"/>
    <d v="2023-10-21T00:00:00"/>
    <d v="1899-12-30T18:44:00"/>
    <n v="108"/>
    <s v="Female"/>
    <n v="55"/>
    <x v="2"/>
    <n v="4"/>
    <n v="500"/>
    <n v="555"/>
    <n v="2000"/>
    <x v="0"/>
    <s v="Valid"/>
    <n v="1445"/>
  </r>
  <r>
    <n v="1707"/>
    <x v="22"/>
    <d v="2023-09-17T00:00:00"/>
    <d v="1899-12-30T18:35:00"/>
    <n v="144"/>
    <s v="Female"/>
    <n v="26"/>
    <x v="1"/>
    <n v="1"/>
    <n v="500"/>
    <n v="535"/>
    <n v="500"/>
    <x v="0"/>
    <s v="Valid"/>
    <n v="-35"/>
  </r>
  <r>
    <n v="735"/>
    <x v="6"/>
    <d v="2022-11-26T00:00:00"/>
    <d v="1899-12-30T21:38:00"/>
    <n v="153"/>
    <s v="Female"/>
    <n v="64"/>
    <x v="1"/>
    <n v="4"/>
    <n v="500"/>
    <n v="515"/>
    <n v="2000"/>
    <x v="0"/>
    <s v="Valid"/>
    <n v="1485"/>
  </r>
  <r>
    <n v="1735"/>
    <x v="22"/>
    <d v="2023-09-05T00:00:00"/>
    <d v="1899-12-30T17:26:00"/>
    <n v="86"/>
    <s v="Female"/>
    <n v="64"/>
    <x v="1"/>
    <n v="4"/>
    <n v="500"/>
    <n v="505"/>
    <n v="2000"/>
    <x v="0"/>
    <s v="Valid"/>
    <n v="1495"/>
  </r>
  <r>
    <n v="319"/>
    <x v="6"/>
    <d v="2022-11-07T00:00:00"/>
    <d v="1899-12-30T18:50:00"/>
    <n v="145"/>
    <s v="Male"/>
    <n v="31"/>
    <x v="1"/>
    <n v="1"/>
    <n v="500"/>
    <n v="500"/>
    <n v="500"/>
    <x v="0"/>
    <s v="Valid"/>
    <n v="0"/>
  </r>
  <r>
    <n v="1319"/>
    <x v="20"/>
    <d v="2023-11-25T00:00:00"/>
    <d v="1899-12-30T17:17:00"/>
    <n v="76"/>
    <s v="Male"/>
    <n v="31"/>
    <x v="1"/>
    <n v="1"/>
    <n v="500"/>
    <n v="585"/>
    <n v="500"/>
    <x v="0"/>
    <s v="Valid"/>
    <n v="-85"/>
  </r>
  <r>
    <n v="385"/>
    <x v="6"/>
    <d v="2022-11-20T00:00:00"/>
    <d v="1899-12-30T19:06:00"/>
    <n v="127"/>
    <s v="Male"/>
    <n v="50"/>
    <x v="2"/>
    <n v="3"/>
    <n v="500"/>
    <n v="525"/>
    <n v="1500"/>
    <x v="0"/>
    <s v="Valid"/>
    <n v="975"/>
  </r>
  <r>
    <n v="1385"/>
    <x v="20"/>
    <d v="2023-11-07T00:00:00"/>
    <d v="1899-12-30T19:22:00"/>
    <n v="55"/>
    <s v="Male"/>
    <n v="50"/>
    <x v="2"/>
    <n v="3"/>
    <n v="500"/>
    <n v="505"/>
    <n v="1500"/>
    <x v="0"/>
    <s v="Valid"/>
    <n v="995"/>
  </r>
  <r>
    <n v="26"/>
    <x v="12"/>
    <d v="2023-10-14T00:00:00"/>
    <d v="1899-12-30T17:54:00"/>
    <n v="51"/>
    <s v="Female"/>
    <n v="28"/>
    <x v="2"/>
    <n v="2"/>
    <n v="500"/>
    <n v="600"/>
    <n v="1000"/>
    <x v="0"/>
    <s v="Valid"/>
    <n v="400"/>
  </r>
  <r>
    <n v="1026"/>
    <x v="6"/>
    <d v="2022-11-24T00:00:00"/>
    <d v="1899-12-30T19:10:00"/>
    <n v="60"/>
    <s v="Female"/>
    <n v="28"/>
    <x v="2"/>
    <n v="2"/>
    <n v="500"/>
    <n v="520"/>
    <n v="1000"/>
    <x v="0"/>
    <s v="Valid"/>
    <n v="480"/>
  </r>
  <r>
    <n v="634"/>
    <x v="8"/>
    <d v="2022-10-10T00:00:00"/>
    <d v="1899-12-30T19:25:00"/>
    <n v="68"/>
    <s v="Male"/>
    <n v="60"/>
    <x v="2"/>
    <n v="4"/>
    <n v="500"/>
    <n v="535"/>
    <n v="2000"/>
    <x v="0"/>
    <s v="Valid"/>
    <n v="1465"/>
  </r>
  <r>
    <n v="1634"/>
    <x v="20"/>
    <d v="2023-11-03T00:00:00"/>
    <d v="1899-12-30T17:18:00"/>
    <n v="90"/>
    <s v="Male"/>
    <n v="60"/>
    <x v="2"/>
    <n v="4"/>
    <n v="500"/>
    <n v="520"/>
    <n v="2000"/>
    <x v="0"/>
    <s v="Valid"/>
    <n v="1480"/>
  </r>
  <r>
    <n v="393"/>
    <x v="8"/>
    <d v="2022-10-19T00:00:00"/>
    <d v="1899-12-30T18:52:00"/>
    <n v="85"/>
    <s v="Female"/>
    <n v="22"/>
    <x v="0"/>
    <n v="2"/>
    <n v="500"/>
    <n v="595"/>
    <n v="1000"/>
    <x v="0"/>
    <s v="Valid"/>
    <n v="405"/>
  </r>
  <r>
    <n v="914"/>
    <x v="3"/>
    <d v="2022-09-07T00:00:00"/>
    <d v="1899-12-30T22:25:00"/>
    <n v="83"/>
    <s v="Female"/>
    <n v="59"/>
    <x v="2"/>
    <n v="1"/>
    <n v="500"/>
    <n v="510"/>
    <n v="500"/>
    <x v="0"/>
    <s v="Valid"/>
    <n v="-10"/>
  </r>
  <r>
    <n v="1393"/>
    <x v="8"/>
    <d v="2022-10-08T00:00:00"/>
    <d v="1899-12-30T17:24:00"/>
    <n v="56"/>
    <s v="Female"/>
    <n v="22"/>
    <x v="0"/>
    <n v="2"/>
    <n v="500"/>
    <n v="580"/>
    <n v="1000"/>
    <x v="0"/>
    <s v="Valid"/>
    <n v="420"/>
  </r>
  <r>
    <n v="1914"/>
    <x v="20"/>
    <d v="2023-11-05T00:00:00"/>
    <d v="1899-12-30T17:49:00"/>
    <n v="70"/>
    <s v="Female"/>
    <n v="59"/>
    <x v="2"/>
    <n v="1"/>
    <n v="500"/>
    <n v="510"/>
    <n v="500"/>
    <x v="0"/>
    <s v="Valid"/>
    <n v="-10"/>
  </r>
  <r>
    <n v="97"/>
    <x v="6"/>
    <d v="2022-11-26T00:00:00"/>
    <d v="1899-12-30T18:17:00"/>
    <n v="112"/>
    <s v="Female"/>
    <n v="51"/>
    <x v="0"/>
    <n v="2"/>
    <n v="500"/>
    <n v="555"/>
    <n v="1000"/>
    <x v="0"/>
    <s v="Valid"/>
    <n v="445"/>
  </r>
  <r>
    <n v="1097"/>
    <x v="10"/>
    <d v="2022-12-26T00:00:00"/>
    <d v="1899-12-30T20:53:00"/>
    <n v="86"/>
    <s v="Female"/>
    <n v="51"/>
    <x v="0"/>
    <n v="2"/>
    <n v="500"/>
    <n v="485"/>
    <n v="1000"/>
    <x v="0"/>
    <s v="Valid"/>
    <n v="515"/>
  </r>
  <r>
    <n v="711"/>
    <x v="22"/>
    <d v="2023-09-23T00:00:00"/>
    <d v="1899-12-30T22:26:00"/>
    <n v="103"/>
    <s v="Male"/>
    <n v="26"/>
    <x v="2"/>
    <n v="3"/>
    <n v="500"/>
    <n v="575"/>
    <n v="1500"/>
    <x v="0"/>
    <s v="Valid"/>
    <n v="925"/>
  </r>
  <r>
    <n v="1711"/>
    <x v="22"/>
    <d v="2023-09-22T00:00:00"/>
    <d v="1899-12-30T20:33:00"/>
    <n v="113"/>
    <s v="Male"/>
    <n v="26"/>
    <x v="2"/>
    <n v="3"/>
    <n v="500"/>
    <n v="570"/>
    <n v="1500"/>
    <x v="0"/>
    <s v="Valid"/>
    <n v="930"/>
  </r>
  <r>
    <n v="109"/>
    <x v="22"/>
    <d v="2023-09-06T00:00:00"/>
    <d v="1899-12-30T19:57:00"/>
    <n v="94"/>
    <s v="Female"/>
    <n v="34"/>
    <x v="2"/>
    <n v="4"/>
    <n v="500"/>
    <n v="560"/>
    <n v="2000"/>
    <x v="0"/>
    <s v="Valid"/>
    <n v="1440"/>
  </r>
  <r>
    <n v="1109"/>
    <x v="16"/>
    <d v="2023-12-13T00:00:00"/>
    <d v="1899-12-30T22:13:00"/>
    <n v="114"/>
    <s v="Female"/>
    <n v="34"/>
    <x v="2"/>
    <n v="4"/>
    <n v="500"/>
    <n v="590"/>
    <n v="2000"/>
    <x v="0"/>
    <s v="Valid"/>
    <n v="1410"/>
  </r>
  <r>
    <n v="600"/>
    <x v="12"/>
    <d v="2023-10-09T00:00:00"/>
    <d v="1899-12-30T18:39:00"/>
    <n v="64"/>
    <s v="Female"/>
    <n v="59"/>
    <x v="0"/>
    <n v="2"/>
    <n v="500"/>
    <n v="525"/>
    <n v="1000"/>
    <x v="0"/>
    <s v="Valid"/>
    <n v="475"/>
  </r>
  <r>
    <n v="1600"/>
    <x v="10"/>
    <d v="2022-12-18T00:00:00"/>
    <d v="1899-12-30T17:44:00"/>
    <n v="67"/>
    <s v="Female"/>
    <n v="59"/>
    <x v="0"/>
    <n v="2"/>
    <n v="500"/>
    <n v="575"/>
    <n v="1000"/>
    <x v="0"/>
    <s v="Valid"/>
    <n v="425"/>
  </r>
  <r>
    <n v="937"/>
    <x v="8"/>
    <d v="2022-10-18T00:00:00"/>
    <d v="1899-12-30T19:57:00"/>
    <n v="50"/>
    <s v="Female"/>
    <n v="62"/>
    <x v="0"/>
    <n v="1"/>
    <n v="500"/>
    <n v="510"/>
    <n v="500"/>
    <x v="0"/>
    <s v="Valid"/>
    <n v="-10"/>
  </r>
  <r>
    <n v="1937"/>
    <x v="3"/>
    <d v="2022-09-07T00:00:00"/>
    <d v="1899-12-30T17:57:00"/>
    <n v="52"/>
    <s v="Female"/>
    <n v="62"/>
    <x v="0"/>
    <n v="1"/>
    <n v="500"/>
    <n v="620"/>
    <n v="500"/>
    <x v="0"/>
    <s v="Valid"/>
    <n v="-120"/>
  </r>
  <r>
    <n v="342"/>
    <x v="20"/>
    <d v="2023-11-05T00:00:00"/>
    <d v="1899-12-30T17:24:00"/>
    <n v="85"/>
    <s v="Female"/>
    <n v="43"/>
    <x v="1"/>
    <n v="4"/>
    <n v="500"/>
    <n v="500"/>
    <n v="2000"/>
    <x v="0"/>
    <s v="Valid"/>
    <n v="1500"/>
  </r>
  <r>
    <n v="1342"/>
    <x v="3"/>
    <d v="2022-09-18T00:00:00"/>
    <d v="1899-12-30T23:00:00"/>
    <n v="114"/>
    <s v="Female"/>
    <n v="43"/>
    <x v="1"/>
    <n v="4"/>
    <n v="500"/>
    <n v="485"/>
    <n v="2000"/>
    <x v="0"/>
    <s v="Valid"/>
    <n v="1515"/>
  </r>
  <r>
    <n v="503"/>
    <x v="12"/>
    <d v="2023-10-08T00:00:00"/>
    <d v="1899-12-30T20:06:00"/>
    <n v="63"/>
    <s v="Male"/>
    <n v="45"/>
    <x v="0"/>
    <n v="4"/>
    <n v="500"/>
    <n v="570"/>
    <n v="2000"/>
    <x v="0"/>
    <s v="Valid"/>
    <n v="1430"/>
  </r>
  <r>
    <n v="869"/>
    <x v="3"/>
    <d v="2022-09-08T00:00:00"/>
    <d v="1899-12-30T22:16:00"/>
    <n v="51"/>
    <s v="Male"/>
    <n v="37"/>
    <x v="0"/>
    <n v="3"/>
    <n v="500"/>
    <n v="485"/>
    <n v="1500"/>
    <x v="0"/>
    <s v="Valid"/>
    <n v="1015"/>
  </r>
  <r>
    <n v="1503"/>
    <x v="8"/>
    <d v="2022-10-17T00:00:00"/>
    <d v="1899-12-30T18:28:00"/>
    <n v="67"/>
    <s v="Male"/>
    <n v="45"/>
    <x v="0"/>
    <n v="4"/>
    <n v="500"/>
    <n v="605"/>
    <n v="2000"/>
    <x v="0"/>
    <s v="Valid"/>
    <n v="1395"/>
  </r>
  <r>
    <n v="1869"/>
    <x v="8"/>
    <d v="2022-10-23T00:00:00"/>
    <d v="1899-12-30T19:51:00"/>
    <n v="113"/>
    <s v="Male"/>
    <n v="37"/>
    <x v="0"/>
    <n v="3"/>
    <n v="500"/>
    <n v="605"/>
    <n v="1500"/>
    <x v="0"/>
    <s v="Valid"/>
    <n v="895"/>
  </r>
  <r>
    <n v="124"/>
    <x v="10"/>
    <d v="2022-12-24T00:00:00"/>
    <d v="1899-12-30T21:17:00"/>
    <n v="83"/>
    <s v="Male"/>
    <n v="33"/>
    <x v="1"/>
    <n v="4"/>
    <n v="500"/>
    <n v="515"/>
    <n v="2000"/>
    <x v="0"/>
    <s v="Valid"/>
    <n v="1485"/>
  </r>
  <r>
    <n v="677"/>
    <x v="10"/>
    <d v="2022-12-17T00:00:00"/>
    <d v="1899-12-30T21:13:00"/>
    <n v="65"/>
    <s v="Female"/>
    <n v="19"/>
    <x v="0"/>
    <n v="3"/>
    <n v="500"/>
    <n v="555"/>
    <n v="1500"/>
    <x v="0"/>
    <s v="Valid"/>
    <n v="945"/>
  </r>
  <r>
    <n v="1124"/>
    <x v="12"/>
    <d v="2023-10-06T00:00:00"/>
    <d v="1899-12-30T20:04:00"/>
    <n v="83"/>
    <s v="Male"/>
    <n v="33"/>
    <x v="1"/>
    <n v="4"/>
    <n v="500"/>
    <n v="515"/>
    <n v="2000"/>
    <x v="0"/>
    <s v="Valid"/>
    <n v="1485"/>
  </r>
  <r>
    <n v="1677"/>
    <x v="8"/>
    <d v="2022-10-02T00:00:00"/>
    <d v="1899-12-30T20:51:00"/>
    <n v="84"/>
    <s v="Female"/>
    <n v="19"/>
    <x v="0"/>
    <n v="3"/>
    <n v="500"/>
    <n v="490"/>
    <n v="1500"/>
    <x v="0"/>
    <s v="Valid"/>
    <n v="1010"/>
  </r>
  <r>
    <n v="710"/>
    <x v="3"/>
    <d v="2022-09-03T00:00:00"/>
    <d v="1899-12-30T21:11:00"/>
    <n v="71"/>
    <s v="Female"/>
    <n v="26"/>
    <x v="2"/>
    <n v="3"/>
    <n v="500"/>
    <n v="495"/>
    <n v="1500"/>
    <x v="0"/>
    <s v="Valid"/>
    <n v="1005"/>
  </r>
  <r>
    <n v="1710"/>
    <x v="8"/>
    <d v="2022-10-23T00:00:00"/>
    <d v="1899-12-30T20:14:00"/>
    <n v="104"/>
    <s v="Female"/>
    <n v="26"/>
    <x v="2"/>
    <n v="3"/>
    <n v="500"/>
    <n v="610"/>
    <n v="1500"/>
    <x v="0"/>
    <s v="Valid"/>
    <n v="890"/>
  </r>
  <r>
    <n v="507"/>
    <x v="10"/>
    <d v="2022-12-11T00:00:00"/>
    <d v="1899-12-30T21:40:00"/>
    <n v="52"/>
    <s v="Female"/>
    <n v="37"/>
    <x v="2"/>
    <n v="3"/>
    <n v="500"/>
    <n v="485"/>
    <n v="1500"/>
    <x v="0"/>
    <s v="Valid"/>
    <n v="1015"/>
  </r>
  <r>
    <n v="1507"/>
    <x v="10"/>
    <d v="2022-12-27T00:00:00"/>
    <d v="1899-12-30T22:14:00"/>
    <n v="95"/>
    <s v="Female"/>
    <n v="37"/>
    <x v="2"/>
    <n v="3"/>
    <n v="500"/>
    <n v="520"/>
    <n v="1500"/>
    <x v="0"/>
    <s v="Valid"/>
    <n v="980"/>
  </r>
  <r>
    <n v="784"/>
    <x v="12"/>
    <d v="2023-10-18T00:00:00"/>
    <d v="1899-12-30T22:44:00"/>
    <n v="71"/>
    <s v="Female"/>
    <n v="34"/>
    <x v="2"/>
    <n v="1"/>
    <n v="500"/>
    <n v="610"/>
    <n v="500"/>
    <x v="0"/>
    <s v="Valid"/>
    <n v="-110"/>
  </r>
  <r>
    <n v="1784"/>
    <x v="16"/>
    <d v="2023-12-28T00:00:00"/>
    <d v="1899-12-30T20:58:00"/>
    <n v="100"/>
    <s v="Female"/>
    <n v="34"/>
    <x v="2"/>
    <n v="1"/>
    <n v="500"/>
    <n v="500"/>
    <n v="500"/>
    <x v="0"/>
    <s v="Valid"/>
    <n v="0"/>
  </r>
  <r>
    <n v="47"/>
    <x v="8"/>
    <d v="2022-10-22T00:00:00"/>
    <d v="1899-12-30T17:22:00"/>
    <n v="96"/>
    <s v="Female"/>
    <n v="40"/>
    <x v="0"/>
    <n v="3"/>
    <n v="500"/>
    <n v="600"/>
    <n v="1500"/>
    <x v="0"/>
    <s v="Valid"/>
    <n v="900"/>
  </r>
  <r>
    <n v="1047"/>
    <x v="10"/>
    <d v="2022-12-04T00:00:00"/>
    <d v="1899-12-30T21:53:00"/>
    <n v="84"/>
    <s v="Female"/>
    <n v="40"/>
    <x v="0"/>
    <n v="3"/>
    <n v="500"/>
    <n v="490"/>
    <n v="1500"/>
    <x v="0"/>
    <s v="Valid"/>
    <n v="1010"/>
  </r>
  <r>
    <n v="761"/>
    <x v="6"/>
    <d v="2022-11-14T00:00:00"/>
    <d v="1899-12-30T22:16:00"/>
    <n v="64"/>
    <s v="Female"/>
    <n v="33"/>
    <x v="1"/>
    <n v="1"/>
    <n v="500"/>
    <n v="275"/>
    <n v="500"/>
    <x v="0"/>
    <s v="Valid"/>
    <n v="225"/>
  </r>
  <r>
    <n v="1761"/>
    <x v="16"/>
    <d v="2023-12-09T00:00:00"/>
    <d v="1899-12-30T18:46:00"/>
    <n v="72"/>
    <s v="Female"/>
    <n v="33"/>
    <x v="1"/>
    <n v="1"/>
    <n v="500"/>
    <n v="200"/>
    <n v="500"/>
    <x v="0"/>
    <s v="Valid"/>
    <n v="300"/>
  </r>
  <r>
    <n v="595"/>
    <x v="8"/>
    <d v="2022-10-15T00:00:00"/>
    <d v="1899-12-30T21:35:00"/>
    <n v="65"/>
    <s v="Female"/>
    <n v="18"/>
    <x v="1"/>
    <n v="4"/>
    <n v="500"/>
    <n v="210"/>
    <n v="2000"/>
    <x v="0"/>
    <s v="Valid"/>
    <n v="1790"/>
  </r>
  <r>
    <n v="1595"/>
    <x v="12"/>
    <d v="2023-10-04T00:00:00"/>
    <d v="1899-12-30T17:44:00"/>
    <n v="115"/>
    <s v="Female"/>
    <n v="18"/>
    <x v="1"/>
    <n v="4"/>
    <n v="500"/>
    <n v="255"/>
    <n v="2000"/>
    <x v="0"/>
    <s v="Valid"/>
    <n v="1745"/>
  </r>
  <r>
    <n v="369"/>
    <x v="16"/>
    <d v="2023-12-13T00:00:00"/>
    <d v="1899-12-30T19:42:00"/>
    <n v="111"/>
    <s v="Male"/>
    <n v="23"/>
    <x v="2"/>
    <n v="3"/>
    <n v="500"/>
    <n v="215"/>
    <n v="1500"/>
    <x v="0"/>
    <s v="Valid"/>
    <n v="1285"/>
  </r>
  <r>
    <n v="1369"/>
    <x v="8"/>
    <d v="2022-10-10T00:00:00"/>
    <d v="1899-12-30T21:14:00"/>
    <n v="64"/>
    <s v="Male"/>
    <n v="23"/>
    <x v="2"/>
    <n v="3"/>
    <n v="500"/>
    <n v="180"/>
    <n v="1500"/>
    <x v="0"/>
    <s v="Valid"/>
    <n v="1320"/>
  </r>
  <r>
    <n v="533"/>
    <x v="6"/>
    <d v="2022-11-13T00:00:00"/>
    <d v="1899-12-30T17:19:00"/>
    <n v="92"/>
    <s v="Male"/>
    <n v="19"/>
    <x v="2"/>
    <n v="3"/>
    <n v="500"/>
    <n v="155"/>
    <n v="1500"/>
    <x v="0"/>
    <s v="Valid"/>
    <n v="1345"/>
  </r>
  <r>
    <n v="1533"/>
    <x v="8"/>
    <d v="2022-10-29T00:00:00"/>
    <d v="1899-12-30T19:35:00"/>
    <n v="67"/>
    <s v="Male"/>
    <n v="19"/>
    <x v="2"/>
    <n v="3"/>
    <n v="500"/>
    <n v="255"/>
    <n v="1500"/>
    <x v="0"/>
    <s v="Valid"/>
    <n v="1245"/>
  </r>
  <r>
    <n v="169"/>
    <x v="6"/>
    <d v="2022-11-28T00:00:00"/>
    <d v="1899-12-30T18:47:00"/>
    <n v="73"/>
    <s v="Male"/>
    <n v="18"/>
    <x v="0"/>
    <n v="3"/>
    <n v="500"/>
    <n v="145"/>
    <n v="1500"/>
    <x v="0"/>
    <s v="Valid"/>
    <n v="1355"/>
  </r>
  <r>
    <n v="1169"/>
    <x v="3"/>
    <d v="2022-09-25T00:00:00"/>
    <d v="1899-12-30T17:12:00"/>
    <n v="101"/>
    <s v="Male"/>
    <n v="18"/>
    <x v="0"/>
    <n v="3"/>
    <n v="500"/>
    <n v="255"/>
    <n v="1500"/>
    <x v="0"/>
    <s v="Valid"/>
    <n v="1245"/>
  </r>
  <r>
    <n v="137"/>
    <x v="3"/>
    <d v="2022-09-10T00:00:00"/>
    <d v="1899-12-30T20:42:00"/>
    <n v="66"/>
    <s v="Male"/>
    <n v="46"/>
    <x v="0"/>
    <n v="2"/>
    <n v="500"/>
    <n v="125"/>
    <n v="1000"/>
    <x v="0"/>
    <s v="Valid"/>
    <n v="875"/>
  </r>
  <r>
    <n v="1137"/>
    <x v="6"/>
    <d v="2022-11-05T00:00:00"/>
    <d v="1899-12-30T22:34:00"/>
    <n v="104"/>
    <s v="Male"/>
    <n v="46"/>
    <x v="0"/>
    <n v="2"/>
    <n v="500"/>
    <n v="145"/>
    <n v="1000"/>
    <x v="0"/>
    <s v="Valid"/>
    <n v="855"/>
  </r>
  <r>
    <n v="74"/>
    <x v="12"/>
    <d v="2023-10-05T00:00:00"/>
    <d v="1899-12-30T19:50:00"/>
    <n v="56"/>
    <s v="Female"/>
    <n v="18"/>
    <x v="0"/>
    <n v="4"/>
    <n v="500"/>
    <n v="205"/>
    <n v="2000"/>
    <x v="0"/>
    <s v="Valid"/>
    <n v="1795"/>
  </r>
  <r>
    <n v="1074"/>
    <x v="8"/>
    <d v="2022-10-04T00:00:00"/>
    <d v="1899-12-30T20:18:00"/>
    <n v="67"/>
    <s v="Female"/>
    <n v="18"/>
    <x v="0"/>
    <n v="4"/>
    <n v="500"/>
    <n v="230"/>
    <n v="2000"/>
    <x v="0"/>
    <s v="Valid"/>
    <n v="1770"/>
  </r>
  <r>
    <n v="115"/>
    <x v="3"/>
    <d v="2022-09-02T00:00:00"/>
    <d v="1899-12-30T19:21:00"/>
    <n v="67"/>
    <s v="Male"/>
    <n v="51"/>
    <x v="1"/>
    <n v="3"/>
    <n v="500"/>
    <n v="255"/>
    <n v="1500"/>
    <x v="0"/>
    <s v="Valid"/>
    <n v="1245"/>
  </r>
  <r>
    <n v="1115"/>
    <x v="22"/>
    <d v="2023-09-21T00:00:00"/>
    <d v="1899-12-30T17:41:00"/>
    <n v="99"/>
    <s v="Male"/>
    <n v="51"/>
    <x v="1"/>
    <n v="3"/>
    <n v="500"/>
    <n v="180"/>
    <n v="1500"/>
    <x v="0"/>
    <s v="Valid"/>
    <n v="1320"/>
  </r>
  <r>
    <n v="215"/>
    <x v="8"/>
    <d v="2022-10-03T00:00:00"/>
    <d v="1899-12-30T21:20:00"/>
    <n v="101"/>
    <s v="Male"/>
    <n v="58"/>
    <x v="1"/>
    <n v="3"/>
    <n v="500"/>
    <n v="145"/>
    <n v="1500"/>
    <x v="0"/>
    <s v="Valid"/>
    <n v="1355"/>
  </r>
  <r>
    <n v="1215"/>
    <x v="6"/>
    <d v="2022-11-19T00:00:00"/>
    <d v="1899-12-30T20:44:00"/>
    <n v="107"/>
    <s v="Male"/>
    <n v="58"/>
    <x v="1"/>
    <n v="3"/>
    <n v="500"/>
    <n v="130"/>
    <n v="1500"/>
    <x v="0"/>
    <s v="Valid"/>
    <n v="1370"/>
  </r>
  <r>
    <n v="112"/>
    <x v="16"/>
    <d v="2023-12-25T00:00:00"/>
    <d v="1899-12-30T18:44:00"/>
    <n v="57"/>
    <s v="Male"/>
    <n v="37"/>
    <x v="1"/>
    <n v="3"/>
    <n v="500"/>
    <n v="165"/>
    <n v="1500"/>
    <x v="0"/>
    <s v="Valid"/>
    <n v="1335"/>
  </r>
  <r>
    <n v="608"/>
    <x v="10"/>
    <d v="2022-12-07T00:00:00"/>
    <d v="1899-12-30T22:19:00"/>
    <n v="112"/>
    <s v="Female"/>
    <n v="55"/>
    <x v="2"/>
    <n v="3"/>
    <n v="500"/>
    <n v="200"/>
    <n v="1500"/>
    <x v="0"/>
    <s v="Valid"/>
    <n v="1300"/>
  </r>
  <r>
    <n v="1112"/>
    <x v="10"/>
    <d v="2022-12-22T00:00:00"/>
    <d v="1899-12-30T17:11:00"/>
    <n v="94"/>
    <s v="Male"/>
    <n v="37"/>
    <x v="1"/>
    <n v="3"/>
    <n v="500"/>
    <n v="180"/>
    <n v="1500"/>
    <x v="0"/>
    <s v="Valid"/>
    <n v="1320"/>
  </r>
  <r>
    <n v="1608"/>
    <x v="22"/>
    <d v="2023-09-26T00:00:00"/>
    <d v="1899-12-30T21:01:00"/>
    <n v="87"/>
    <s v="Female"/>
    <n v="55"/>
    <x v="2"/>
    <n v="3"/>
    <n v="500"/>
    <n v="265"/>
    <n v="1500"/>
    <x v="0"/>
    <s v="Valid"/>
    <n v="1235"/>
  </r>
  <r>
    <n v="199"/>
    <x v="12"/>
    <d v="2023-10-26T00:00:00"/>
    <d v="1899-12-30T21:34:00"/>
    <n v="53"/>
    <s v="Male"/>
    <n v="45"/>
    <x v="0"/>
    <n v="3"/>
    <n v="500"/>
    <n v="135"/>
    <n v="1500"/>
    <x v="0"/>
    <s v="Valid"/>
    <n v="1365"/>
  </r>
  <r>
    <n v="1199"/>
    <x v="16"/>
    <d v="2023-12-16T00:00:00"/>
    <d v="1899-12-30T17:46:00"/>
    <n v="110"/>
    <s v="Male"/>
    <n v="45"/>
    <x v="0"/>
    <n v="3"/>
    <n v="500"/>
    <n v="190"/>
    <n v="1500"/>
    <x v="0"/>
    <s v="Valid"/>
    <n v="1310"/>
  </r>
  <r>
    <n v="65"/>
    <x v="10"/>
    <d v="2022-12-11T00:00:00"/>
    <d v="1899-12-30T20:03:00"/>
    <n v="84"/>
    <s v="Male"/>
    <n v="51"/>
    <x v="2"/>
    <n v="4"/>
    <n v="500"/>
    <n v="160"/>
    <n v="2000"/>
    <x v="0"/>
    <s v="Valid"/>
    <n v="1840"/>
  </r>
  <r>
    <n v="1065"/>
    <x v="12"/>
    <d v="2023-10-24T00:00:00"/>
    <d v="1899-12-30T15:16:00"/>
    <n v="76"/>
    <s v="Male"/>
    <n v="51"/>
    <x v="2"/>
    <n v="4"/>
    <n v="500"/>
    <n v="175"/>
    <n v="2000"/>
    <x v="0"/>
    <s v="Valid"/>
    <n v="1825"/>
  </r>
  <r>
    <n v="395"/>
    <x v="10"/>
    <d v="2022-12-01T00:00:00"/>
    <d v="1899-12-30T15:00:00"/>
    <n v="76"/>
    <s v="Male"/>
    <n v="50"/>
    <x v="2"/>
    <n v="2"/>
    <n v="500"/>
    <n v="175"/>
    <n v="1000"/>
    <x v="0"/>
    <s v="Valid"/>
    <n v="825"/>
  </r>
  <r>
    <n v="580"/>
    <x v="6"/>
    <d v="2022-11-14T00:00:00"/>
    <d v="1899-12-30T14:44:00"/>
    <n v="104"/>
    <s v="Female"/>
    <n v="31"/>
    <x v="1"/>
    <n v="3"/>
    <n v="500"/>
    <n v="200"/>
    <n v="1500"/>
    <x v="0"/>
    <s v="Valid"/>
    <n v="1300"/>
  </r>
  <r>
    <n v="1395"/>
    <x v="22"/>
    <d v="2023-09-10T00:00:00"/>
    <d v="1899-12-30T14:18:00"/>
    <n v="91"/>
    <s v="Male"/>
    <n v="50"/>
    <x v="2"/>
    <n v="2"/>
    <n v="500"/>
    <n v="130"/>
    <n v="1000"/>
    <x v="0"/>
    <s v="Valid"/>
    <n v="870"/>
  </r>
  <r>
    <n v="1580"/>
    <x v="22"/>
    <d v="2023-09-21T00:00:00"/>
    <d v="1899-12-30T15:47:00"/>
    <n v="105"/>
    <s v="Female"/>
    <n v="31"/>
    <x v="1"/>
    <n v="3"/>
    <n v="500"/>
    <n v="250"/>
    <n v="1500"/>
    <x v="0"/>
    <s v="Valid"/>
    <n v="1250"/>
  </r>
  <r>
    <n v="531"/>
    <x v="8"/>
    <d v="2022-10-08T00:00:00"/>
    <d v="1899-12-30T12:30:00"/>
    <n v="105"/>
    <s v="Male"/>
    <n v="31"/>
    <x v="2"/>
    <n v="1"/>
    <n v="500"/>
    <n v="275"/>
    <n v="500"/>
    <x v="0"/>
    <s v="Valid"/>
    <n v="225"/>
  </r>
  <r>
    <n v="1531"/>
    <x v="3"/>
    <d v="2022-09-22T00:00:00"/>
    <d v="1899-12-30T13:19:00"/>
    <n v="56"/>
    <s v="Male"/>
    <n v="31"/>
    <x v="2"/>
    <n v="1"/>
    <n v="500"/>
    <n v="250"/>
    <n v="500"/>
    <x v="0"/>
    <s v="Valid"/>
    <n v="250"/>
  </r>
  <r>
    <n v="453"/>
    <x v="8"/>
    <d v="2022-10-14T00:00:00"/>
    <d v="1899-12-30T14:45:00"/>
    <n v="90"/>
    <s v="Female"/>
    <n v="26"/>
    <x v="1"/>
    <n v="2"/>
    <n v="500"/>
    <n v="265"/>
    <n v="1000"/>
    <x v="0"/>
    <s v="Valid"/>
    <n v="735"/>
  </r>
  <r>
    <n v="1453"/>
    <x v="12"/>
    <d v="2023-10-14T00:00:00"/>
    <d v="1899-12-30T13:24:00"/>
    <n v="113"/>
    <s v="Female"/>
    <n v="26"/>
    <x v="1"/>
    <n v="2"/>
    <n v="500"/>
    <n v="205"/>
    <n v="1000"/>
    <x v="0"/>
    <s v="Valid"/>
    <n v="795"/>
  </r>
  <r>
    <n v="355"/>
    <x v="3"/>
    <d v="2022-09-23T00:00:00"/>
    <d v="1899-12-30T13:42:00"/>
    <n v="96"/>
    <s v="Female"/>
    <n v="55"/>
    <x v="2"/>
    <n v="1"/>
    <n v="500"/>
    <n v="260"/>
    <n v="500"/>
    <x v="0"/>
    <s v="Valid"/>
    <n v="240"/>
  </r>
  <r>
    <n v="700"/>
    <x v="3"/>
    <d v="2022-09-01T00:00:00"/>
    <d v="1899-12-30T15:07:00"/>
    <n v="61"/>
    <s v="Male"/>
    <n v="36"/>
    <x v="2"/>
    <n v="4"/>
    <n v="500"/>
    <n v="250"/>
    <n v="2000"/>
    <x v="0"/>
    <s v="Valid"/>
    <n v="1750"/>
  </r>
  <r>
    <n v="1355"/>
    <x v="22"/>
    <d v="2023-09-17T00:00:00"/>
    <d v="1899-12-30T13:19:00"/>
    <n v="107"/>
    <s v="Female"/>
    <n v="55"/>
    <x v="2"/>
    <n v="1"/>
    <n v="500"/>
    <n v="155"/>
    <n v="500"/>
    <x v="0"/>
    <s v="Valid"/>
    <n v="345"/>
  </r>
  <r>
    <n v="1700"/>
    <x v="22"/>
    <d v="2023-09-27T00:00:00"/>
    <d v="1899-12-30T16:10:00"/>
    <n v="87"/>
    <s v="Male"/>
    <n v="36"/>
    <x v="2"/>
    <n v="4"/>
    <n v="500"/>
    <n v="210"/>
    <n v="2000"/>
    <x v="0"/>
    <s v="Valid"/>
    <n v="1790"/>
  </r>
  <r>
    <n v="139"/>
    <x v="22"/>
    <d v="2023-09-15T00:00:00"/>
    <d v="1899-12-30T14:03:00"/>
    <n v="113"/>
    <s v="Male"/>
    <n v="36"/>
    <x v="0"/>
    <n v="4"/>
    <n v="500"/>
    <n v="230"/>
    <n v="2000"/>
    <x v="0"/>
    <s v="Valid"/>
    <n v="1770"/>
  </r>
  <r>
    <n v="1139"/>
    <x v="16"/>
    <d v="2023-12-21T00:00:00"/>
    <d v="1899-12-30T14:23:00"/>
    <n v="87"/>
    <s v="Male"/>
    <n v="36"/>
    <x v="0"/>
    <n v="4"/>
    <n v="500"/>
    <n v="230"/>
    <n v="2000"/>
    <x v="0"/>
    <s v="Valid"/>
    <n v="1770"/>
  </r>
  <r>
    <n v="153"/>
    <x v="20"/>
    <d v="2023-11-19T00:00:00"/>
    <d v="1899-12-30T15:52:00"/>
    <n v="62"/>
    <s v="Male"/>
    <n v="63"/>
    <x v="2"/>
    <n v="2"/>
    <n v="500"/>
    <n v="195"/>
    <n v="1000"/>
    <x v="0"/>
    <s v="Valid"/>
    <n v="805"/>
  </r>
  <r>
    <n v="1153"/>
    <x v="3"/>
    <d v="2022-09-24T00:00:00"/>
    <d v="1899-12-30T12:30:00"/>
    <n v="91"/>
    <s v="Male"/>
    <n v="63"/>
    <x v="2"/>
    <n v="2"/>
    <n v="500"/>
    <n v="265"/>
    <n v="1000"/>
    <x v="0"/>
    <s v="Valid"/>
    <n v="735"/>
  </r>
  <r>
    <n v="994"/>
    <x v="10"/>
    <d v="2022-12-24T00:00:00"/>
    <d v="1899-12-30T16:38:00"/>
    <n v="73"/>
    <s v="Female"/>
    <n v="51"/>
    <x v="0"/>
    <n v="2"/>
    <n v="500"/>
    <n v="125"/>
    <n v="1000"/>
    <x v="0"/>
    <s v="Valid"/>
    <n v="875"/>
  </r>
  <r>
    <n v="1994"/>
    <x v="6"/>
    <d v="2022-11-20T00:00:00"/>
    <d v="1899-12-30T13:27:00"/>
    <n v="86"/>
    <s v="Female"/>
    <n v="51"/>
    <x v="0"/>
    <n v="2"/>
    <n v="500"/>
    <n v="250"/>
    <n v="1000"/>
    <x v="0"/>
    <s v="Valid"/>
    <n v="750"/>
  </r>
  <r>
    <n v="662"/>
    <x v="10"/>
    <d v="2022-12-03T00:00:00"/>
    <d v="1899-12-30T12:40:00"/>
    <n v="100"/>
    <s v="Male"/>
    <n v="48"/>
    <x v="0"/>
    <n v="2"/>
    <n v="500"/>
    <n v="145"/>
    <n v="1000"/>
    <x v="0"/>
    <s v="Valid"/>
    <n v="855"/>
  </r>
  <r>
    <n v="1662"/>
    <x v="16"/>
    <d v="2023-12-20T00:00:00"/>
    <d v="1899-12-30T12:38:00"/>
    <n v="106"/>
    <s v="Male"/>
    <n v="48"/>
    <x v="0"/>
    <n v="2"/>
    <n v="500"/>
    <n v="240"/>
    <n v="1000"/>
    <x v="0"/>
    <s v="Valid"/>
    <n v="760"/>
  </r>
  <r>
    <n v="781"/>
    <x v="8"/>
    <d v="2022-10-19T00:00:00"/>
    <d v="1899-12-30T16:52:00"/>
    <n v="106"/>
    <s v="Male"/>
    <n v="35"/>
    <x v="0"/>
    <n v="1"/>
    <n v="500"/>
    <n v="225"/>
    <n v="500"/>
    <x v="0"/>
    <s v="Valid"/>
    <n v="275"/>
  </r>
  <r>
    <n v="1781"/>
    <x v="8"/>
    <d v="2022-10-13T00:00:00"/>
    <d v="1899-12-30T12:22:00"/>
    <n v="55"/>
    <s v="Male"/>
    <n v="35"/>
    <x v="0"/>
    <n v="1"/>
    <n v="500"/>
    <n v="225"/>
    <n v="500"/>
    <x v="0"/>
    <s v="Valid"/>
    <n v="275"/>
  </r>
  <r>
    <n v="664"/>
    <x v="3"/>
    <d v="2022-09-03T00:00:00"/>
    <d v="1899-12-30T16:52:00"/>
    <n v="109"/>
    <s v="Female"/>
    <n v="44"/>
    <x v="1"/>
    <n v="4"/>
    <n v="500"/>
    <n v="170"/>
    <n v="2000"/>
    <x v="0"/>
    <s v="Valid"/>
    <n v="1830"/>
  </r>
  <r>
    <n v="1664"/>
    <x v="16"/>
    <d v="2023-12-12T00:00:00"/>
    <d v="1899-12-30T16:44:00"/>
    <n v="99"/>
    <s v="Female"/>
    <n v="44"/>
    <x v="1"/>
    <n v="4"/>
    <n v="500"/>
    <n v="245"/>
    <n v="2000"/>
    <x v="0"/>
    <s v="Valid"/>
    <n v="1755"/>
  </r>
  <r>
    <n v="805"/>
    <x v="3"/>
    <d v="2022-09-03T00:00:00"/>
    <d v="1899-12-30T13:55:00"/>
    <n v="59"/>
    <s v="Female"/>
    <n v="30"/>
    <x v="0"/>
    <n v="3"/>
    <n v="500"/>
    <n v="155"/>
    <n v="1500"/>
    <x v="0"/>
    <s v="Valid"/>
    <n v="1345"/>
  </r>
  <r>
    <n v="1805"/>
    <x v="12"/>
    <d v="2023-10-10T00:00:00"/>
    <d v="1899-12-30T13:35:00"/>
    <n v="79"/>
    <s v="Female"/>
    <n v="30"/>
    <x v="0"/>
    <n v="3"/>
    <n v="500"/>
    <n v="225"/>
    <n v="1500"/>
    <x v="0"/>
    <s v="Valid"/>
    <n v="1275"/>
  </r>
  <r>
    <n v="211"/>
    <x v="3"/>
    <d v="2022-09-12T00:00:00"/>
    <d v="1899-12-30T14:02:00"/>
    <n v="54"/>
    <s v="Male"/>
    <n v="42"/>
    <x v="0"/>
    <n v="3"/>
    <n v="500"/>
    <n v="235"/>
    <n v="1500"/>
    <x v="0"/>
    <s v="Valid"/>
    <n v="1265"/>
  </r>
  <r>
    <n v="1211"/>
    <x v="20"/>
    <d v="2023-11-22T00:00:00"/>
    <d v="1899-12-30T14:59:00"/>
    <n v="82"/>
    <s v="Male"/>
    <n v="42"/>
    <x v="0"/>
    <n v="3"/>
    <n v="500"/>
    <n v="235"/>
    <n v="1500"/>
    <x v="0"/>
    <s v="Valid"/>
    <n v="1265"/>
  </r>
  <r>
    <n v="679"/>
    <x v="1"/>
    <d v="2022-08-26T00:00:00"/>
    <d v="1899-12-30T08:59:00"/>
    <n v="64"/>
    <s v="Female"/>
    <n v="18"/>
    <x v="0"/>
    <m/>
    <m/>
    <m/>
    <m/>
    <x v="1"/>
    <s v="Not checked"/>
    <s v=""/>
  </r>
  <r>
    <n v="746"/>
    <x v="9"/>
    <d v="2022-07-05T00:00:00"/>
    <d v="1899-12-30T11:33:00"/>
    <n v="42"/>
    <s v="Female"/>
    <n v="33"/>
    <x v="1"/>
    <m/>
    <m/>
    <m/>
    <m/>
    <x v="1"/>
    <s v="Not checked"/>
    <s v=""/>
  </r>
  <r>
    <n v="1225"/>
    <x v="5"/>
    <d v="2022-02-02T00:00:00"/>
    <d v="1899-12-30T09:51:00"/>
    <n v="137"/>
    <s v="Female"/>
    <n v="57"/>
    <x v="0"/>
    <m/>
    <m/>
    <m/>
    <m/>
    <x v="1"/>
    <s v="Not checked"/>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8AAE52-FA13-4A4D-B4AB-BE4CC3F8DEB2}" name="PivotTable3"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C7" firstHeaderRow="0" firstDataRow="1" firstDataCol="1" rowPageCount="1" colPageCount="1"/>
  <pivotFields count="15">
    <pivotField compact="0" outline="0" showAll="0"/>
    <pivotField compact="0" outline="0" showAll="0"/>
    <pivotField compact="0" numFmtId="14" outline="0" showAll="0"/>
    <pivotField compact="0" numFmtId="164"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dataField="1" compact="0" outline="0" showAll="0"/>
    <pivotField axis="axisPage" compact="0" outline="0" showAll="0">
      <items count="3">
        <item x="0"/>
        <item h="1" x="1"/>
        <item t="default"/>
      </items>
    </pivotField>
    <pivotField compact="0" outline="0" showAll="0"/>
    <pivotField dataField="1" compact="0" outline="0" showAll="0"/>
  </pivotFields>
  <rowFields count="1">
    <field x="7"/>
  </rowFields>
  <rowItems count="4">
    <i>
      <x/>
    </i>
    <i>
      <x v="1"/>
    </i>
    <i>
      <x v="2"/>
    </i>
    <i t="grand">
      <x/>
    </i>
  </rowItems>
  <colFields count="1">
    <field x="-2"/>
  </colFields>
  <colItems count="2">
    <i>
      <x/>
    </i>
    <i i="1">
      <x v="1"/>
    </i>
  </colItems>
  <pageFields count="1">
    <pageField fld="12" item="0" hier="-1"/>
  </pageFields>
  <dataFields count="2">
    <dataField name="Sum of total_sale" fld="11" baseField="0" baseItem="0"/>
    <dataField name="Sum of Profit" fld="14" baseField="0" baseItem="0"/>
  </dataField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B46B3C-44A4-4318-8482-5CC60F7AAD8C}" name="PivotTable4"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28" firstHeaderRow="1" firstDataRow="1" firstDataCol="1" rowPageCount="1" colPageCount="1"/>
  <pivotFields count="15">
    <pivotField compact="0" outline="0" showAll="0"/>
    <pivotField axis="axisRow" compact="0" outline="0" showAll="0" sortType="ascending">
      <items count="25">
        <item x="11"/>
        <item x="5"/>
        <item x="2"/>
        <item x="4"/>
        <item x="0"/>
        <item x="7"/>
        <item x="9"/>
        <item x="1"/>
        <item x="3"/>
        <item x="8"/>
        <item x="6"/>
        <item x="10"/>
        <item x="13"/>
        <item x="19"/>
        <item x="23"/>
        <item x="14"/>
        <item x="18"/>
        <item x="17"/>
        <item x="15"/>
        <item x="21"/>
        <item x="22"/>
        <item x="12"/>
        <item x="20"/>
        <item x="16"/>
        <item t="default"/>
      </items>
      <autoSortScope>
        <pivotArea dataOnly="0" outline="0" fieldPosition="0">
          <references count="1">
            <reference field="4294967294" count="1" selected="0">
              <x v="0"/>
            </reference>
          </references>
        </pivotArea>
      </autoSortScope>
    </pivotField>
    <pivotField compact="0" numFmtId="14" outline="0" showAll="0"/>
    <pivotField compact="0" numFmtId="16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dataField="1" compact="0" outline="0" showAll="0"/>
    <pivotField axis="axisPage" compact="0" outline="0" showAll="0">
      <items count="3">
        <item x="0"/>
        <item h="1" x="1"/>
        <item t="default"/>
      </items>
    </pivotField>
    <pivotField compact="0" outline="0" showAll="0"/>
    <pivotField compact="0" outline="0" showAll="0"/>
  </pivotFields>
  <rowFields count="1">
    <field x="1"/>
  </rowFields>
  <rowItems count="25">
    <i>
      <x v="1"/>
    </i>
    <i>
      <x v="14"/>
    </i>
    <i>
      <x v="5"/>
    </i>
    <i>
      <x v="7"/>
    </i>
    <i>
      <x v="15"/>
    </i>
    <i>
      <x v="6"/>
    </i>
    <i>
      <x/>
    </i>
    <i>
      <x v="12"/>
    </i>
    <i>
      <x v="2"/>
    </i>
    <i>
      <x v="17"/>
    </i>
    <i>
      <x v="4"/>
    </i>
    <i>
      <x v="13"/>
    </i>
    <i>
      <x v="16"/>
    </i>
    <i>
      <x v="19"/>
    </i>
    <i>
      <x v="3"/>
    </i>
    <i>
      <x v="18"/>
    </i>
    <i>
      <x v="22"/>
    </i>
    <i>
      <x v="21"/>
    </i>
    <i>
      <x v="8"/>
    </i>
    <i>
      <x v="20"/>
    </i>
    <i>
      <x v="9"/>
    </i>
    <i>
      <x v="10"/>
    </i>
    <i>
      <x v="23"/>
    </i>
    <i>
      <x v="11"/>
    </i>
    <i t="grand">
      <x/>
    </i>
  </rowItems>
  <colItems count="1">
    <i/>
  </colItems>
  <pageFields count="1">
    <pageField fld="12" item="0" hier="-1"/>
  </pageFields>
  <dataFields count="1">
    <dataField name="Sum of total_sale" fld="11"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538EC0-3392-4C36-B44C-8A6A5EC44966}" sourceName="category">
  <pivotTables>
    <pivotTable tabId="8" name="PivotTable4"/>
  </pivotTables>
  <data>
    <tabular pivotCacheId="109672033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DDF3D31-86B0-4FBA-8D6C-016609F38BEC}" cache="Slicer_category" caption="category"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562AFC-54E8-4776-A7B3-B36328FAC7CC}" name="Table1" displayName="Table1" ref="A1:O2001" totalsRowShown="0">
  <autoFilter ref="A1:O2001" xr:uid="{99562AFC-54E8-4776-A7B3-B36328FAC7CC}"/>
  <sortState xmlns:xlrd2="http://schemas.microsoft.com/office/spreadsheetml/2017/richdata2" ref="A2:N2001">
    <sortCondition ref="J1:J2001"/>
  </sortState>
  <tableColumns count="15">
    <tableColumn id="1" xr3:uid="{94EA0B60-05FC-40C2-AC05-D2B06B28F415}" name="transactions_id"/>
    <tableColumn id="15" xr3:uid="{CF8EE1C9-43CD-49A2-82FA-D285B3C7B04A}" name="Year_Month helper column" dataDxfId="6">
      <calculatedColumnFormula>TEXT(C2,"yyyy-mm")</calculatedColumnFormula>
    </tableColumn>
    <tableColumn id="2" xr3:uid="{A0CB006A-2792-4944-842E-1686F9B032E7}" name="sale_date" dataDxfId="5"/>
    <tableColumn id="3" xr3:uid="{83A1D166-F23D-4A7C-B3E1-C0BEF87C3C8E}" name="sale_time" dataDxfId="4"/>
    <tableColumn id="4" xr3:uid="{113848D8-0D11-41CF-9E72-7127545F3C24}" name="customer_id"/>
    <tableColumn id="5" xr3:uid="{C9656A6F-7EB1-46C3-A953-30AA410D5A62}" name="gender"/>
    <tableColumn id="6" xr3:uid="{3FEDB4BC-906E-4CE8-96D1-0DC23606FF69}" name="age"/>
    <tableColumn id="7" xr3:uid="{213730A3-4A9E-4250-875E-61E922A666CB}" name="category"/>
    <tableColumn id="8" xr3:uid="{33DFE086-C6B0-4E74-9D89-59ECA2384D76}" name="quantiy"/>
    <tableColumn id="9" xr3:uid="{7A4AA560-C2B7-4901-9D9C-C5387C03FC94}" name="price_per_unit" dataDxfId="3"/>
    <tableColumn id="10" xr3:uid="{80AAA40A-2DB7-4147-BD1A-E13AAC529628}" name="cogs"/>
    <tableColumn id="11" xr3:uid="{18757968-E03A-4911-BEF4-85325A87B600}" name="total_sale"/>
    <tableColumn id="12" xr3:uid="{B4CA9130-5843-4421-9D76-C429A69AAE43}" name="Sales_Data_status" dataDxfId="2">
      <calculatedColumnFormula>IF(OR(I2="",J2="",L2=""),"Incomplete","Complete")</calculatedColumnFormula>
    </tableColumn>
    <tableColumn id="13" xr3:uid="{3C4876A2-BE9D-4F91-BA92-8488B23130E5}" name="Sales_Calculation_check" dataDxfId="1">
      <calculatedColumnFormula>IF(M2="Incomplete","Not checked",IF(ROUND(I2*J2,2)=ROUND(L2,2),"Valid","Mismatch"))</calculatedColumnFormula>
    </tableColumn>
    <tableColumn id="14" xr3:uid="{D0BAFD47-7F57-4B68-A7F9-90B9EA4B73E4}" name="Profit" dataDxfId="0">
      <calculatedColumnFormula>IF(M2="Incomplete","",L2-K2)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6D376-BCE7-47D5-B433-B3E650CD9394}">
  <dimension ref="A1:K2001"/>
  <sheetViews>
    <sheetView workbookViewId="0">
      <selection activeCell="B1" sqref="B1"/>
    </sheetView>
  </sheetViews>
  <sheetFormatPr defaultColWidth="25.85546875" defaultRowHeight="15"/>
  <sheetData>
    <row r="1" spans="1:11">
      <c r="A1" t="s">
        <v>0</v>
      </c>
      <c r="B1" t="s">
        <v>1</v>
      </c>
      <c r="C1" t="s">
        <v>2</v>
      </c>
      <c r="D1" t="s">
        <v>3</v>
      </c>
      <c r="E1" t="s">
        <v>4</v>
      </c>
      <c r="F1" t="s">
        <v>5</v>
      </c>
      <c r="G1" t="s">
        <v>6</v>
      </c>
      <c r="H1" t="s">
        <v>7</v>
      </c>
      <c r="I1" t="s">
        <v>8</v>
      </c>
      <c r="J1" t="s">
        <v>9</v>
      </c>
      <c r="K1" t="s">
        <v>10</v>
      </c>
    </row>
    <row r="2" spans="1:11">
      <c r="A2">
        <v>180</v>
      </c>
      <c r="B2" s="1">
        <v>44870</v>
      </c>
      <c r="C2" s="2">
        <v>0.44930555555555557</v>
      </c>
      <c r="D2">
        <v>117</v>
      </c>
      <c r="E2" t="s">
        <v>11</v>
      </c>
      <c r="F2">
        <v>41</v>
      </c>
      <c r="G2" t="s">
        <v>12</v>
      </c>
      <c r="H2">
        <v>3</v>
      </c>
      <c r="I2">
        <v>300</v>
      </c>
      <c r="J2">
        <v>129</v>
      </c>
      <c r="K2">
        <v>900</v>
      </c>
    </row>
    <row r="3" spans="1:11">
      <c r="A3">
        <v>522</v>
      </c>
      <c r="B3" s="1">
        <v>44751</v>
      </c>
      <c r="C3" s="2">
        <v>0.45833333333333331</v>
      </c>
      <c r="D3">
        <v>52</v>
      </c>
      <c r="E3" t="s">
        <v>11</v>
      </c>
      <c r="F3">
        <v>46</v>
      </c>
      <c r="G3" t="s">
        <v>13</v>
      </c>
      <c r="H3">
        <v>3</v>
      </c>
      <c r="I3">
        <v>500</v>
      </c>
      <c r="J3">
        <v>145</v>
      </c>
      <c r="K3">
        <v>1500</v>
      </c>
    </row>
    <row r="4" spans="1:11">
      <c r="A4">
        <v>559</v>
      </c>
      <c r="B4" s="1">
        <v>44907</v>
      </c>
      <c r="C4" s="2">
        <v>0.45</v>
      </c>
      <c r="D4">
        <v>5</v>
      </c>
      <c r="E4" t="s">
        <v>14</v>
      </c>
      <c r="F4">
        <v>40</v>
      </c>
      <c r="G4" t="s">
        <v>12</v>
      </c>
      <c r="H4">
        <v>4</v>
      </c>
      <c r="I4">
        <v>300</v>
      </c>
      <c r="J4">
        <v>84</v>
      </c>
      <c r="K4">
        <v>1200</v>
      </c>
    </row>
    <row r="5" spans="1:11">
      <c r="A5">
        <v>1180</v>
      </c>
      <c r="B5" s="1">
        <v>44567</v>
      </c>
      <c r="C5" s="2">
        <v>0.37013888888888891</v>
      </c>
      <c r="D5">
        <v>85</v>
      </c>
      <c r="E5" t="s">
        <v>11</v>
      </c>
      <c r="F5">
        <v>41</v>
      </c>
      <c r="G5" t="s">
        <v>12</v>
      </c>
      <c r="H5">
        <v>3</v>
      </c>
      <c r="I5">
        <v>300</v>
      </c>
      <c r="J5">
        <v>129</v>
      </c>
      <c r="K5">
        <v>900</v>
      </c>
    </row>
    <row r="6" spans="1:11">
      <c r="A6">
        <v>1522</v>
      </c>
      <c r="B6" s="1">
        <v>44879</v>
      </c>
      <c r="C6" s="2">
        <v>0.3576388888888889</v>
      </c>
      <c r="D6">
        <v>48</v>
      </c>
      <c r="E6" t="s">
        <v>11</v>
      </c>
      <c r="F6">
        <v>46</v>
      </c>
      <c r="G6" t="s">
        <v>13</v>
      </c>
      <c r="H6">
        <v>3</v>
      </c>
      <c r="I6">
        <v>500</v>
      </c>
      <c r="J6">
        <v>235</v>
      </c>
      <c r="K6">
        <v>1500</v>
      </c>
    </row>
    <row r="7" spans="1:11">
      <c r="A7">
        <v>1559</v>
      </c>
      <c r="B7" s="1">
        <v>44793</v>
      </c>
      <c r="C7" s="2">
        <v>0.31944444444444442</v>
      </c>
      <c r="D7">
        <v>49</v>
      </c>
      <c r="E7" t="s">
        <v>14</v>
      </c>
      <c r="F7">
        <v>40</v>
      </c>
      <c r="G7" t="s">
        <v>12</v>
      </c>
      <c r="H7">
        <v>4</v>
      </c>
      <c r="I7">
        <v>300</v>
      </c>
      <c r="J7">
        <v>144</v>
      </c>
      <c r="K7">
        <v>1200</v>
      </c>
    </row>
    <row r="8" spans="1:11">
      <c r="A8">
        <v>163</v>
      </c>
      <c r="B8" s="1">
        <v>44865</v>
      </c>
      <c r="C8" s="2">
        <v>0.40138888888888891</v>
      </c>
      <c r="D8">
        <v>144</v>
      </c>
      <c r="E8" t="s">
        <v>14</v>
      </c>
      <c r="F8">
        <v>64</v>
      </c>
      <c r="G8" t="s">
        <v>12</v>
      </c>
      <c r="H8">
        <v>3</v>
      </c>
      <c r="I8">
        <v>50</v>
      </c>
      <c r="J8">
        <v>23</v>
      </c>
      <c r="K8">
        <v>150</v>
      </c>
    </row>
    <row r="9" spans="1:11">
      <c r="A9">
        <v>303</v>
      </c>
      <c r="B9" s="1">
        <v>44673</v>
      </c>
      <c r="C9" s="2">
        <v>0.46458333333333335</v>
      </c>
      <c r="D9">
        <v>54</v>
      </c>
      <c r="E9" t="s">
        <v>11</v>
      </c>
      <c r="F9">
        <v>19</v>
      </c>
      <c r="G9" t="s">
        <v>15</v>
      </c>
      <c r="H9">
        <v>3</v>
      </c>
      <c r="I9">
        <v>30</v>
      </c>
      <c r="J9">
        <v>14.7</v>
      </c>
      <c r="K9">
        <v>90</v>
      </c>
    </row>
    <row r="10" spans="1:11">
      <c r="A10">
        <v>421</v>
      </c>
      <c r="B10" s="1">
        <v>44659</v>
      </c>
      <c r="C10" s="2">
        <v>0.36319444444444443</v>
      </c>
      <c r="D10">
        <v>66</v>
      </c>
      <c r="E10" t="s">
        <v>14</v>
      </c>
      <c r="F10">
        <v>37</v>
      </c>
      <c r="G10" t="s">
        <v>12</v>
      </c>
      <c r="H10">
        <v>3</v>
      </c>
      <c r="I10">
        <v>500</v>
      </c>
      <c r="J10">
        <v>235</v>
      </c>
      <c r="K10">
        <v>1500</v>
      </c>
    </row>
    <row r="11" spans="1:11">
      <c r="A11">
        <v>979</v>
      </c>
      <c r="B11" s="1">
        <v>44699</v>
      </c>
      <c r="C11" s="2">
        <v>0.42916666666666664</v>
      </c>
      <c r="D11">
        <v>6</v>
      </c>
      <c r="E11" t="s">
        <v>14</v>
      </c>
      <c r="F11">
        <v>19</v>
      </c>
      <c r="G11" t="s">
        <v>13</v>
      </c>
      <c r="H11">
        <v>1</v>
      </c>
      <c r="I11">
        <v>25</v>
      </c>
      <c r="J11">
        <v>10.5</v>
      </c>
      <c r="K11">
        <v>25</v>
      </c>
    </row>
    <row r="12" spans="1:11">
      <c r="A12">
        <v>1163</v>
      </c>
      <c r="B12" s="1">
        <v>44685</v>
      </c>
      <c r="C12" s="2">
        <v>0.45277777777777778</v>
      </c>
      <c r="D12">
        <v>120</v>
      </c>
      <c r="E12" t="s">
        <v>14</v>
      </c>
      <c r="F12">
        <v>64</v>
      </c>
      <c r="G12" t="s">
        <v>12</v>
      </c>
      <c r="H12">
        <v>3</v>
      </c>
      <c r="I12">
        <v>50</v>
      </c>
      <c r="J12">
        <v>27</v>
      </c>
      <c r="K12">
        <v>150</v>
      </c>
    </row>
    <row r="13" spans="1:11">
      <c r="A13">
        <v>1303</v>
      </c>
      <c r="B13" s="1">
        <v>44639</v>
      </c>
      <c r="C13" s="2">
        <v>0.37430555555555556</v>
      </c>
      <c r="D13">
        <v>58</v>
      </c>
      <c r="E13" t="s">
        <v>11</v>
      </c>
      <c r="F13">
        <v>19</v>
      </c>
      <c r="G13" t="s">
        <v>15</v>
      </c>
      <c r="H13">
        <v>3</v>
      </c>
      <c r="I13">
        <v>30</v>
      </c>
      <c r="J13">
        <v>15</v>
      </c>
      <c r="K13">
        <v>90</v>
      </c>
    </row>
    <row r="14" spans="1:11">
      <c r="A14">
        <v>1421</v>
      </c>
      <c r="B14" s="1">
        <v>44578</v>
      </c>
      <c r="C14" s="2">
        <v>0.29652777777777778</v>
      </c>
      <c r="D14">
        <v>59</v>
      </c>
      <c r="E14" t="s">
        <v>14</v>
      </c>
      <c r="F14">
        <v>37</v>
      </c>
      <c r="G14" t="s">
        <v>12</v>
      </c>
      <c r="H14">
        <v>3</v>
      </c>
      <c r="I14">
        <v>500</v>
      </c>
      <c r="J14">
        <v>185</v>
      </c>
      <c r="K14">
        <v>1500</v>
      </c>
    </row>
    <row r="15" spans="1:11">
      <c r="A15">
        <v>1979</v>
      </c>
      <c r="B15" s="1">
        <v>44790</v>
      </c>
      <c r="C15" s="2">
        <v>0.48194444444444445</v>
      </c>
      <c r="D15">
        <v>102</v>
      </c>
      <c r="E15" t="s">
        <v>14</v>
      </c>
      <c r="F15">
        <v>19</v>
      </c>
      <c r="G15" t="s">
        <v>13</v>
      </c>
      <c r="H15">
        <v>1</v>
      </c>
      <c r="I15">
        <v>25</v>
      </c>
      <c r="J15">
        <v>7.75</v>
      </c>
      <c r="K15">
        <v>25</v>
      </c>
    </row>
    <row r="16" spans="1:11">
      <c r="A16">
        <v>610</v>
      </c>
      <c r="B16" s="1">
        <v>44913</v>
      </c>
      <c r="C16" s="2">
        <v>0.28888888888888886</v>
      </c>
      <c r="D16">
        <v>137</v>
      </c>
      <c r="E16" t="s">
        <v>14</v>
      </c>
      <c r="F16">
        <v>26</v>
      </c>
      <c r="G16" t="s">
        <v>13</v>
      </c>
      <c r="H16">
        <v>2</v>
      </c>
      <c r="I16">
        <v>300</v>
      </c>
      <c r="J16">
        <v>93</v>
      </c>
      <c r="K16">
        <v>600</v>
      </c>
    </row>
    <row r="17" spans="1:11">
      <c r="A17">
        <v>1610</v>
      </c>
      <c r="B17" s="1">
        <v>44888</v>
      </c>
      <c r="C17" s="2">
        <v>0.42916666666666664</v>
      </c>
      <c r="D17">
        <v>1</v>
      </c>
      <c r="E17" t="s">
        <v>14</v>
      </c>
      <c r="F17">
        <v>26</v>
      </c>
      <c r="G17" t="s">
        <v>13</v>
      </c>
      <c r="H17">
        <v>2</v>
      </c>
      <c r="I17">
        <v>300</v>
      </c>
      <c r="J17">
        <v>102</v>
      </c>
      <c r="K17">
        <v>600</v>
      </c>
    </row>
    <row r="18" spans="1:11">
      <c r="A18">
        <v>32</v>
      </c>
      <c r="B18" s="1">
        <v>44758</v>
      </c>
      <c r="C18" s="2">
        <v>0.38263888888888886</v>
      </c>
      <c r="D18">
        <v>150</v>
      </c>
      <c r="E18" t="s">
        <v>11</v>
      </c>
      <c r="F18">
        <v>30</v>
      </c>
      <c r="G18" t="s">
        <v>13</v>
      </c>
      <c r="H18">
        <v>3</v>
      </c>
      <c r="I18">
        <v>30</v>
      </c>
      <c r="J18">
        <v>8.4</v>
      </c>
      <c r="K18">
        <v>90</v>
      </c>
    </row>
    <row r="19" spans="1:11">
      <c r="A19">
        <v>231</v>
      </c>
      <c r="B19" s="1">
        <v>44751</v>
      </c>
      <c r="C19" s="2">
        <v>0.29305555555555557</v>
      </c>
      <c r="D19">
        <v>50</v>
      </c>
      <c r="E19" t="s">
        <v>14</v>
      </c>
      <c r="F19">
        <v>23</v>
      </c>
      <c r="G19" t="s">
        <v>12</v>
      </c>
      <c r="H19">
        <v>3</v>
      </c>
      <c r="I19">
        <v>50</v>
      </c>
      <c r="J19">
        <v>26.5</v>
      </c>
      <c r="K19">
        <v>150</v>
      </c>
    </row>
    <row r="20" spans="1:11">
      <c r="A20">
        <v>683</v>
      </c>
      <c r="B20" s="1">
        <v>44626</v>
      </c>
      <c r="C20" s="2">
        <v>0.43194444444444446</v>
      </c>
      <c r="D20">
        <v>82</v>
      </c>
      <c r="E20" t="s">
        <v>11</v>
      </c>
      <c r="F20">
        <v>38</v>
      </c>
      <c r="G20" t="s">
        <v>13</v>
      </c>
      <c r="H20">
        <v>2</v>
      </c>
      <c r="I20">
        <v>500</v>
      </c>
      <c r="J20">
        <v>175</v>
      </c>
      <c r="K20">
        <v>1000</v>
      </c>
    </row>
    <row r="21" spans="1:11">
      <c r="A21">
        <v>1032</v>
      </c>
      <c r="B21" s="1">
        <v>44652</v>
      </c>
      <c r="C21" s="2">
        <v>0.34375</v>
      </c>
      <c r="D21">
        <v>1</v>
      </c>
      <c r="E21" t="s">
        <v>11</v>
      </c>
      <c r="F21">
        <v>30</v>
      </c>
      <c r="G21" t="s">
        <v>13</v>
      </c>
      <c r="H21">
        <v>3</v>
      </c>
      <c r="I21">
        <v>30</v>
      </c>
      <c r="J21">
        <v>10.5</v>
      </c>
      <c r="K21">
        <v>90</v>
      </c>
    </row>
    <row r="22" spans="1:11">
      <c r="A22">
        <v>1231</v>
      </c>
      <c r="B22" s="1">
        <v>44590</v>
      </c>
      <c r="C22" s="2">
        <v>0.2951388888888889</v>
      </c>
      <c r="D22">
        <v>12</v>
      </c>
      <c r="E22" t="s">
        <v>14</v>
      </c>
      <c r="F22">
        <v>23</v>
      </c>
      <c r="G22" t="s">
        <v>12</v>
      </c>
      <c r="H22">
        <v>3</v>
      </c>
      <c r="I22">
        <v>50</v>
      </c>
      <c r="J22">
        <v>23</v>
      </c>
      <c r="K22">
        <v>150</v>
      </c>
    </row>
    <row r="23" spans="1:11">
      <c r="A23">
        <v>1683</v>
      </c>
      <c r="B23" s="1">
        <v>44685</v>
      </c>
      <c r="C23" s="2">
        <v>0.30486111111111114</v>
      </c>
      <c r="D23">
        <v>98</v>
      </c>
      <c r="E23" t="s">
        <v>11</v>
      </c>
      <c r="F23">
        <v>38</v>
      </c>
      <c r="G23" t="s">
        <v>13</v>
      </c>
      <c r="H23">
        <v>2</v>
      </c>
      <c r="I23">
        <v>500</v>
      </c>
      <c r="J23">
        <v>220</v>
      </c>
      <c r="K23">
        <v>1000</v>
      </c>
    </row>
    <row r="24" spans="1:11">
      <c r="A24">
        <v>367</v>
      </c>
      <c r="B24" s="1">
        <v>44925</v>
      </c>
      <c r="C24" s="2">
        <v>0.29375000000000001</v>
      </c>
      <c r="D24">
        <v>123</v>
      </c>
      <c r="E24" t="s">
        <v>14</v>
      </c>
      <c r="F24">
        <v>57</v>
      </c>
      <c r="G24" t="s">
        <v>15</v>
      </c>
      <c r="H24">
        <v>1</v>
      </c>
      <c r="I24">
        <v>50</v>
      </c>
      <c r="J24">
        <v>18</v>
      </c>
      <c r="K24">
        <v>50</v>
      </c>
    </row>
    <row r="25" spans="1:11">
      <c r="A25">
        <v>391</v>
      </c>
      <c r="B25" s="1">
        <v>44645</v>
      </c>
      <c r="C25" s="2">
        <v>0.31736111111111109</v>
      </c>
      <c r="D25">
        <v>68</v>
      </c>
      <c r="E25" t="s">
        <v>11</v>
      </c>
      <c r="F25">
        <v>19</v>
      </c>
      <c r="G25" t="s">
        <v>13</v>
      </c>
      <c r="H25">
        <v>2</v>
      </c>
      <c r="I25">
        <v>25</v>
      </c>
      <c r="J25">
        <v>6.25</v>
      </c>
      <c r="K25">
        <v>50</v>
      </c>
    </row>
    <row r="26" spans="1:11">
      <c r="A26">
        <v>432</v>
      </c>
      <c r="B26" s="1">
        <v>44630</v>
      </c>
      <c r="C26" s="2">
        <v>0.47986111111111113</v>
      </c>
      <c r="D26">
        <v>17</v>
      </c>
      <c r="E26" t="s">
        <v>14</v>
      </c>
      <c r="G26" t="s">
        <v>15</v>
      </c>
      <c r="H26">
        <v>2</v>
      </c>
      <c r="I26">
        <v>500</v>
      </c>
      <c r="J26">
        <v>190</v>
      </c>
      <c r="K26">
        <v>1000</v>
      </c>
    </row>
    <row r="27" spans="1:11">
      <c r="A27">
        <v>1367</v>
      </c>
      <c r="B27" s="1">
        <v>44666</v>
      </c>
      <c r="C27" s="2">
        <v>0.48472222222222222</v>
      </c>
      <c r="D27">
        <v>16</v>
      </c>
      <c r="E27" t="s">
        <v>14</v>
      </c>
      <c r="G27" t="s">
        <v>15</v>
      </c>
      <c r="H27">
        <v>1</v>
      </c>
      <c r="I27">
        <v>50</v>
      </c>
      <c r="J27">
        <v>15.5</v>
      </c>
      <c r="K27">
        <v>50</v>
      </c>
    </row>
    <row r="28" spans="1:11">
      <c r="A28">
        <v>1391</v>
      </c>
      <c r="B28" s="1">
        <v>44621</v>
      </c>
      <c r="C28" s="2">
        <v>0.47847222222222224</v>
      </c>
      <c r="D28">
        <v>130</v>
      </c>
      <c r="E28" t="s">
        <v>11</v>
      </c>
      <c r="G28" t="s">
        <v>13</v>
      </c>
      <c r="H28">
        <v>2</v>
      </c>
      <c r="I28">
        <v>25</v>
      </c>
      <c r="J28">
        <v>9.25</v>
      </c>
      <c r="K28">
        <v>50</v>
      </c>
    </row>
    <row r="29" spans="1:11">
      <c r="A29">
        <v>1432</v>
      </c>
      <c r="B29" s="1">
        <v>44920</v>
      </c>
      <c r="C29" s="2">
        <v>0.26666666666666666</v>
      </c>
      <c r="D29">
        <v>67</v>
      </c>
      <c r="E29" t="s">
        <v>14</v>
      </c>
      <c r="G29" t="s">
        <v>15</v>
      </c>
      <c r="H29">
        <v>2</v>
      </c>
      <c r="I29">
        <v>500</v>
      </c>
      <c r="J29">
        <v>245</v>
      </c>
      <c r="K29">
        <v>1000</v>
      </c>
    </row>
    <row r="30" spans="1:11">
      <c r="A30">
        <v>150</v>
      </c>
      <c r="B30" s="1">
        <v>44664</v>
      </c>
      <c r="C30" s="2">
        <v>0.35069444444444442</v>
      </c>
      <c r="D30">
        <v>89</v>
      </c>
      <c r="E30" t="s">
        <v>14</v>
      </c>
      <c r="G30" t="s">
        <v>15</v>
      </c>
      <c r="H30">
        <v>4</v>
      </c>
      <c r="I30">
        <v>30</v>
      </c>
      <c r="J30">
        <v>16.2</v>
      </c>
      <c r="K30">
        <v>120</v>
      </c>
    </row>
    <row r="31" spans="1:11">
      <c r="A31">
        <v>845</v>
      </c>
      <c r="B31" s="1">
        <v>44861</v>
      </c>
      <c r="C31" s="2">
        <v>0.42499999999999999</v>
      </c>
      <c r="D31">
        <v>25</v>
      </c>
      <c r="E31" t="s">
        <v>11</v>
      </c>
      <c r="G31" t="s">
        <v>12</v>
      </c>
      <c r="H31">
        <v>1</v>
      </c>
      <c r="I31">
        <v>500</v>
      </c>
      <c r="J31">
        <v>145</v>
      </c>
      <c r="K31">
        <v>500</v>
      </c>
    </row>
    <row r="32" spans="1:11">
      <c r="A32">
        <v>1150</v>
      </c>
      <c r="B32" s="1">
        <v>44795</v>
      </c>
      <c r="C32" s="2">
        <v>0.41944444444444445</v>
      </c>
      <c r="D32">
        <v>77</v>
      </c>
      <c r="E32" t="s">
        <v>14</v>
      </c>
      <c r="G32" t="s">
        <v>15</v>
      </c>
      <c r="H32">
        <v>4</v>
      </c>
      <c r="I32">
        <v>30</v>
      </c>
      <c r="J32">
        <v>10.199999999999999</v>
      </c>
      <c r="K32">
        <v>120</v>
      </c>
    </row>
    <row r="33" spans="1:11">
      <c r="A33">
        <v>1845</v>
      </c>
      <c r="B33" s="1">
        <v>44705</v>
      </c>
      <c r="C33" s="2">
        <v>0.29583333333333334</v>
      </c>
      <c r="D33">
        <v>94</v>
      </c>
      <c r="E33" t="s">
        <v>11</v>
      </c>
      <c r="G33" t="s">
        <v>12</v>
      </c>
      <c r="H33">
        <v>1</v>
      </c>
      <c r="I33">
        <v>500</v>
      </c>
      <c r="J33">
        <v>185</v>
      </c>
      <c r="K33">
        <v>500</v>
      </c>
    </row>
    <row r="34" spans="1:11">
      <c r="A34">
        <v>797</v>
      </c>
      <c r="B34" s="1">
        <v>44820</v>
      </c>
      <c r="C34" s="2">
        <v>0.27638888888888891</v>
      </c>
      <c r="D34">
        <v>116</v>
      </c>
      <c r="E34" t="s">
        <v>11</v>
      </c>
      <c r="G34" t="s">
        <v>12</v>
      </c>
      <c r="H34">
        <v>3</v>
      </c>
      <c r="I34">
        <v>25</v>
      </c>
      <c r="J34">
        <v>10.75</v>
      </c>
      <c r="K34">
        <v>75</v>
      </c>
    </row>
    <row r="35" spans="1:11">
      <c r="A35">
        <v>921</v>
      </c>
      <c r="B35" s="1">
        <v>44832</v>
      </c>
      <c r="C35" s="2">
        <v>0.39861111111111114</v>
      </c>
      <c r="D35">
        <v>101</v>
      </c>
      <c r="E35" t="s">
        <v>11</v>
      </c>
      <c r="G35" t="s">
        <v>15</v>
      </c>
      <c r="H35">
        <v>3</v>
      </c>
      <c r="I35">
        <v>25</v>
      </c>
      <c r="J35">
        <v>8</v>
      </c>
      <c r="K35">
        <v>75</v>
      </c>
    </row>
    <row r="36" spans="1:11">
      <c r="A36">
        <v>1797</v>
      </c>
      <c r="B36" s="1">
        <v>44667</v>
      </c>
      <c r="C36" s="2">
        <v>0.4909722222222222</v>
      </c>
      <c r="D36">
        <v>147</v>
      </c>
      <c r="E36" t="s">
        <v>11</v>
      </c>
      <c r="F36">
        <v>40</v>
      </c>
      <c r="G36" t="s">
        <v>12</v>
      </c>
      <c r="H36">
        <v>3</v>
      </c>
      <c r="I36">
        <v>25</v>
      </c>
      <c r="J36">
        <v>12.25</v>
      </c>
      <c r="K36">
        <v>75</v>
      </c>
    </row>
    <row r="37" spans="1:11">
      <c r="A37">
        <v>1921</v>
      </c>
      <c r="B37" s="1">
        <v>44600</v>
      </c>
      <c r="C37" s="2">
        <v>0.29236111111111113</v>
      </c>
      <c r="D37">
        <v>77</v>
      </c>
      <c r="E37" t="s">
        <v>11</v>
      </c>
      <c r="F37">
        <v>51</v>
      </c>
      <c r="G37" t="s">
        <v>15</v>
      </c>
      <c r="H37">
        <v>3</v>
      </c>
      <c r="I37">
        <v>25</v>
      </c>
      <c r="J37">
        <v>7.5</v>
      </c>
      <c r="K37">
        <v>75</v>
      </c>
    </row>
    <row r="38" spans="1:11">
      <c r="A38">
        <v>291</v>
      </c>
      <c r="B38" s="1">
        <v>44887</v>
      </c>
      <c r="C38" s="2">
        <v>0.35347222222222224</v>
      </c>
      <c r="D38">
        <v>15</v>
      </c>
      <c r="E38" t="s">
        <v>11</v>
      </c>
      <c r="F38">
        <v>60</v>
      </c>
      <c r="G38" t="s">
        <v>12</v>
      </c>
      <c r="H38">
        <v>2</v>
      </c>
      <c r="I38">
        <v>300</v>
      </c>
      <c r="J38">
        <v>126</v>
      </c>
      <c r="K38">
        <v>600</v>
      </c>
    </row>
    <row r="39" spans="1:11">
      <c r="A39">
        <v>907</v>
      </c>
      <c r="B39" s="1">
        <v>44806</v>
      </c>
      <c r="C39" s="2">
        <v>0.26111111111111113</v>
      </c>
      <c r="D39">
        <v>145</v>
      </c>
      <c r="E39" t="s">
        <v>14</v>
      </c>
      <c r="F39">
        <v>45</v>
      </c>
      <c r="G39" t="s">
        <v>15</v>
      </c>
      <c r="H39">
        <v>1</v>
      </c>
      <c r="I39">
        <v>25</v>
      </c>
      <c r="J39">
        <v>8.5</v>
      </c>
      <c r="K39">
        <v>25</v>
      </c>
    </row>
    <row r="40" spans="1:11">
      <c r="A40">
        <v>1291</v>
      </c>
      <c r="B40" s="1">
        <v>44655</v>
      </c>
      <c r="C40" s="2">
        <v>0.47152777777777777</v>
      </c>
      <c r="D40">
        <v>72</v>
      </c>
      <c r="E40" t="s">
        <v>11</v>
      </c>
      <c r="F40">
        <v>60</v>
      </c>
      <c r="G40" t="s">
        <v>12</v>
      </c>
      <c r="H40">
        <v>2</v>
      </c>
      <c r="I40">
        <v>300</v>
      </c>
      <c r="J40">
        <v>153</v>
      </c>
      <c r="K40">
        <v>600</v>
      </c>
    </row>
    <row r="41" spans="1:11">
      <c r="A41">
        <v>1907</v>
      </c>
      <c r="B41" s="1">
        <v>44882</v>
      </c>
      <c r="C41" s="2">
        <v>0.47291666666666665</v>
      </c>
      <c r="D41">
        <v>115</v>
      </c>
      <c r="E41" t="s">
        <v>14</v>
      </c>
      <c r="F41">
        <v>45</v>
      </c>
      <c r="G41" t="s">
        <v>15</v>
      </c>
      <c r="H41">
        <v>1</v>
      </c>
      <c r="I41">
        <v>25</v>
      </c>
      <c r="J41">
        <v>9</v>
      </c>
      <c r="K41">
        <v>25</v>
      </c>
    </row>
    <row r="42" spans="1:11">
      <c r="A42">
        <v>860</v>
      </c>
      <c r="B42" s="1">
        <v>44662</v>
      </c>
      <c r="C42" s="2">
        <v>0.37361111111111112</v>
      </c>
      <c r="D42">
        <v>85</v>
      </c>
      <c r="E42" t="s">
        <v>11</v>
      </c>
      <c r="F42">
        <v>63</v>
      </c>
      <c r="G42" t="s">
        <v>12</v>
      </c>
      <c r="H42">
        <v>4</v>
      </c>
      <c r="I42">
        <v>50</v>
      </c>
      <c r="J42">
        <v>16</v>
      </c>
      <c r="K42">
        <v>200</v>
      </c>
    </row>
    <row r="43" spans="1:11">
      <c r="A43">
        <v>1860</v>
      </c>
      <c r="B43" s="1">
        <v>44632</v>
      </c>
      <c r="C43" s="2">
        <v>0.47291666666666665</v>
      </c>
      <c r="D43">
        <v>57</v>
      </c>
      <c r="E43" t="s">
        <v>11</v>
      </c>
      <c r="F43">
        <v>63</v>
      </c>
      <c r="G43" t="s">
        <v>12</v>
      </c>
      <c r="H43">
        <v>4</v>
      </c>
      <c r="I43">
        <v>50</v>
      </c>
      <c r="J43">
        <v>18</v>
      </c>
      <c r="K43">
        <v>200</v>
      </c>
    </row>
    <row r="44" spans="1:11">
      <c r="A44">
        <v>184</v>
      </c>
      <c r="B44" s="1">
        <v>44605</v>
      </c>
      <c r="C44" s="2">
        <v>0.28055555555555556</v>
      </c>
      <c r="D44">
        <v>128</v>
      </c>
      <c r="E44" t="s">
        <v>11</v>
      </c>
      <c r="F44">
        <v>31</v>
      </c>
      <c r="G44" t="s">
        <v>15</v>
      </c>
      <c r="H44">
        <v>4</v>
      </c>
      <c r="I44">
        <v>50</v>
      </c>
      <c r="J44">
        <v>17</v>
      </c>
      <c r="K44">
        <v>200</v>
      </c>
    </row>
    <row r="45" spans="1:11">
      <c r="A45">
        <v>734</v>
      </c>
      <c r="B45" s="1">
        <v>44632</v>
      </c>
      <c r="C45" s="2">
        <v>0.37083333333333335</v>
      </c>
      <c r="D45">
        <v>77</v>
      </c>
      <c r="E45" t="s">
        <v>14</v>
      </c>
      <c r="F45">
        <v>27</v>
      </c>
      <c r="G45" t="s">
        <v>12</v>
      </c>
      <c r="H45">
        <v>1</v>
      </c>
      <c r="I45">
        <v>30</v>
      </c>
      <c r="J45">
        <v>15.6</v>
      </c>
      <c r="K45">
        <v>30</v>
      </c>
    </row>
    <row r="46" spans="1:11">
      <c r="A46">
        <v>1184</v>
      </c>
      <c r="B46" s="1">
        <v>44604</v>
      </c>
      <c r="C46" s="2">
        <v>0.3527777777777778</v>
      </c>
      <c r="D46">
        <v>23</v>
      </c>
      <c r="E46" t="s">
        <v>11</v>
      </c>
      <c r="F46">
        <v>31</v>
      </c>
      <c r="G46" t="s">
        <v>15</v>
      </c>
      <c r="H46">
        <v>4</v>
      </c>
      <c r="I46">
        <v>50</v>
      </c>
      <c r="J46">
        <v>27.5</v>
      </c>
      <c r="K46">
        <v>200</v>
      </c>
    </row>
    <row r="47" spans="1:11">
      <c r="A47">
        <v>1734</v>
      </c>
      <c r="B47" s="1">
        <v>44620</v>
      </c>
      <c r="C47" s="2">
        <v>0.37361111111111112</v>
      </c>
      <c r="D47">
        <v>72</v>
      </c>
      <c r="E47" t="s">
        <v>14</v>
      </c>
      <c r="F47">
        <v>27</v>
      </c>
      <c r="G47" t="s">
        <v>12</v>
      </c>
      <c r="H47">
        <v>1</v>
      </c>
      <c r="I47">
        <v>30</v>
      </c>
      <c r="J47">
        <v>14.4</v>
      </c>
      <c r="K47">
        <v>30</v>
      </c>
    </row>
    <row r="48" spans="1:11">
      <c r="A48">
        <v>225</v>
      </c>
      <c r="B48" s="1">
        <v>44625</v>
      </c>
      <c r="C48" s="2">
        <v>0.31736111111111109</v>
      </c>
      <c r="D48">
        <v>85</v>
      </c>
      <c r="E48" t="s">
        <v>14</v>
      </c>
      <c r="F48">
        <v>57</v>
      </c>
      <c r="G48" t="s">
        <v>13</v>
      </c>
      <c r="H48">
        <v>4</v>
      </c>
      <c r="I48">
        <v>25</v>
      </c>
      <c r="J48">
        <v>12.75</v>
      </c>
      <c r="K48">
        <v>100</v>
      </c>
    </row>
    <row r="49" spans="1:11">
      <c r="A49">
        <v>679</v>
      </c>
      <c r="B49" s="1">
        <v>44799</v>
      </c>
      <c r="C49" s="2">
        <v>0.37430555555555556</v>
      </c>
      <c r="D49">
        <v>64</v>
      </c>
      <c r="E49" t="s">
        <v>14</v>
      </c>
      <c r="F49">
        <v>18</v>
      </c>
      <c r="G49" t="s">
        <v>13</v>
      </c>
    </row>
    <row r="50" spans="1:11">
      <c r="A50">
        <v>746</v>
      </c>
      <c r="B50" s="1">
        <v>44747</v>
      </c>
      <c r="C50" s="2">
        <v>0.48125000000000001</v>
      </c>
      <c r="D50">
        <v>42</v>
      </c>
      <c r="E50" t="s">
        <v>14</v>
      </c>
      <c r="F50">
        <v>33</v>
      </c>
      <c r="G50" t="s">
        <v>12</v>
      </c>
    </row>
    <row r="51" spans="1:11">
      <c r="A51">
        <v>1225</v>
      </c>
      <c r="B51" s="1">
        <v>44594</v>
      </c>
      <c r="C51" s="2">
        <v>0.41041666666666665</v>
      </c>
      <c r="D51">
        <v>137</v>
      </c>
      <c r="E51" t="s">
        <v>14</v>
      </c>
      <c r="F51">
        <v>57</v>
      </c>
      <c r="G51" t="s">
        <v>13</v>
      </c>
    </row>
    <row r="52" spans="1:11">
      <c r="A52">
        <v>1679</v>
      </c>
      <c r="B52" s="1">
        <v>44827</v>
      </c>
      <c r="C52" s="2">
        <v>0.33888888888888891</v>
      </c>
      <c r="D52">
        <v>71</v>
      </c>
      <c r="E52" t="s">
        <v>14</v>
      </c>
      <c r="F52">
        <v>18</v>
      </c>
      <c r="G52" t="s">
        <v>13</v>
      </c>
      <c r="H52">
        <v>3</v>
      </c>
      <c r="I52">
        <v>30</v>
      </c>
      <c r="J52">
        <v>15.3</v>
      </c>
      <c r="K52">
        <v>90</v>
      </c>
    </row>
    <row r="53" spans="1:11">
      <c r="A53">
        <v>1746</v>
      </c>
      <c r="B53" s="1">
        <v>44725</v>
      </c>
      <c r="C53" s="2">
        <v>0.33263888888888887</v>
      </c>
      <c r="D53">
        <v>88</v>
      </c>
      <c r="E53" t="s">
        <v>14</v>
      </c>
      <c r="F53">
        <v>33</v>
      </c>
      <c r="G53" t="s">
        <v>12</v>
      </c>
      <c r="H53">
        <v>3</v>
      </c>
      <c r="I53">
        <v>30</v>
      </c>
      <c r="J53">
        <v>10.8</v>
      </c>
      <c r="K53">
        <v>90</v>
      </c>
    </row>
    <row r="54" spans="1:11">
      <c r="A54">
        <v>3</v>
      </c>
      <c r="B54" s="1">
        <v>44726</v>
      </c>
      <c r="C54" s="2">
        <v>0.29722222222222222</v>
      </c>
      <c r="D54">
        <v>114</v>
      </c>
      <c r="E54" t="s">
        <v>11</v>
      </c>
      <c r="F54">
        <v>50</v>
      </c>
      <c r="G54" t="s">
        <v>15</v>
      </c>
      <c r="H54">
        <v>1</v>
      </c>
      <c r="I54">
        <v>30</v>
      </c>
      <c r="J54">
        <v>8.1</v>
      </c>
      <c r="K54">
        <v>30</v>
      </c>
    </row>
    <row r="55" spans="1:11">
      <c r="A55">
        <v>464</v>
      </c>
      <c r="B55" s="1">
        <v>44626</v>
      </c>
      <c r="C55" s="2">
        <v>0.46736111111111112</v>
      </c>
      <c r="D55">
        <v>24</v>
      </c>
      <c r="E55" t="s">
        <v>11</v>
      </c>
      <c r="F55">
        <v>38</v>
      </c>
      <c r="G55" t="s">
        <v>15</v>
      </c>
      <c r="H55">
        <v>2</v>
      </c>
      <c r="I55">
        <v>300</v>
      </c>
      <c r="J55">
        <v>75</v>
      </c>
      <c r="K55">
        <v>600</v>
      </c>
    </row>
    <row r="56" spans="1:11">
      <c r="A56">
        <v>484</v>
      </c>
      <c r="B56" s="1">
        <v>44633</v>
      </c>
      <c r="C56" s="2">
        <v>0.32777777777777778</v>
      </c>
      <c r="D56">
        <v>135</v>
      </c>
      <c r="E56" t="s">
        <v>14</v>
      </c>
      <c r="F56">
        <v>19</v>
      </c>
      <c r="G56" t="s">
        <v>12</v>
      </c>
      <c r="H56">
        <v>4</v>
      </c>
      <c r="I56">
        <v>300</v>
      </c>
      <c r="J56">
        <v>75</v>
      </c>
      <c r="K56">
        <v>1200</v>
      </c>
    </row>
    <row r="57" spans="1:11">
      <c r="A57">
        <v>591</v>
      </c>
      <c r="B57" s="1">
        <v>44641</v>
      </c>
      <c r="C57" s="2">
        <v>0.35972222222222222</v>
      </c>
      <c r="D57">
        <v>94</v>
      </c>
      <c r="E57" t="s">
        <v>11</v>
      </c>
      <c r="F57">
        <v>53</v>
      </c>
      <c r="G57" t="s">
        <v>15</v>
      </c>
      <c r="H57">
        <v>4</v>
      </c>
      <c r="I57">
        <v>25</v>
      </c>
      <c r="J57">
        <v>6.5</v>
      </c>
      <c r="K57">
        <v>100</v>
      </c>
    </row>
    <row r="58" spans="1:11">
      <c r="A58">
        <v>1003</v>
      </c>
      <c r="B58" s="1">
        <v>44587</v>
      </c>
      <c r="C58" s="2">
        <v>0.33263888888888887</v>
      </c>
      <c r="D58">
        <v>80</v>
      </c>
      <c r="E58" t="s">
        <v>11</v>
      </c>
      <c r="F58">
        <v>50</v>
      </c>
      <c r="G58" t="s">
        <v>15</v>
      </c>
      <c r="H58">
        <v>1</v>
      </c>
      <c r="I58">
        <v>30</v>
      </c>
      <c r="J58">
        <v>15.9</v>
      </c>
      <c r="K58">
        <v>30</v>
      </c>
    </row>
    <row r="59" spans="1:11">
      <c r="A59">
        <v>1464</v>
      </c>
      <c r="B59" s="1">
        <v>44878</v>
      </c>
      <c r="C59" s="2">
        <v>0.42083333333333334</v>
      </c>
      <c r="D59">
        <v>80</v>
      </c>
      <c r="E59" t="s">
        <v>11</v>
      </c>
      <c r="F59">
        <v>38</v>
      </c>
      <c r="G59" t="s">
        <v>15</v>
      </c>
      <c r="H59">
        <v>2</v>
      </c>
      <c r="I59">
        <v>300</v>
      </c>
      <c r="J59">
        <v>126</v>
      </c>
      <c r="K59">
        <v>600</v>
      </c>
    </row>
    <row r="60" spans="1:11">
      <c r="A60">
        <v>1484</v>
      </c>
      <c r="B60" s="1">
        <v>44888</v>
      </c>
      <c r="C60" s="2">
        <v>0.39513888888888887</v>
      </c>
      <c r="D60">
        <v>22</v>
      </c>
      <c r="E60" t="s">
        <v>14</v>
      </c>
      <c r="F60">
        <v>19</v>
      </c>
      <c r="G60" t="s">
        <v>12</v>
      </c>
      <c r="H60">
        <v>4</v>
      </c>
      <c r="I60">
        <v>300</v>
      </c>
      <c r="J60">
        <v>147</v>
      </c>
      <c r="K60">
        <v>1200</v>
      </c>
    </row>
    <row r="61" spans="1:11">
      <c r="A61">
        <v>1591</v>
      </c>
      <c r="B61" s="1">
        <v>44833</v>
      </c>
      <c r="C61" s="2">
        <v>0.45833333333333331</v>
      </c>
      <c r="D61">
        <v>62</v>
      </c>
      <c r="E61" t="s">
        <v>11</v>
      </c>
      <c r="F61">
        <v>53</v>
      </c>
      <c r="G61" t="s">
        <v>15</v>
      </c>
      <c r="H61">
        <v>4</v>
      </c>
      <c r="I61">
        <v>25</v>
      </c>
      <c r="J61">
        <v>7</v>
      </c>
      <c r="K61">
        <v>100</v>
      </c>
    </row>
    <row r="62" spans="1:11">
      <c r="A62">
        <v>21</v>
      </c>
      <c r="B62" s="1">
        <v>44753</v>
      </c>
      <c r="C62" s="2">
        <v>0.31458333333333333</v>
      </c>
      <c r="D62">
        <v>59</v>
      </c>
      <c r="E62" t="s">
        <v>14</v>
      </c>
      <c r="F62">
        <v>50</v>
      </c>
      <c r="G62" t="s">
        <v>13</v>
      </c>
      <c r="H62">
        <v>1</v>
      </c>
      <c r="I62">
        <v>500</v>
      </c>
      <c r="J62">
        <v>275</v>
      </c>
      <c r="K62">
        <v>500</v>
      </c>
    </row>
    <row r="63" spans="1:11">
      <c r="A63">
        <v>708</v>
      </c>
      <c r="B63" s="1">
        <v>44657</v>
      </c>
      <c r="C63" s="2">
        <v>0.35972222222222222</v>
      </c>
      <c r="D63">
        <v>62</v>
      </c>
      <c r="E63" t="s">
        <v>14</v>
      </c>
      <c r="F63">
        <v>43</v>
      </c>
      <c r="G63" t="s">
        <v>13</v>
      </c>
      <c r="H63">
        <v>3</v>
      </c>
      <c r="I63">
        <v>300</v>
      </c>
      <c r="J63">
        <v>87</v>
      </c>
      <c r="K63">
        <v>900</v>
      </c>
    </row>
    <row r="64" spans="1:11">
      <c r="A64">
        <v>713</v>
      </c>
      <c r="B64" s="1">
        <v>44667</v>
      </c>
      <c r="C64" s="2">
        <v>0.48819444444444443</v>
      </c>
      <c r="D64">
        <v>39</v>
      </c>
      <c r="E64" t="s">
        <v>11</v>
      </c>
      <c r="F64">
        <v>34</v>
      </c>
      <c r="G64" t="s">
        <v>13</v>
      </c>
      <c r="H64">
        <v>3</v>
      </c>
      <c r="I64">
        <v>25</v>
      </c>
      <c r="J64">
        <v>11.25</v>
      </c>
      <c r="K64">
        <v>75</v>
      </c>
    </row>
    <row r="65" spans="1:11">
      <c r="A65">
        <v>768</v>
      </c>
      <c r="B65" s="1">
        <v>44739</v>
      </c>
      <c r="C65" s="2">
        <v>0.28472222222222221</v>
      </c>
      <c r="D65">
        <v>58</v>
      </c>
      <c r="E65" t="s">
        <v>14</v>
      </c>
      <c r="F65">
        <v>24</v>
      </c>
      <c r="G65" t="s">
        <v>13</v>
      </c>
      <c r="H65">
        <v>3</v>
      </c>
      <c r="I65">
        <v>25</v>
      </c>
      <c r="J65">
        <v>10.5</v>
      </c>
      <c r="K65">
        <v>75</v>
      </c>
    </row>
    <row r="66" spans="1:11">
      <c r="A66">
        <v>1021</v>
      </c>
      <c r="B66" s="1">
        <v>44723</v>
      </c>
      <c r="C66" s="2">
        <v>0.42986111111111114</v>
      </c>
      <c r="D66">
        <v>44</v>
      </c>
      <c r="E66" t="s">
        <v>14</v>
      </c>
      <c r="F66">
        <v>50</v>
      </c>
      <c r="G66" t="s">
        <v>13</v>
      </c>
      <c r="H66">
        <v>1</v>
      </c>
      <c r="I66">
        <v>500</v>
      </c>
      <c r="J66">
        <v>155</v>
      </c>
      <c r="K66">
        <v>500</v>
      </c>
    </row>
    <row r="67" spans="1:11">
      <c r="A67">
        <v>1708</v>
      </c>
      <c r="B67" s="1">
        <v>44600</v>
      </c>
      <c r="C67" s="2">
        <v>0.32430555555555557</v>
      </c>
      <c r="D67">
        <v>41</v>
      </c>
      <c r="E67" t="s">
        <v>14</v>
      </c>
      <c r="F67">
        <v>43</v>
      </c>
      <c r="G67" t="s">
        <v>13</v>
      </c>
      <c r="H67">
        <v>3</v>
      </c>
      <c r="I67">
        <v>300</v>
      </c>
      <c r="J67">
        <v>162</v>
      </c>
      <c r="K67">
        <v>900</v>
      </c>
    </row>
    <row r="68" spans="1:11">
      <c r="A68">
        <v>1713</v>
      </c>
      <c r="B68" s="1">
        <v>44837</v>
      </c>
      <c r="C68" s="2">
        <v>0.4236111111111111</v>
      </c>
      <c r="D68">
        <v>90</v>
      </c>
      <c r="E68" t="s">
        <v>11</v>
      </c>
      <c r="F68">
        <v>34</v>
      </c>
      <c r="G68" t="s">
        <v>13</v>
      </c>
      <c r="H68">
        <v>3</v>
      </c>
      <c r="I68">
        <v>25</v>
      </c>
      <c r="J68">
        <v>10.75</v>
      </c>
      <c r="K68">
        <v>75</v>
      </c>
    </row>
    <row r="69" spans="1:11">
      <c r="A69">
        <v>1768</v>
      </c>
      <c r="B69" s="1">
        <v>44773</v>
      </c>
      <c r="C69" s="2">
        <v>0.41111111111111109</v>
      </c>
      <c r="D69">
        <v>85</v>
      </c>
      <c r="E69" t="s">
        <v>14</v>
      </c>
      <c r="F69">
        <v>24</v>
      </c>
      <c r="G69" t="s">
        <v>13</v>
      </c>
      <c r="H69">
        <v>3</v>
      </c>
      <c r="I69">
        <v>25</v>
      </c>
      <c r="J69">
        <v>8.75</v>
      </c>
      <c r="K69">
        <v>75</v>
      </c>
    </row>
    <row r="70" spans="1:11">
      <c r="A70">
        <v>499</v>
      </c>
      <c r="B70" s="1">
        <v>44654</v>
      </c>
      <c r="C70" s="2">
        <v>0.45277777777777778</v>
      </c>
      <c r="D70">
        <v>15</v>
      </c>
      <c r="E70" t="s">
        <v>11</v>
      </c>
      <c r="F70">
        <v>46</v>
      </c>
      <c r="G70" t="s">
        <v>13</v>
      </c>
      <c r="H70">
        <v>2</v>
      </c>
      <c r="I70">
        <v>30</v>
      </c>
      <c r="J70">
        <v>16.5</v>
      </c>
      <c r="K70">
        <v>60</v>
      </c>
    </row>
    <row r="71" spans="1:11">
      <c r="A71">
        <v>697</v>
      </c>
      <c r="B71" s="1">
        <v>44920</v>
      </c>
      <c r="C71" s="2">
        <v>0.32777777777777778</v>
      </c>
      <c r="D71">
        <v>152</v>
      </c>
      <c r="E71" t="s">
        <v>11</v>
      </c>
      <c r="F71">
        <v>53</v>
      </c>
      <c r="G71" t="s">
        <v>12</v>
      </c>
      <c r="H71">
        <v>1</v>
      </c>
      <c r="I71">
        <v>500</v>
      </c>
      <c r="J71">
        <v>200</v>
      </c>
      <c r="K71">
        <v>500</v>
      </c>
    </row>
    <row r="72" spans="1:11">
      <c r="A72">
        <v>831</v>
      </c>
      <c r="B72" s="1">
        <v>44895</v>
      </c>
      <c r="C72" s="2">
        <v>0.49236111111111114</v>
      </c>
      <c r="D72">
        <v>149</v>
      </c>
      <c r="E72" t="s">
        <v>11</v>
      </c>
      <c r="F72">
        <v>27</v>
      </c>
      <c r="G72" t="s">
        <v>15</v>
      </c>
      <c r="H72">
        <v>4</v>
      </c>
      <c r="I72">
        <v>25</v>
      </c>
      <c r="J72">
        <v>13.75</v>
      </c>
      <c r="K72">
        <v>100</v>
      </c>
    </row>
    <row r="73" spans="1:11">
      <c r="A73">
        <v>1499</v>
      </c>
      <c r="B73" s="1">
        <v>44827</v>
      </c>
      <c r="C73" s="2">
        <v>0.40694444444444444</v>
      </c>
      <c r="D73">
        <v>3</v>
      </c>
      <c r="E73" t="s">
        <v>11</v>
      </c>
      <c r="F73">
        <v>46</v>
      </c>
      <c r="G73" t="s">
        <v>13</v>
      </c>
      <c r="H73">
        <v>2</v>
      </c>
      <c r="I73">
        <v>30</v>
      </c>
      <c r="J73">
        <v>11.7</v>
      </c>
      <c r="K73">
        <v>60</v>
      </c>
    </row>
    <row r="74" spans="1:11">
      <c r="A74">
        <v>1697</v>
      </c>
      <c r="B74" s="1">
        <v>44913</v>
      </c>
      <c r="C74" s="2">
        <v>0.34861111111111109</v>
      </c>
      <c r="D74">
        <v>54</v>
      </c>
      <c r="E74" t="s">
        <v>11</v>
      </c>
      <c r="F74">
        <v>53</v>
      </c>
      <c r="G74" t="s">
        <v>12</v>
      </c>
      <c r="H74">
        <v>1</v>
      </c>
      <c r="I74">
        <v>500</v>
      </c>
      <c r="J74">
        <v>265</v>
      </c>
      <c r="K74">
        <v>500</v>
      </c>
    </row>
    <row r="75" spans="1:11">
      <c r="A75">
        <v>1831</v>
      </c>
      <c r="B75" s="1">
        <v>44646</v>
      </c>
      <c r="C75" s="2">
        <v>0.45416666666666666</v>
      </c>
      <c r="D75">
        <v>80</v>
      </c>
      <c r="E75" t="s">
        <v>11</v>
      </c>
      <c r="F75">
        <v>27</v>
      </c>
      <c r="G75" t="s">
        <v>15</v>
      </c>
      <c r="H75">
        <v>4</v>
      </c>
      <c r="I75">
        <v>25</v>
      </c>
      <c r="J75">
        <v>6.5</v>
      </c>
      <c r="K75">
        <v>100</v>
      </c>
    </row>
    <row r="76" spans="1:11">
      <c r="A76">
        <v>15</v>
      </c>
      <c r="B76" s="1">
        <v>44743</v>
      </c>
      <c r="C76" s="2">
        <v>0.49305555555555558</v>
      </c>
      <c r="D76">
        <v>75</v>
      </c>
      <c r="E76" t="s">
        <v>14</v>
      </c>
      <c r="F76">
        <v>42</v>
      </c>
      <c r="G76" t="s">
        <v>15</v>
      </c>
      <c r="H76">
        <v>4</v>
      </c>
      <c r="I76">
        <v>500</v>
      </c>
      <c r="J76">
        <v>210</v>
      </c>
      <c r="K76">
        <v>2000</v>
      </c>
    </row>
    <row r="77" spans="1:11">
      <c r="A77">
        <v>743</v>
      </c>
      <c r="B77" s="1">
        <v>44780</v>
      </c>
      <c r="C77" s="2">
        <v>0.32916666666666666</v>
      </c>
      <c r="D77">
        <v>55</v>
      </c>
      <c r="E77" t="s">
        <v>14</v>
      </c>
      <c r="F77">
        <v>34</v>
      </c>
      <c r="G77" t="s">
        <v>13</v>
      </c>
      <c r="H77">
        <v>4</v>
      </c>
      <c r="I77">
        <v>500</v>
      </c>
      <c r="J77">
        <v>260</v>
      </c>
      <c r="K77">
        <v>2000</v>
      </c>
    </row>
    <row r="78" spans="1:11">
      <c r="A78">
        <v>1015</v>
      </c>
      <c r="B78" s="1">
        <v>44629</v>
      </c>
      <c r="C78" s="2">
        <v>0.49513888888888891</v>
      </c>
      <c r="D78">
        <v>94</v>
      </c>
      <c r="E78" t="s">
        <v>14</v>
      </c>
      <c r="F78">
        <v>42</v>
      </c>
      <c r="G78" t="s">
        <v>15</v>
      </c>
      <c r="H78">
        <v>4</v>
      </c>
      <c r="I78">
        <v>500</v>
      </c>
      <c r="J78">
        <v>200</v>
      </c>
      <c r="K78">
        <v>2000</v>
      </c>
    </row>
    <row r="79" spans="1:11">
      <c r="A79">
        <v>1743</v>
      </c>
      <c r="B79" s="1">
        <v>44860</v>
      </c>
      <c r="C79" s="2">
        <v>0.40069444444444446</v>
      </c>
      <c r="D79">
        <v>47</v>
      </c>
      <c r="E79" t="s">
        <v>14</v>
      </c>
      <c r="F79">
        <v>34</v>
      </c>
      <c r="G79" t="s">
        <v>13</v>
      </c>
      <c r="H79">
        <v>4</v>
      </c>
      <c r="I79">
        <v>500</v>
      </c>
      <c r="J79">
        <v>250</v>
      </c>
      <c r="K79">
        <v>2000</v>
      </c>
    </row>
    <row r="80" spans="1:11">
      <c r="A80">
        <v>14</v>
      </c>
      <c r="B80" s="1">
        <v>44699</v>
      </c>
      <c r="C80" s="2">
        <v>0.29930555555555555</v>
      </c>
      <c r="D80">
        <v>8</v>
      </c>
      <c r="E80" t="s">
        <v>11</v>
      </c>
      <c r="F80">
        <v>64</v>
      </c>
      <c r="G80" t="s">
        <v>12</v>
      </c>
      <c r="H80">
        <v>4</v>
      </c>
      <c r="I80">
        <v>30</v>
      </c>
      <c r="J80">
        <v>13.2</v>
      </c>
      <c r="K80">
        <v>120</v>
      </c>
    </row>
    <row r="81" spans="1:11">
      <c r="A81">
        <v>103</v>
      </c>
      <c r="B81" s="1">
        <v>44877</v>
      </c>
      <c r="C81" s="2">
        <v>0.4201388888888889</v>
      </c>
      <c r="D81">
        <v>33</v>
      </c>
      <c r="E81" t="s">
        <v>14</v>
      </c>
      <c r="F81">
        <v>59</v>
      </c>
      <c r="G81" t="s">
        <v>12</v>
      </c>
      <c r="H81">
        <v>1</v>
      </c>
      <c r="I81">
        <v>25</v>
      </c>
      <c r="J81">
        <v>10.75</v>
      </c>
      <c r="K81">
        <v>25</v>
      </c>
    </row>
    <row r="82" spans="1:11">
      <c r="A82">
        <v>238</v>
      </c>
      <c r="B82" s="1">
        <v>44691</v>
      </c>
      <c r="C82" s="2">
        <v>0.49444444444444446</v>
      </c>
      <c r="D82">
        <v>20</v>
      </c>
      <c r="E82" t="s">
        <v>14</v>
      </c>
      <c r="F82">
        <v>39</v>
      </c>
      <c r="G82" t="s">
        <v>13</v>
      </c>
      <c r="H82">
        <v>1</v>
      </c>
      <c r="I82">
        <v>500</v>
      </c>
      <c r="J82">
        <v>150</v>
      </c>
      <c r="K82">
        <v>500</v>
      </c>
    </row>
    <row r="83" spans="1:11">
      <c r="A83">
        <v>986</v>
      </c>
      <c r="B83" s="1">
        <v>44774</v>
      </c>
      <c r="C83" s="2">
        <v>0.39930555555555558</v>
      </c>
      <c r="D83">
        <v>65</v>
      </c>
      <c r="E83" t="s">
        <v>14</v>
      </c>
      <c r="F83">
        <v>49</v>
      </c>
      <c r="G83" t="s">
        <v>12</v>
      </c>
      <c r="H83">
        <v>2</v>
      </c>
      <c r="I83">
        <v>500</v>
      </c>
      <c r="J83">
        <v>200</v>
      </c>
      <c r="K83">
        <v>1000</v>
      </c>
    </row>
    <row r="84" spans="1:11">
      <c r="A84">
        <v>1014</v>
      </c>
      <c r="B84" s="1">
        <v>44596</v>
      </c>
      <c r="C84" s="2">
        <v>0.43472222222222223</v>
      </c>
      <c r="D84">
        <v>147</v>
      </c>
      <c r="E84" t="s">
        <v>11</v>
      </c>
      <c r="F84">
        <v>64</v>
      </c>
      <c r="G84" t="s">
        <v>12</v>
      </c>
      <c r="H84">
        <v>4</v>
      </c>
      <c r="I84">
        <v>30</v>
      </c>
      <c r="J84">
        <v>11.4</v>
      </c>
      <c r="K84">
        <v>120</v>
      </c>
    </row>
    <row r="85" spans="1:11">
      <c r="A85">
        <v>1103</v>
      </c>
      <c r="B85" s="1">
        <v>44606</v>
      </c>
      <c r="C85" s="2">
        <v>0.29930555555555555</v>
      </c>
      <c r="D85">
        <v>61</v>
      </c>
      <c r="E85" t="s">
        <v>14</v>
      </c>
      <c r="F85">
        <v>59</v>
      </c>
      <c r="G85" t="s">
        <v>12</v>
      </c>
      <c r="H85">
        <v>1</v>
      </c>
      <c r="I85">
        <v>25</v>
      </c>
      <c r="J85">
        <v>6.75</v>
      </c>
      <c r="K85">
        <v>25</v>
      </c>
    </row>
    <row r="86" spans="1:11">
      <c r="A86">
        <v>1238</v>
      </c>
      <c r="B86" s="1">
        <v>44821</v>
      </c>
      <c r="C86" s="2">
        <v>0.31805555555555554</v>
      </c>
      <c r="D86">
        <v>129</v>
      </c>
      <c r="E86" t="s">
        <v>14</v>
      </c>
      <c r="F86">
        <v>39</v>
      </c>
      <c r="G86" t="s">
        <v>13</v>
      </c>
      <c r="H86">
        <v>1</v>
      </c>
      <c r="I86">
        <v>500</v>
      </c>
      <c r="J86">
        <v>165</v>
      </c>
      <c r="K86">
        <v>500</v>
      </c>
    </row>
    <row r="87" spans="1:11">
      <c r="A87">
        <v>1986</v>
      </c>
      <c r="B87" s="1">
        <v>44818</v>
      </c>
      <c r="C87" s="2">
        <v>0.3527777777777778</v>
      </c>
      <c r="D87">
        <v>29</v>
      </c>
      <c r="E87" t="s">
        <v>14</v>
      </c>
      <c r="F87">
        <v>49</v>
      </c>
      <c r="G87" t="s">
        <v>12</v>
      </c>
      <c r="H87">
        <v>2</v>
      </c>
      <c r="I87">
        <v>500</v>
      </c>
      <c r="J87">
        <v>145</v>
      </c>
      <c r="K87">
        <v>1000</v>
      </c>
    </row>
    <row r="88" spans="1:11">
      <c r="A88">
        <v>438</v>
      </c>
      <c r="B88" s="1">
        <v>44804</v>
      </c>
      <c r="C88" s="2">
        <v>0.42708333333333331</v>
      </c>
      <c r="D88">
        <v>88</v>
      </c>
      <c r="E88" t="s">
        <v>14</v>
      </c>
      <c r="F88">
        <v>42</v>
      </c>
      <c r="G88" t="s">
        <v>12</v>
      </c>
      <c r="H88">
        <v>1</v>
      </c>
      <c r="I88">
        <v>30</v>
      </c>
      <c r="J88">
        <v>15.9</v>
      </c>
      <c r="K88">
        <v>30</v>
      </c>
    </row>
    <row r="89" spans="1:11">
      <c r="A89">
        <v>1438</v>
      </c>
      <c r="B89" s="1">
        <v>44568</v>
      </c>
      <c r="C89" s="2">
        <v>0.41666666666666669</v>
      </c>
      <c r="D89">
        <v>72</v>
      </c>
      <c r="E89" t="s">
        <v>14</v>
      </c>
      <c r="F89">
        <v>42</v>
      </c>
      <c r="G89" t="s">
        <v>12</v>
      </c>
      <c r="H89">
        <v>1</v>
      </c>
      <c r="I89">
        <v>30</v>
      </c>
      <c r="J89">
        <v>13.8</v>
      </c>
      <c r="K89">
        <v>30</v>
      </c>
    </row>
    <row r="90" spans="1:11">
      <c r="A90">
        <v>475</v>
      </c>
      <c r="B90" s="1">
        <v>44785</v>
      </c>
      <c r="C90" s="2">
        <v>0.44374999999999998</v>
      </c>
      <c r="D90">
        <v>78</v>
      </c>
      <c r="E90" t="s">
        <v>11</v>
      </c>
      <c r="F90">
        <v>26</v>
      </c>
      <c r="G90" t="s">
        <v>12</v>
      </c>
      <c r="H90">
        <v>3</v>
      </c>
      <c r="I90">
        <v>25</v>
      </c>
      <c r="J90">
        <v>9</v>
      </c>
      <c r="K90">
        <v>75</v>
      </c>
    </row>
    <row r="91" spans="1:11">
      <c r="A91">
        <v>505</v>
      </c>
      <c r="B91" s="1">
        <v>44912</v>
      </c>
      <c r="C91" s="2">
        <v>0.30902777777777779</v>
      </c>
      <c r="D91">
        <v>86</v>
      </c>
      <c r="E91" t="s">
        <v>11</v>
      </c>
      <c r="F91">
        <v>24</v>
      </c>
      <c r="G91" t="s">
        <v>13</v>
      </c>
      <c r="H91">
        <v>1</v>
      </c>
      <c r="I91">
        <v>50</v>
      </c>
      <c r="J91">
        <v>19.5</v>
      </c>
      <c r="K91">
        <v>50</v>
      </c>
    </row>
    <row r="92" spans="1:11">
      <c r="A92">
        <v>1475</v>
      </c>
      <c r="B92" s="1">
        <v>44838</v>
      </c>
      <c r="C92" s="2">
        <v>0.29375000000000001</v>
      </c>
      <c r="D92">
        <v>132</v>
      </c>
      <c r="E92" t="s">
        <v>11</v>
      </c>
      <c r="F92">
        <v>26</v>
      </c>
      <c r="G92" t="s">
        <v>12</v>
      </c>
      <c r="H92">
        <v>3</v>
      </c>
      <c r="I92">
        <v>25</v>
      </c>
      <c r="J92">
        <v>10.75</v>
      </c>
      <c r="K92">
        <v>75</v>
      </c>
    </row>
    <row r="93" spans="1:11">
      <c r="A93">
        <v>1505</v>
      </c>
      <c r="B93" s="1">
        <v>44864</v>
      </c>
      <c r="C93" s="2">
        <v>0.33333333333333331</v>
      </c>
      <c r="D93">
        <v>98</v>
      </c>
      <c r="E93" t="s">
        <v>11</v>
      </c>
      <c r="F93">
        <v>24</v>
      </c>
      <c r="G93" t="s">
        <v>13</v>
      </c>
      <c r="H93">
        <v>1</v>
      </c>
      <c r="I93">
        <v>50</v>
      </c>
      <c r="J93">
        <v>14.5</v>
      </c>
      <c r="K93">
        <v>50</v>
      </c>
    </row>
    <row r="94" spans="1:11">
      <c r="A94">
        <v>344</v>
      </c>
      <c r="B94" s="1">
        <v>44759</v>
      </c>
      <c r="C94" s="2">
        <v>0.40763888888888888</v>
      </c>
      <c r="D94">
        <v>69</v>
      </c>
      <c r="E94" t="s">
        <v>14</v>
      </c>
      <c r="F94">
        <v>42</v>
      </c>
      <c r="G94" t="s">
        <v>13</v>
      </c>
      <c r="H94">
        <v>1</v>
      </c>
      <c r="I94">
        <v>30</v>
      </c>
      <c r="J94">
        <v>7.5</v>
      </c>
      <c r="K94">
        <v>30</v>
      </c>
    </row>
    <row r="95" spans="1:11">
      <c r="A95">
        <v>448</v>
      </c>
      <c r="B95" s="1">
        <v>44639</v>
      </c>
      <c r="C95" s="2">
        <v>0.4</v>
      </c>
      <c r="D95">
        <v>86</v>
      </c>
      <c r="E95" t="s">
        <v>14</v>
      </c>
      <c r="F95">
        <v>54</v>
      </c>
      <c r="G95" t="s">
        <v>13</v>
      </c>
      <c r="H95">
        <v>2</v>
      </c>
      <c r="I95">
        <v>30</v>
      </c>
      <c r="J95">
        <v>16.2</v>
      </c>
      <c r="K95">
        <v>60</v>
      </c>
    </row>
    <row r="96" spans="1:11">
      <c r="A96">
        <v>742</v>
      </c>
      <c r="B96" s="1">
        <v>44639</v>
      </c>
      <c r="C96" s="2">
        <v>0.25555555555555554</v>
      </c>
      <c r="D96">
        <v>37</v>
      </c>
      <c r="E96" t="s">
        <v>14</v>
      </c>
      <c r="F96">
        <v>38</v>
      </c>
      <c r="G96" t="s">
        <v>15</v>
      </c>
      <c r="H96">
        <v>4</v>
      </c>
      <c r="I96">
        <v>500</v>
      </c>
      <c r="J96">
        <v>195</v>
      </c>
      <c r="K96">
        <v>2000</v>
      </c>
    </row>
    <row r="97" spans="1:11">
      <c r="A97">
        <v>1344</v>
      </c>
      <c r="B97" s="1">
        <v>44913</v>
      </c>
      <c r="C97" s="2">
        <v>0.25833333333333336</v>
      </c>
      <c r="D97">
        <v>144</v>
      </c>
      <c r="E97" t="s">
        <v>14</v>
      </c>
      <c r="F97">
        <v>42</v>
      </c>
      <c r="G97" t="s">
        <v>13</v>
      </c>
      <c r="H97">
        <v>1</v>
      </c>
      <c r="I97">
        <v>30</v>
      </c>
      <c r="J97">
        <v>11.1</v>
      </c>
      <c r="K97">
        <v>30</v>
      </c>
    </row>
    <row r="98" spans="1:11">
      <c r="A98">
        <v>1448</v>
      </c>
      <c r="B98" s="1">
        <v>44697</v>
      </c>
      <c r="C98" s="2">
        <v>0.26944444444444443</v>
      </c>
      <c r="D98">
        <v>51</v>
      </c>
      <c r="E98" t="s">
        <v>14</v>
      </c>
      <c r="F98">
        <v>54</v>
      </c>
      <c r="G98" t="s">
        <v>13</v>
      </c>
      <c r="H98">
        <v>2</v>
      </c>
      <c r="I98">
        <v>30</v>
      </c>
      <c r="J98">
        <v>9.3000000000000007</v>
      </c>
      <c r="K98">
        <v>60</v>
      </c>
    </row>
    <row r="99" spans="1:11">
      <c r="A99">
        <v>1742</v>
      </c>
      <c r="B99" s="1">
        <v>44887</v>
      </c>
      <c r="C99" s="2">
        <v>0.35069444444444442</v>
      </c>
      <c r="D99">
        <v>18</v>
      </c>
      <c r="E99" t="s">
        <v>14</v>
      </c>
      <c r="F99">
        <v>38</v>
      </c>
      <c r="G99" t="s">
        <v>15</v>
      </c>
      <c r="H99">
        <v>4</v>
      </c>
      <c r="I99">
        <v>500</v>
      </c>
      <c r="J99">
        <v>220</v>
      </c>
      <c r="K99">
        <v>2000</v>
      </c>
    </row>
    <row r="100" spans="1:11">
      <c r="A100">
        <v>445</v>
      </c>
      <c r="B100" s="1">
        <v>44665</v>
      </c>
      <c r="C100" s="2">
        <v>0.45</v>
      </c>
      <c r="D100">
        <v>132</v>
      </c>
      <c r="E100" t="s">
        <v>14</v>
      </c>
      <c r="F100">
        <v>53</v>
      </c>
      <c r="G100" t="s">
        <v>15</v>
      </c>
      <c r="H100">
        <v>1</v>
      </c>
      <c r="I100">
        <v>300</v>
      </c>
      <c r="J100">
        <v>138</v>
      </c>
      <c r="K100">
        <v>300</v>
      </c>
    </row>
    <row r="101" spans="1:11">
      <c r="A101">
        <v>787</v>
      </c>
      <c r="B101" s="1">
        <v>44722</v>
      </c>
      <c r="C101" s="2">
        <v>0.44583333333333336</v>
      </c>
      <c r="D101">
        <v>25</v>
      </c>
      <c r="E101" t="s">
        <v>11</v>
      </c>
      <c r="F101">
        <v>41</v>
      </c>
      <c r="G101" t="s">
        <v>15</v>
      </c>
      <c r="H101">
        <v>1</v>
      </c>
      <c r="I101">
        <v>25</v>
      </c>
      <c r="J101">
        <v>13.75</v>
      </c>
      <c r="K101">
        <v>25</v>
      </c>
    </row>
    <row r="102" spans="1:11">
      <c r="A102">
        <v>1445</v>
      </c>
      <c r="B102" s="1">
        <v>44670</v>
      </c>
      <c r="C102" s="2">
        <v>0.26111111111111113</v>
      </c>
      <c r="D102">
        <v>31</v>
      </c>
      <c r="E102" t="s">
        <v>14</v>
      </c>
      <c r="F102">
        <v>53</v>
      </c>
      <c r="G102" t="s">
        <v>15</v>
      </c>
      <c r="H102">
        <v>1</v>
      </c>
      <c r="I102">
        <v>300</v>
      </c>
      <c r="J102">
        <v>129</v>
      </c>
      <c r="K102">
        <v>300</v>
      </c>
    </row>
    <row r="103" spans="1:11">
      <c r="A103">
        <v>1787</v>
      </c>
      <c r="B103" s="1">
        <v>44711</v>
      </c>
      <c r="C103" s="2">
        <v>0.32083333333333336</v>
      </c>
      <c r="D103">
        <v>104</v>
      </c>
      <c r="E103" t="s">
        <v>11</v>
      </c>
      <c r="F103">
        <v>41</v>
      </c>
      <c r="G103" t="s">
        <v>15</v>
      </c>
      <c r="H103">
        <v>1</v>
      </c>
      <c r="I103">
        <v>25</v>
      </c>
      <c r="J103">
        <v>10</v>
      </c>
      <c r="K103">
        <v>25</v>
      </c>
    </row>
    <row r="104" spans="1:11">
      <c r="A104">
        <v>49</v>
      </c>
      <c r="B104" s="1">
        <v>44821</v>
      </c>
      <c r="C104" s="2">
        <v>0.43958333333333333</v>
      </c>
      <c r="D104">
        <v>37</v>
      </c>
      <c r="E104" t="s">
        <v>14</v>
      </c>
      <c r="F104">
        <v>54</v>
      </c>
      <c r="G104" t="s">
        <v>15</v>
      </c>
      <c r="H104">
        <v>2</v>
      </c>
      <c r="I104">
        <v>500</v>
      </c>
      <c r="J104">
        <v>255</v>
      </c>
      <c r="K104">
        <v>1000</v>
      </c>
    </row>
    <row r="105" spans="1:11">
      <c r="A105">
        <v>420</v>
      </c>
      <c r="B105" s="1">
        <v>44563</v>
      </c>
      <c r="C105" s="2">
        <v>0.45347222222222222</v>
      </c>
      <c r="D105">
        <v>28</v>
      </c>
      <c r="E105" t="s">
        <v>14</v>
      </c>
      <c r="F105">
        <v>22</v>
      </c>
      <c r="G105" t="s">
        <v>12</v>
      </c>
      <c r="H105">
        <v>4</v>
      </c>
      <c r="I105">
        <v>500</v>
      </c>
      <c r="J105">
        <v>200</v>
      </c>
      <c r="K105">
        <v>2000</v>
      </c>
    </row>
    <row r="106" spans="1:11">
      <c r="A106">
        <v>519</v>
      </c>
      <c r="B106" s="1">
        <v>44659</v>
      </c>
      <c r="C106" s="2">
        <v>0.4284722222222222</v>
      </c>
      <c r="D106">
        <v>52</v>
      </c>
      <c r="E106" t="s">
        <v>14</v>
      </c>
      <c r="F106">
        <v>36</v>
      </c>
      <c r="G106" t="s">
        <v>15</v>
      </c>
      <c r="H106">
        <v>4</v>
      </c>
      <c r="I106">
        <v>30</v>
      </c>
      <c r="J106">
        <v>16.5</v>
      </c>
      <c r="K106">
        <v>120</v>
      </c>
    </row>
    <row r="107" spans="1:11">
      <c r="A107">
        <v>1049</v>
      </c>
      <c r="B107" s="1">
        <v>44697</v>
      </c>
      <c r="C107" s="2">
        <v>0.27500000000000002</v>
      </c>
      <c r="D107">
        <v>143</v>
      </c>
      <c r="E107" t="s">
        <v>14</v>
      </c>
      <c r="F107">
        <v>54</v>
      </c>
      <c r="G107" t="s">
        <v>15</v>
      </c>
      <c r="H107">
        <v>2</v>
      </c>
      <c r="I107">
        <v>500</v>
      </c>
      <c r="J107">
        <v>125</v>
      </c>
      <c r="K107">
        <v>1000</v>
      </c>
    </row>
    <row r="108" spans="1:11">
      <c r="A108">
        <v>1420</v>
      </c>
      <c r="B108" s="1">
        <v>44666</v>
      </c>
      <c r="C108" s="2">
        <v>0.29236111111111113</v>
      </c>
      <c r="D108">
        <v>138</v>
      </c>
      <c r="E108" t="s">
        <v>14</v>
      </c>
      <c r="F108">
        <v>22</v>
      </c>
      <c r="G108" t="s">
        <v>12</v>
      </c>
      <c r="H108">
        <v>4</v>
      </c>
      <c r="I108">
        <v>500</v>
      </c>
      <c r="J108">
        <v>205</v>
      </c>
      <c r="K108">
        <v>2000</v>
      </c>
    </row>
    <row r="109" spans="1:11">
      <c r="A109">
        <v>1519</v>
      </c>
      <c r="B109" s="1">
        <v>44569</v>
      </c>
      <c r="C109" s="2">
        <v>0.31597222222222221</v>
      </c>
      <c r="D109">
        <v>139</v>
      </c>
      <c r="E109" t="s">
        <v>14</v>
      </c>
      <c r="F109">
        <v>36</v>
      </c>
      <c r="G109" t="s">
        <v>15</v>
      </c>
      <c r="H109">
        <v>4</v>
      </c>
      <c r="I109">
        <v>30</v>
      </c>
      <c r="J109">
        <v>9.3000000000000007</v>
      </c>
      <c r="K109">
        <v>120</v>
      </c>
    </row>
    <row r="110" spans="1:11">
      <c r="A110">
        <v>64</v>
      </c>
      <c r="B110" s="1">
        <v>44880</v>
      </c>
      <c r="C110" s="2">
        <v>0.27361111111111114</v>
      </c>
      <c r="D110">
        <v>7</v>
      </c>
      <c r="E110" t="s">
        <v>11</v>
      </c>
      <c r="F110">
        <v>49</v>
      </c>
      <c r="G110" t="s">
        <v>12</v>
      </c>
      <c r="H110">
        <v>4</v>
      </c>
      <c r="I110">
        <v>25</v>
      </c>
      <c r="J110">
        <v>8.5</v>
      </c>
      <c r="K110">
        <v>100</v>
      </c>
    </row>
    <row r="111" spans="1:11">
      <c r="A111">
        <v>592</v>
      </c>
      <c r="B111" s="1">
        <v>44921</v>
      </c>
      <c r="C111" s="2">
        <v>0.38541666666666669</v>
      </c>
      <c r="D111">
        <v>77</v>
      </c>
      <c r="E111" t="s">
        <v>14</v>
      </c>
      <c r="F111">
        <v>46</v>
      </c>
      <c r="G111" t="s">
        <v>13</v>
      </c>
      <c r="H111">
        <v>4</v>
      </c>
      <c r="I111">
        <v>500</v>
      </c>
      <c r="J111">
        <v>275</v>
      </c>
      <c r="K111">
        <v>2000</v>
      </c>
    </row>
    <row r="112" spans="1:11">
      <c r="A112">
        <v>912</v>
      </c>
      <c r="B112" s="1">
        <v>44865</v>
      </c>
      <c r="C112" s="2">
        <v>0.26250000000000001</v>
      </c>
      <c r="D112">
        <v>122</v>
      </c>
      <c r="E112" t="s">
        <v>11</v>
      </c>
      <c r="F112">
        <v>51</v>
      </c>
      <c r="G112" t="s">
        <v>13</v>
      </c>
      <c r="H112">
        <v>3</v>
      </c>
      <c r="I112">
        <v>50</v>
      </c>
      <c r="J112">
        <v>20.5</v>
      </c>
      <c r="K112">
        <v>150</v>
      </c>
    </row>
    <row r="113" spans="1:11">
      <c r="A113">
        <v>1064</v>
      </c>
      <c r="B113" s="1">
        <v>44665</v>
      </c>
      <c r="C113" s="2">
        <v>0.44305555555555554</v>
      </c>
      <c r="D113">
        <v>49</v>
      </c>
      <c r="E113" t="s">
        <v>11</v>
      </c>
      <c r="F113">
        <v>49</v>
      </c>
      <c r="G113" t="s">
        <v>12</v>
      </c>
      <c r="H113">
        <v>4</v>
      </c>
      <c r="I113">
        <v>25</v>
      </c>
      <c r="J113">
        <v>13.75</v>
      </c>
      <c r="K113">
        <v>100</v>
      </c>
    </row>
    <row r="114" spans="1:11">
      <c r="A114">
        <v>1592</v>
      </c>
      <c r="B114" s="1">
        <v>44636</v>
      </c>
      <c r="C114" s="2">
        <v>0.38055555555555554</v>
      </c>
      <c r="D114">
        <v>81</v>
      </c>
      <c r="E114" t="s">
        <v>14</v>
      </c>
      <c r="F114">
        <v>46</v>
      </c>
      <c r="G114" t="s">
        <v>13</v>
      </c>
      <c r="H114">
        <v>4</v>
      </c>
      <c r="I114">
        <v>500</v>
      </c>
      <c r="J114">
        <v>155</v>
      </c>
      <c r="K114">
        <v>2000</v>
      </c>
    </row>
    <row r="115" spans="1:11">
      <c r="A115">
        <v>1912</v>
      </c>
      <c r="B115" s="1">
        <v>44708</v>
      </c>
      <c r="C115" s="2">
        <v>0.31944444444444442</v>
      </c>
      <c r="D115">
        <v>146</v>
      </c>
      <c r="E115" t="s">
        <v>11</v>
      </c>
      <c r="F115">
        <v>51</v>
      </c>
      <c r="G115" t="s">
        <v>13</v>
      </c>
      <c r="H115">
        <v>3</v>
      </c>
      <c r="I115">
        <v>50</v>
      </c>
      <c r="J115">
        <v>22</v>
      </c>
      <c r="K115">
        <v>150</v>
      </c>
    </row>
    <row r="116" spans="1:11">
      <c r="A116">
        <v>134</v>
      </c>
      <c r="B116" s="1">
        <v>44798</v>
      </c>
      <c r="C116" s="2">
        <v>0.37708333333333333</v>
      </c>
      <c r="D116">
        <v>132</v>
      </c>
      <c r="E116" t="s">
        <v>11</v>
      </c>
      <c r="F116">
        <v>49</v>
      </c>
      <c r="G116" t="s">
        <v>15</v>
      </c>
      <c r="H116">
        <v>1</v>
      </c>
      <c r="I116">
        <v>50</v>
      </c>
      <c r="J116">
        <v>16</v>
      </c>
      <c r="K116">
        <v>50</v>
      </c>
    </row>
    <row r="117" spans="1:11">
      <c r="A117">
        <v>1134</v>
      </c>
      <c r="B117" s="1">
        <v>44778</v>
      </c>
      <c r="C117" s="2">
        <v>0.37777777777777777</v>
      </c>
      <c r="D117">
        <v>106</v>
      </c>
      <c r="E117" t="s">
        <v>11</v>
      </c>
      <c r="F117">
        <v>49</v>
      </c>
      <c r="G117" t="s">
        <v>15</v>
      </c>
      <c r="H117">
        <v>1</v>
      </c>
      <c r="I117">
        <v>50</v>
      </c>
      <c r="J117">
        <v>24</v>
      </c>
      <c r="K117">
        <v>50</v>
      </c>
    </row>
    <row r="118" spans="1:11">
      <c r="A118">
        <v>288</v>
      </c>
      <c r="B118" s="1">
        <v>44683</v>
      </c>
      <c r="C118" s="2">
        <v>0.41597222222222224</v>
      </c>
      <c r="D118">
        <v>27</v>
      </c>
      <c r="E118" t="s">
        <v>11</v>
      </c>
      <c r="F118">
        <v>28</v>
      </c>
      <c r="G118" t="s">
        <v>12</v>
      </c>
      <c r="H118">
        <v>4</v>
      </c>
      <c r="I118">
        <v>30</v>
      </c>
      <c r="J118">
        <v>12</v>
      </c>
      <c r="K118">
        <v>120</v>
      </c>
    </row>
    <row r="119" spans="1:11">
      <c r="A119">
        <v>323</v>
      </c>
      <c r="B119" s="1">
        <v>44582</v>
      </c>
      <c r="C119" s="2">
        <v>0.34861111111111109</v>
      </c>
      <c r="D119">
        <v>97</v>
      </c>
      <c r="E119" t="s">
        <v>14</v>
      </c>
      <c r="F119">
        <v>29</v>
      </c>
      <c r="G119" t="s">
        <v>13</v>
      </c>
      <c r="H119">
        <v>3</v>
      </c>
      <c r="I119">
        <v>300</v>
      </c>
      <c r="J119">
        <v>150</v>
      </c>
      <c r="K119">
        <v>900</v>
      </c>
    </row>
    <row r="120" spans="1:11">
      <c r="A120">
        <v>618</v>
      </c>
      <c r="B120" s="1">
        <v>44847</v>
      </c>
      <c r="C120" s="2">
        <v>0.43194444444444446</v>
      </c>
      <c r="D120">
        <v>5</v>
      </c>
      <c r="E120" t="s">
        <v>14</v>
      </c>
      <c r="F120">
        <v>27</v>
      </c>
      <c r="G120" t="s">
        <v>13</v>
      </c>
      <c r="H120">
        <v>1</v>
      </c>
      <c r="I120">
        <v>50</v>
      </c>
      <c r="J120">
        <v>26</v>
      </c>
      <c r="K120">
        <v>50</v>
      </c>
    </row>
    <row r="121" spans="1:11">
      <c r="A121">
        <v>720</v>
      </c>
      <c r="B121" s="1">
        <v>44659</v>
      </c>
      <c r="C121" s="2">
        <v>0.36805555555555558</v>
      </c>
      <c r="D121">
        <v>116</v>
      </c>
      <c r="E121" t="s">
        <v>14</v>
      </c>
      <c r="F121">
        <v>56</v>
      </c>
      <c r="G121" t="s">
        <v>13</v>
      </c>
      <c r="H121">
        <v>3</v>
      </c>
      <c r="I121">
        <v>500</v>
      </c>
      <c r="J121">
        <v>235</v>
      </c>
      <c r="K121">
        <v>1500</v>
      </c>
    </row>
    <row r="122" spans="1:11">
      <c r="A122">
        <v>1288</v>
      </c>
      <c r="B122" s="1">
        <v>44656</v>
      </c>
      <c r="C122" s="2">
        <v>0.49722222222222223</v>
      </c>
      <c r="D122">
        <v>26</v>
      </c>
      <c r="E122" t="s">
        <v>11</v>
      </c>
      <c r="F122">
        <v>28</v>
      </c>
      <c r="G122" t="s">
        <v>12</v>
      </c>
      <c r="H122">
        <v>4</v>
      </c>
      <c r="I122">
        <v>30</v>
      </c>
      <c r="J122">
        <v>9</v>
      </c>
      <c r="K122">
        <v>120</v>
      </c>
    </row>
    <row r="123" spans="1:11">
      <c r="A123">
        <v>1323</v>
      </c>
      <c r="B123" s="1">
        <v>44788</v>
      </c>
      <c r="C123" s="2">
        <v>0.45069444444444445</v>
      </c>
      <c r="D123">
        <v>136</v>
      </c>
      <c r="E123" t="s">
        <v>14</v>
      </c>
      <c r="F123">
        <v>29</v>
      </c>
      <c r="G123" t="s">
        <v>13</v>
      </c>
      <c r="H123">
        <v>3</v>
      </c>
      <c r="I123">
        <v>300</v>
      </c>
      <c r="J123">
        <v>114</v>
      </c>
      <c r="K123">
        <v>900</v>
      </c>
    </row>
    <row r="124" spans="1:11">
      <c r="A124">
        <v>1618</v>
      </c>
      <c r="B124" s="1">
        <v>44819</v>
      </c>
      <c r="C124" s="2">
        <v>0.26874999999999999</v>
      </c>
      <c r="D124">
        <v>118</v>
      </c>
      <c r="E124" t="s">
        <v>14</v>
      </c>
      <c r="F124">
        <v>27</v>
      </c>
      <c r="G124" t="s">
        <v>13</v>
      </c>
      <c r="H124">
        <v>1</v>
      </c>
      <c r="I124">
        <v>50</v>
      </c>
      <c r="J124">
        <v>13.5</v>
      </c>
      <c r="K124">
        <v>50</v>
      </c>
    </row>
    <row r="125" spans="1:11">
      <c r="A125">
        <v>1720</v>
      </c>
      <c r="B125" s="1">
        <v>44844</v>
      </c>
      <c r="C125" s="2">
        <v>0.36875000000000002</v>
      </c>
      <c r="D125">
        <v>28</v>
      </c>
      <c r="E125" t="s">
        <v>14</v>
      </c>
      <c r="F125">
        <v>56</v>
      </c>
      <c r="G125" t="s">
        <v>13</v>
      </c>
      <c r="H125">
        <v>3</v>
      </c>
      <c r="I125">
        <v>500</v>
      </c>
      <c r="J125">
        <v>190</v>
      </c>
      <c r="K125">
        <v>1500</v>
      </c>
    </row>
    <row r="126" spans="1:11">
      <c r="A126">
        <v>415</v>
      </c>
      <c r="B126" s="1">
        <v>44566</v>
      </c>
      <c r="C126" s="2">
        <v>0.41597222222222224</v>
      </c>
      <c r="D126">
        <v>85</v>
      </c>
      <c r="E126" t="s">
        <v>11</v>
      </c>
      <c r="F126">
        <v>53</v>
      </c>
      <c r="G126" t="s">
        <v>12</v>
      </c>
      <c r="H126">
        <v>2</v>
      </c>
      <c r="I126">
        <v>30</v>
      </c>
      <c r="J126">
        <v>8.1</v>
      </c>
      <c r="K126">
        <v>60</v>
      </c>
    </row>
    <row r="127" spans="1:11">
      <c r="A127">
        <v>736</v>
      </c>
      <c r="B127" s="1">
        <v>44913</v>
      </c>
      <c r="C127" s="2">
        <v>0.35416666666666669</v>
      </c>
      <c r="D127">
        <v>97</v>
      </c>
      <c r="E127" t="s">
        <v>11</v>
      </c>
      <c r="F127">
        <v>29</v>
      </c>
      <c r="G127" t="s">
        <v>12</v>
      </c>
      <c r="H127">
        <v>4</v>
      </c>
      <c r="I127">
        <v>25</v>
      </c>
      <c r="J127">
        <v>9.75</v>
      </c>
      <c r="K127">
        <v>100</v>
      </c>
    </row>
    <row r="128" spans="1:11">
      <c r="A128">
        <v>929</v>
      </c>
      <c r="B128" s="1">
        <v>44631</v>
      </c>
      <c r="C128" s="2">
        <v>0.42916666666666664</v>
      </c>
      <c r="D128">
        <v>40</v>
      </c>
      <c r="E128" t="s">
        <v>14</v>
      </c>
      <c r="F128">
        <v>23</v>
      </c>
      <c r="G128" t="s">
        <v>13</v>
      </c>
      <c r="H128">
        <v>3</v>
      </c>
      <c r="I128">
        <v>25</v>
      </c>
      <c r="J128">
        <v>10.5</v>
      </c>
      <c r="K128">
        <v>75</v>
      </c>
    </row>
    <row r="129" spans="1:11">
      <c r="A129">
        <v>1415</v>
      </c>
      <c r="B129" s="1">
        <v>44626</v>
      </c>
      <c r="C129" s="2">
        <v>0.29930555555555555</v>
      </c>
      <c r="D129">
        <v>146</v>
      </c>
      <c r="E129" t="s">
        <v>11</v>
      </c>
      <c r="F129">
        <v>53</v>
      </c>
      <c r="G129" t="s">
        <v>12</v>
      </c>
      <c r="H129">
        <v>2</v>
      </c>
      <c r="I129">
        <v>30</v>
      </c>
      <c r="J129">
        <v>15.3</v>
      </c>
      <c r="K129">
        <v>60</v>
      </c>
    </row>
    <row r="130" spans="1:11">
      <c r="A130">
        <v>1736</v>
      </c>
      <c r="B130" s="1">
        <v>44801</v>
      </c>
      <c r="C130" s="2">
        <v>0.37291666666666667</v>
      </c>
      <c r="D130">
        <v>87</v>
      </c>
      <c r="E130" t="s">
        <v>11</v>
      </c>
      <c r="F130">
        <v>29</v>
      </c>
      <c r="G130" t="s">
        <v>12</v>
      </c>
      <c r="H130">
        <v>4</v>
      </c>
      <c r="I130">
        <v>25</v>
      </c>
      <c r="J130">
        <v>10.25</v>
      </c>
      <c r="K130">
        <v>100</v>
      </c>
    </row>
    <row r="131" spans="1:11">
      <c r="A131">
        <v>1929</v>
      </c>
      <c r="B131" s="1">
        <v>44819</v>
      </c>
      <c r="C131" s="2">
        <v>0.28472222222222221</v>
      </c>
      <c r="D131">
        <v>62</v>
      </c>
      <c r="E131" t="s">
        <v>14</v>
      </c>
      <c r="F131">
        <v>23</v>
      </c>
      <c r="G131" t="s">
        <v>13</v>
      </c>
      <c r="H131">
        <v>3</v>
      </c>
      <c r="I131">
        <v>25</v>
      </c>
      <c r="J131">
        <v>12.75</v>
      </c>
      <c r="K131">
        <v>75</v>
      </c>
    </row>
    <row r="132" spans="1:11">
      <c r="A132">
        <v>264</v>
      </c>
      <c r="B132" s="1">
        <v>44921</v>
      </c>
      <c r="C132" s="2">
        <v>0.46041666666666664</v>
      </c>
      <c r="D132">
        <v>111</v>
      </c>
      <c r="E132" t="s">
        <v>11</v>
      </c>
      <c r="F132">
        <v>47</v>
      </c>
      <c r="G132" t="s">
        <v>12</v>
      </c>
      <c r="H132">
        <v>3</v>
      </c>
      <c r="I132">
        <v>300</v>
      </c>
      <c r="J132">
        <v>150</v>
      </c>
      <c r="K132">
        <v>900</v>
      </c>
    </row>
    <row r="133" spans="1:11">
      <c r="A133">
        <v>913</v>
      </c>
      <c r="B133" s="1">
        <v>44846</v>
      </c>
      <c r="C133" s="2">
        <v>0.45277777777777778</v>
      </c>
      <c r="D133">
        <v>78</v>
      </c>
      <c r="E133" t="s">
        <v>11</v>
      </c>
      <c r="F133">
        <v>29</v>
      </c>
      <c r="G133" t="s">
        <v>15</v>
      </c>
      <c r="H133">
        <v>3</v>
      </c>
      <c r="I133">
        <v>30</v>
      </c>
      <c r="J133">
        <v>16.5</v>
      </c>
      <c r="K133">
        <v>90</v>
      </c>
    </row>
    <row r="134" spans="1:11">
      <c r="A134">
        <v>940</v>
      </c>
      <c r="B134" s="1">
        <v>44566</v>
      </c>
      <c r="C134" s="2">
        <v>0.34097222222222223</v>
      </c>
      <c r="D134">
        <v>46</v>
      </c>
      <c r="E134" t="s">
        <v>14</v>
      </c>
      <c r="F134">
        <v>20</v>
      </c>
      <c r="G134" t="s">
        <v>15</v>
      </c>
      <c r="H134">
        <v>1</v>
      </c>
      <c r="I134">
        <v>30</v>
      </c>
      <c r="J134">
        <v>9.6</v>
      </c>
      <c r="K134">
        <v>30</v>
      </c>
    </row>
    <row r="135" spans="1:11">
      <c r="A135">
        <v>1264</v>
      </c>
      <c r="B135" s="1">
        <v>44708</v>
      </c>
      <c r="C135" s="2">
        <v>0.39097222222222222</v>
      </c>
      <c r="D135">
        <v>82</v>
      </c>
      <c r="E135" t="s">
        <v>11</v>
      </c>
      <c r="F135">
        <v>47</v>
      </c>
      <c r="G135" t="s">
        <v>12</v>
      </c>
      <c r="H135">
        <v>3</v>
      </c>
      <c r="I135">
        <v>300</v>
      </c>
      <c r="J135">
        <v>123</v>
      </c>
      <c r="K135">
        <v>900</v>
      </c>
    </row>
    <row r="136" spans="1:11">
      <c r="A136">
        <v>1913</v>
      </c>
      <c r="B136" s="1">
        <v>44735</v>
      </c>
      <c r="C136" s="2">
        <v>0.2986111111111111</v>
      </c>
      <c r="D136">
        <v>101</v>
      </c>
      <c r="E136" t="s">
        <v>11</v>
      </c>
      <c r="F136">
        <v>29</v>
      </c>
      <c r="G136" t="s">
        <v>15</v>
      </c>
      <c r="H136">
        <v>3</v>
      </c>
      <c r="I136">
        <v>30</v>
      </c>
      <c r="J136">
        <v>14.1</v>
      </c>
      <c r="K136">
        <v>90</v>
      </c>
    </row>
    <row r="137" spans="1:11">
      <c r="A137">
        <v>1940</v>
      </c>
      <c r="B137" s="1">
        <v>44727</v>
      </c>
      <c r="C137" s="2">
        <v>0.40763888888888888</v>
      </c>
      <c r="D137">
        <v>56</v>
      </c>
      <c r="E137" t="s">
        <v>14</v>
      </c>
      <c r="F137">
        <v>20</v>
      </c>
      <c r="G137" t="s">
        <v>15</v>
      </c>
      <c r="H137">
        <v>1</v>
      </c>
      <c r="I137">
        <v>30</v>
      </c>
      <c r="J137">
        <v>11.1</v>
      </c>
      <c r="K137">
        <v>30</v>
      </c>
    </row>
    <row r="138" spans="1:11">
      <c r="A138">
        <v>101</v>
      </c>
      <c r="B138" s="1">
        <v>44569</v>
      </c>
      <c r="C138" s="2">
        <v>0.36527777777777776</v>
      </c>
      <c r="D138">
        <v>24</v>
      </c>
      <c r="E138" t="s">
        <v>11</v>
      </c>
      <c r="F138">
        <v>32</v>
      </c>
      <c r="G138" t="s">
        <v>12</v>
      </c>
      <c r="H138">
        <v>2</v>
      </c>
      <c r="I138">
        <v>300</v>
      </c>
      <c r="J138">
        <v>135</v>
      </c>
      <c r="K138">
        <v>600</v>
      </c>
    </row>
    <row r="139" spans="1:11">
      <c r="A139">
        <v>1101</v>
      </c>
      <c r="B139" s="1">
        <v>44698</v>
      </c>
      <c r="C139" s="2">
        <v>0.32430555555555557</v>
      </c>
      <c r="D139">
        <v>15</v>
      </c>
      <c r="E139" t="s">
        <v>11</v>
      </c>
      <c r="F139">
        <v>32</v>
      </c>
      <c r="G139" t="s">
        <v>12</v>
      </c>
      <c r="H139">
        <v>2</v>
      </c>
      <c r="I139">
        <v>300</v>
      </c>
      <c r="J139">
        <v>132</v>
      </c>
      <c r="K139">
        <v>600</v>
      </c>
    </row>
    <row r="140" spans="1:11">
      <c r="A140">
        <v>189</v>
      </c>
      <c r="B140" s="1">
        <v>44563</v>
      </c>
      <c r="C140" s="2">
        <v>0.40555555555555556</v>
      </c>
      <c r="D140">
        <v>143</v>
      </c>
      <c r="E140" t="s">
        <v>11</v>
      </c>
      <c r="F140">
        <v>63</v>
      </c>
      <c r="G140" t="s">
        <v>13</v>
      </c>
      <c r="H140">
        <v>1</v>
      </c>
      <c r="I140">
        <v>50</v>
      </c>
      <c r="J140">
        <v>14.5</v>
      </c>
      <c r="K140">
        <v>50</v>
      </c>
    </row>
    <row r="141" spans="1:11">
      <c r="A141">
        <v>317</v>
      </c>
      <c r="B141" s="1">
        <v>44685</v>
      </c>
      <c r="C141" s="2">
        <v>0.32916666666666666</v>
      </c>
      <c r="D141">
        <v>117</v>
      </c>
      <c r="E141" t="s">
        <v>11</v>
      </c>
      <c r="F141">
        <v>22</v>
      </c>
      <c r="G141" t="s">
        <v>15</v>
      </c>
      <c r="H141">
        <v>3</v>
      </c>
      <c r="I141">
        <v>30</v>
      </c>
      <c r="J141">
        <v>12</v>
      </c>
      <c r="K141">
        <v>90</v>
      </c>
    </row>
    <row r="142" spans="1:11">
      <c r="A142">
        <v>322</v>
      </c>
      <c r="B142" s="1">
        <v>44853</v>
      </c>
      <c r="C142" s="2">
        <v>0.25763888888888886</v>
      </c>
      <c r="D142">
        <v>13</v>
      </c>
      <c r="E142" t="s">
        <v>11</v>
      </c>
      <c r="F142">
        <v>51</v>
      </c>
      <c r="G142" t="s">
        <v>15</v>
      </c>
      <c r="H142">
        <v>1</v>
      </c>
      <c r="I142">
        <v>500</v>
      </c>
      <c r="J142">
        <v>125</v>
      </c>
      <c r="K142">
        <v>500</v>
      </c>
    </row>
    <row r="143" spans="1:11">
      <c r="A143">
        <v>329</v>
      </c>
      <c r="B143" s="1">
        <v>44861</v>
      </c>
      <c r="C143" s="2">
        <v>0.32083333333333336</v>
      </c>
      <c r="D143">
        <v>52</v>
      </c>
      <c r="E143" t="s">
        <v>14</v>
      </c>
      <c r="F143">
        <v>46</v>
      </c>
      <c r="G143" t="s">
        <v>15</v>
      </c>
      <c r="H143">
        <v>4</v>
      </c>
      <c r="I143">
        <v>25</v>
      </c>
      <c r="J143">
        <v>8</v>
      </c>
      <c r="K143">
        <v>100</v>
      </c>
    </row>
    <row r="144" spans="1:11">
      <c r="A144">
        <v>1189</v>
      </c>
      <c r="B144" s="1">
        <v>44902</v>
      </c>
      <c r="C144" s="2">
        <v>0.25555555555555554</v>
      </c>
      <c r="D144">
        <v>104</v>
      </c>
      <c r="E144" t="s">
        <v>11</v>
      </c>
      <c r="F144">
        <v>63</v>
      </c>
      <c r="G144" t="s">
        <v>13</v>
      </c>
      <c r="H144">
        <v>1</v>
      </c>
      <c r="I144">
        <v>50</v>
      </c>
      <c r="J144">
        <v>20.5</v>
      </c>
      <c r="K144">
        <v>50</v>
      </c>
    </row>
    <row r="145" spans="1:11">
      <c r="A145">
        <v>1317</v>
      </c>
      <c r="B145" s="1">
        <v>44798</v>
      </c>
      <c r="C145" s="2">
        <v>0.3347222222222222</v>
      </c>
      <c r="D145">
        <v>144</v>
      </c>
      <c r="E145" t="s">
        <v>11</v>
      </c>
      <c r="F145">
        <v>22</v>
      </c>
      <c r="G145" t="s">
        <v>15</v>
      </c>
      <c r="H145">
        <v>3</v>
      </c>
      <c r="I145">
        <v>30</v>
      </c>
      <c r="J145">
        <v>12</v>
      </c>
      <c r="K145">
        <v>90</v>
      </c>
    </row>
    <row r="146" spans="1:11">
      <c r="A146">
        <v>1322</v>
      </c>
      <c r="B146" s="1">
        <v>44879</v>
      </c>
      <c r="C146" s="2">
        <v>0.41388888888888886</v>
      </c>
      <c r="D146">
        <v>10</v>
      </c>
      <c r="E146" t="s">
        <v>11</v>
      </c>
      <c r="F146">
        <v>51</v>
      </c>
      <c r="G146" t="s">
        <v>15</v>
      </c>
      <c r="H146">
        <v>1</v>
      </c>
      <c r="I146">
        <v>500</v>
      </c>
      <c r="J146">
        <v>250</v>
      </c>
      <c r="K146">
        <v>500</v>
      </c>
    </row>
    <row r="147" spans="1:11">
      <c r="A147">
        <v>1329</v>
      </c>
      <c r="B147" s="1">
        <v>44588</v>
      </c>
      <c r="C147" s="2">
        <v>0.44374999999999998</v>
      </c>
      <c r="D147">
        <v>119</v>
      </c>
      <c r="E147" t="s">
        <v>14</v>
      </c>
      <c r="F147">
        <v>46</v>
      </c>
      <c r="G147" t="s">
        <v>15</v>
      </c>
      <c r="H147">
        <v>4</v>
      </c>
      <c r="I147">
        <v>25</v>
      </c>
      <c r="J147">
        <v>9.25</v>
      </c>
      <c r="K147">
        <v>100</v>
      </c>
    </row>
    <row r="148" spans="1:11">
      <c r="A148">
        <v>235</v>
      </c>
      <c r="B148" s="1">
        <v>44630</v>
      </c>
      <c r="C148" s="2">
        <v>0.42569444444444443</v>
      </c>
      <c r="D148">
        <v>132</v>
      </c>
      <c r="E148" t="s">
        <v>14</v>
      </c>
      <c r="F148">
        <v>23</v>
      </c>
      <c r="G148" t="s">
        <v>15</v>
      </c>
      <c r="H148">
        <v>2</v>
      </c>
      <c r="I148">
        <v>500</v>
      </c>
      <c r="J148">
        <v>275</v>
      </c>
      <c r="K148">
        <v>1000</v>
      </c>
    </row>
    <row r="149" spans="1:11">
      <c r="A149">
        <v>300</v>
      </c>
      <c r="B149" s="1">
        <v>44569</v>
      </c>
      <c r="C149" s="2">
        <v>0.40347222222222223</v>
      </c>
      <c r="D149">
        <v>138</v>
      </c>
      <c r="E149" t="s">
        <v>14</v>
      </c>
      <c r="F149">
        <v>19</v>
      </c>
      <c r="G149" t="s">
        <v>15</v>
      </c>
      <c r="H149">
        <v>4</v>
      </c>
      <c r="I149">
        <v>50</v>
      </c>
      <c r="J149">
        <v>26.5</v>
      </c>
      <c r="K149">
        <v>200</v>
      </c>
    </row>
    <row r="150" spans="1:11">
      <c r="A150">
        <v>964</v>
      </c>
      <c r="B150" s="1">
        <v>44799</v>
      </c>
      <c r="C150" s="2">
        <v>0.34583333333333333</v>
      </c>
      <c r="D150">
        <v>15</v>
      </c>
      <c r="E150" t="s">
        <v>11</v>
      </c>
      <c r="F150">
        <v>24</v>
      </c>
      <c r="G150" t="s">
        <v>12</v>
      </c>
      <c r="H150">
        <v>3</v>
      </c>
      <c r="I150">
        <v>300</v>
      </c>
      <c r="J150">
        <v>156</v>
      </c>
      <c r="K150">
        <v>900</v>
      </c>
    </row>
    <row r="151" spans="1:11">
      <c r="A151">
        <v>1235</v>
      </c>
      <c r="B151" s="1">
        <v>44655</v>
      </c>
      <c r="C151" s="2">
        <v>0.28055555555555556</v>
      </c>
      <c r="D151">
        <v>87</v>
      </c>
      <c r="E151" t="s">
        <v>14</v>
      </c>
      <c r="F151">
        <v>23</v>
      </c>
      <c r="G151" t="s">
        <v>15</v>
      </c>
      <c r="H151">
        <v>2</v>
      </c>
      <c r="I151">
        <v>500</v>
      </c>
      <c r="J151">
        <v>220</v>
      </c>
      <c r="K151">
        <v>1000</v>
      </c>
    </row>
    <row r="152" spans="1:11">
      <c r="A152">
        <v>1300</v>
      </c>
      <c r="B152" s="1">
        <v>44781</v>
      </c>
      <c r="C152" s="2">
        <v>0.37291666666666667</v>
      </c>
      <c r="D152">
        <v>7</v>
      </c>
      <c r="E152" t="s">
        <v>14</v>
      </c>
      <c r="F152">
        <v>19</v>
      </c>
      <c r="G152" t="s">
        <v>15</v>
      </c>
      <c r="H152">
        <v>4</v>
      </c>
      <c r="I152">
        <v>50</v>
      </c>
      <c r="J152">
        <v>24</v>
      </c>
      <c r="K152">
        <v>200</v>
      </c>
    </row>
    <row r="153" spans="1:11">
      <c r="A153">
        <v>1964</v>
      </c>
      <c r="B153" s="1">
        <v>44775</v>
      </c>
      <c r="C153" s="2">
        <v>0.35208333333333336</v>
      </c>
      <c r="D153">
        <v>115</v>
      </c>
      <c r="E153" t="s">
        <v>11</v>
      </c>
      <c r="F153">
        <v>24</v>
      </c>
      <c r="G153" t="s">
        <v>12</v>
      </c>
      <c r="H153">
        <v>3</v>
      </c>
      <c r="I153">
        <v>300</v>
      </c>
      <c r="J153">
        <v>111</v>
      </c>
      <c r="K153">
        <v>900</v>
      </c>
    </row>
    <row r="154" spans="1:11">
      <c r="A154">
        <v>269</v>
      </c>
      <c r="B154" s="1">
        <v>44823</v>
      </c>
      <c r="C154" s="2">
        <v>0.47986111111111113</v>
      </c>
      <c r="D154">
        <v>87</v>
      </c>
      <c r="E154" t="s">
        <v>11</v>
      </c>
      <c r="F154">
        <v>25</v>
      </c>
      <c r="G154" t="s">
        <v>12</v>
      </c>
      <c r="H154">
        <v>4</v>
      </c>
      <c r="I154">
        <v>500</v>
      </c>
      <c r="J154">
        <v>250</v>
      </c>
      <c r="K154">
        <v>2000</v>
      </c>
    </row>
    <row r="155" spans="1:11">
      <c r="A155">
        <v>320</v>
      </c>
      <c r="B155" s="1">
        <v>44671</v>
      </c>
      <c r="C155" s="2">
        <v>0.3576388888888889</v>
      </c>
      <c r="D155">
        <v>57</v>
      </c>
      <c r="E155" t="s">
        <v>14</v>
      </c>
      <c r="F155">
        <v>28</v>
      </c>
      <c r="G155" t="s">
        <v>15</v>
      </c>
      <c r="H155">
        <v>4</v>
      </c>
      <c r="I155">
        <v>300</v>
      </c>
      <c r="J155">
        <v>159</v>
      </c>
      <c r="K155">
        <v>1200</v>
      </c>
    </row>
    <row r="156" spans="1:11">
      <c r="A156">
        <v>673</v>
      </c>
      <c r="B156" s="1">
        <v>44746</v>
      </c>
      <c r="C156" s="2">
        <v>0.42638888888888887</v>
      </c>
      <c r="D156">
        <v>18</v>
      </c>
      <c r="E156" t="s">
        <v>14</v>
      </c>
      <c r="F156">
        <v>43</v>
      </c>
      <c r="G156" t="s">
        <v>12</v>
      </c>
      <c r="H156">
        <v>3</v>
      </c>
      <c r="I156">
        <v>500</v>
      </c>
      <c r="J156">
        <v>270</v>
      </c>
      <c r="K156">
        <v>1500</v>
      </c>
    </row>
    <row r="157" spans="1:11">
      <c r="A157">
        <v>1269</v>
      </c>
      <c r="B157" s="1">
        <v>44562</v>
      </c>
      <c r="C157" s="2">
        <v>0.33958333333333335</v>
      </c>
      <c r="D157">
        <v>71</v>
      </c>
      <c r="E157" t="s">
        <v>11</v>
      </c>
      <c r="F157">
        <v>25</v>
      </c>
      <c r="G157" t="s">
        <v>12</v>
      </c>
      <c r="H157">
        <v>4</v>
      </c>
      <c r="I157">
        <v>500</v>
      </c>
      <c r="J157">
        <v>145</v>
      </c>
      <c r="K157">
        <v>2000</v>
      </c>
    </row>
    <row r="158" spans="1:11">
      <c r="A158">
        <v>1320</v>
      </c>
      <c r="B158" s="1">
        <v>44867</v>
      </c>
      <c r="C158" s="2">
        <v>0.49652777777777779</v>
      </c>
      <c r="D158">
        <v>102</v>
      </c>
      <c r="E158" t="s">
        <v>14</v>
      </c>
      <c r="F158">
        <v>28</v>
      </c>
      <c r="G158" t="s">
        <v>15</v>
      </c>
      <c r="H158">
        <v>4</v>
      </c>
      <c r="I158">
        <v>300</v>
      </c>
      <c r="J158">
        <v>84</v>
      </c>
      <c r="K158">
        <v>1200</v>
      </c>
    </row>
    <row r="159" spans="1:11">
      <c r="A159">
        <v>1673</v>
      </c>
      <c r="B159" s="1">
        <v>44726</v>
      </c>
      <c r="C159" s="2">
        <v>0.31666666666666665</v>
      </c>
      <c r="D159">
        <v>42</v>
      </c>
      <c r="E159" t="s">
        <v>14</v>
      </c>
      <c r="F159">
        <v>43</v>
      </c>
      <c r="G159" t="s">
        <v>12</v>
      </c>
      <c r="H159">
        <v>3</v>
      </c>
      <c r="I159">
        <v>500</v>
      </c>
      <c r="J159">
        <v>185</v>
      </c>
      <c r="K159">
        <v>1500</v>
      </c>
    </row>
    <row r="160" spans="1:11">
      <c r="A160">
        <v>142</v>
      </c>
      <c r="B160" s="1">
        <v>44659</v>
      </c>
      <c r="C160" s="2">
        <v>0.4201388888888889</v>
      </c>
      <c r="D160">
        <v>61</v>
      </c>
      <c r="E160" t="s">
        <v>11</v>
      </c>
      <c r="F160">
        <v>35</v>
      </c>
      <c r="G160" t="s">
        <v>15</v>
      </c>
      <c r="H160">
        <v>4</v>
      </c>
      <c r="I160">
        <v>300</v>
      </c>
      <c r="J160">
        <v>138</v>
      </c>
      <c r="K160">
        <v>1200</v>
      </c>
    </row>
    <row r="161" spans="1:11">
      <c r="A161">
        <v>223</v>
      </c>
      <c r="B161" s="1">
        <v>44576</v>
      </c>
      <c r="C161" s="2">
        <v>0.47083333333333333</v>
      </c>
      <c r="D161">
        <v>61</v>
      </c>
      <c r="E161" t="s">
        <v>14</v>
      </c>
      <c r="F161">
        <v>64</v>
      </c>
      <c r="G161" t="s">
        <v>12</v>
      </c>
      <c r="H161">
        <v>1</v>
      </c>
      <c r="I161">
        <v>25</v>
      </c>
      <c r="J161">
        <v>12</v>
      </c>
      <c r="K161">
        <v>25</v>
      </c>
    </row>
    <row r="162" spans="1:11">
      <c r="A162">
        <v>666</v>
      </c>
      <c r="B162" s="1">
        <v>44623</v>
      </c>
      <c r="C162" s="2">
        <v>0.45763888888888887</v>
      </c>
      <c r="D162">
        <v>49</v>
      </c>
      <c r="E162" t="s">
        <v>11</v>
      </c>
      <c r="F162">
        <v>51</v>
      </c>
      <c r="G162" t="s">
        <v>15</v>
      </c>
      <c r="H162">
        <v>3</v>
      </c>
      <c r="I162">
        <v>50</v>
      </c>
      <c r="J162">
        <v>16</v>
      </c>
      <c r="K162">
        <v>150</v>
      </c>
    </row>
    <row r="163" spans="1:11">
      <c r="A163">
        <v>1142</v>
      </c>
      <c r="B163" s="1">
        <v>44874</v>
      </c>
      <c r="C163" s="2">
        <v>0.40902777777777777</v>
      </c>
      <c r="D163">
        <v>2</v>
      </c>
      <c r="E163" t="s">
        <v>11</v>
      </c>
      <c r="F163">
        <v>35</v>
      </c>
      <c r="G163" t="s">
        <v>15</v>
      </c>
      <c r="H163">
        <v>4</v>
      </c>
      <c r="I163">
        <v>300</v>
      </c>
      <c r="J163">
        <v>114</v>
      </c>
      <c r="K163">
        <v>1200</v>
      </c>
    </row>
    <row r="164" spans="1:11">
      <c r="A164">
        <v>1223</v>
      </c>
      <c r="B164" s="1">
        <v>44612</v>
      </c>
      <c r="C164" s="2">
        <v>0.31944444444444442</v>
      </c>
      <c r="D164">
        <v>106</v>
      </c>
      <c r="E164" t="s">
        <v>14</v>
      </c>
      <c r="F164">
        <v>64</v>
      </c>
      <c r="G164" t="s">
        <v>12</v>
      </c>
      <c r="H164">
        <v>1</v>
      </c>
      <c r="I164">
        <v>25</v>
      </c>
      <c r="J164">
        <v>9.75</v>
      </c>
      <c r="K164">
        <v>25</v>
      </c>
    </row>
    <row r="165" spans="1:11">
      <c r="A165">
        <v>1666</v>
      </c>
      <c r="B165" s="1">
        <v>44903</v>
      </c>
      <c r="C165" s="2">
        <v>0.4236111111111111</v>
      </c>
      <c r="D165">
        <v>125</v>
      </c>
      <c r="E165" t="s">
        <v>11</v>
      </c>
      <c r="F165">
        <v>51</v>
      </c>
      <c r="G165" t="s">
        <v>15</v>
      </c>
      <c r="H165">
        <v>3</v>
      </c>
      <c r="I165">
        <v>50</v>
      </c>
      <c r="J165">
        <v>21</v>
      </c>
      <c r="K165">
        <v>150</v>
      </c>
    </row>
    <row r="166" spans="1:11">
      <c r="A166">
        <v>107</v>
      </c>
      <c r="B166" s="1">
        <v>44840</v>
      </c>
      <c r="C166" s="2">
        <v>0.38750000000000001</v>
      </c>
      <c r="D166">
        <v>75</v>
      </c>
      <c r="E166" t="s">
        <v>14</v>
      </c>
      <c r="F166">
        <v>21</v>
      </c>
      <c r="G166" t="s">
        <v>12</v>
      </c>
      <c r="H166">
        <v>4</v>
      </c>
      <c r="I166">
        <v>300</v>
      </c>
      <c r="J166">
        <v>78</v>
      </c>
      <c r="K166">
        <v>1200</v>
      </c>
    </row>
    <row r="167" spans="1:11">
      <c r="A167">
        <v>933</v>
      </c>
      <c r="B167" s="1">
        <v>44823</v>
      </c>
      <c r="C167" s="2">
        <v>0.32847222222222222</v>
      </c>
      <c r="D167">
        <v>81</v>
      </c>
      <c r="E167" t="s">
        <v>11</v>
      </c>
      <c r="F167">
        <v>22</v>
      </c>
      <c r="G167" t="s">
        <v>13</v>
      </c>
      <c r="H167">
        <v>1</v>
      </c>
      <c r="I167">
        <v>30</v>
      </c>
      <c r="J167">
        <v>12.9</v>
      </c>
      <c r="K167">
        <v>30</v>
      </c>
    </row>
    <row r="168" spans="1:11">
      <c r="A168">
        <v>1107</v>
      </c>
      <c r="B168" s="1">
        <v>44926</v>
      </c>
      <c r="C168" s="2">
        <v>0.46805555555555556</v>
      </c>
      <c r="D168">
        <v>62</v>
      </c>
      <c r="E168" t="s">
        <v>14</v>
      </c>
      <c r="F168">
        <v>21</v>
      </c>
      <c r="G168" t="s">
        <v>12</v>
      </c>
      <c r="H168">
        <v>4</v>
      </c>
      <c r="I168">
        <v>300</v>
      </c>
      <c r="J168">
        <v>102</v>
      </c>
      <c r="K168">
        <v>1200</v>
      </c>
    </row>
    <row r="169" spans="1:11">
      <c r="A169">
        <v>1933</v>
      </c>
      <c r="B169" s="1">
        <v>44573</v>
      </c>
      <c r="C169" s="2">
        <v>0.46111111111111114</v>
      </c>
      <c r="D169">
        <v>121</v>
      </c>
      <c r="E169" t="s">
        <v>11</v>
      </c>
      <c r="F169">
        <v>22</v>
      </c>
      <c r="G169" t="s">
        <v>13</v>
      </c>
      <c r="H169">
        <v>1</v>
      </c>
      <c r="I169">
        <v>30</v>
      </c>
      <c r="J169">
        <v>14.4</v>
      </c>
      <c r="K169">
        <v>30</v>
      </c>
    </row>
    <row r="170" spans="1:11">
      <c r="A170">
        <v>237</v>
      </c>
      <c r="B170" s="1">
        <v>44662</v>
      </c>
      <c r="C170" s="2">
        <v>0.37083333333333335</v>
      </c>
      <c r="D170">
        <v>105</v>
      </c>
      <c r="E170" t="s">
        <v>14</v>
      </c>
      <c r="F170">
        <v>50</v>
      </c>
      <c r="G170" t="s">
        <v>13</v>
      </c>
      <c r="H170">
        <v>2</v>
      </c>
      <c r="I170">
        <v>500</v>
      </c>
      <c r="J170">
        <v>165</v>
      </c>
      <c r="K170">
        <v>1000</v>
      </c>
    </row>
    <row r="171" spans="1:11">
      <c r="A171">
        <v>335</v>
      </c>
      <c r="B171" s="1">
        <v>44594</v>
      </c>
      <c r="C171" s="2">
        <v>0.39097222222222222</v>
      </c>
      <c r="D171">
        <v>2</v>
      </c>
      <c r="E171" t="s">
        <v>14</v>
      </c>
      <c r="F171">
        <v>47</v>
      </c>
      <c r="G171" t="s">
        <v>13</v>
      </c>
      <c r="H171">
        <v>4</v>
      </c>
      <c r="I171">
        <v>30</v>
      </c>
      <c r="J171">
        <v>10.8</v>
      </c>
      <c r="K171">
        <v>120</v>
      </c>
    </row>
    <row r="172" spans="1:11">
      <c r="A172">
        <v>1237</v>
      </c>
      <c r="B172" s="1">
        <v>44615</v>
      </c>
      <c r="C172" s="2">
        <v>0.3888888888888889</v>
      </c>
      <c r="D172">
        <v>48</v>
      </c>
      <c r="E172" t="s">
        <v>14</v>
      </c>
      <c r="F172">
        <v>50</v>
      </c>
      <c r="G172" t="s">
        <v>13</v>
      </c>
      <c r="H172">
        <v>2</v>
      </c>
      <c r="I172">
        <v>500</v>
      </c>
      <c r="J172">
        <v>215</v>
      </c>
      <c r="K172">
        <v>1000</v>
      </c>
    </row>
    <row r="173" spans="1:11">
      <c r="A173">
        <v>1335</v>
      </c>
      <c r="B173" s="1">
        <v>44708</v>
      </c>
      <c r="C173" s="2">
        <v>0.36458333333333331</v>
      </c>
      <c r="D173">
        <v>117</v>
      </c>
      <c r="E173" t="s">
        <v>14</v>
      </c>
      <c r="F173">
        <v>47</v>
      </c>
      <c r="G173" t="s">
        <v>13</v>
      </c>
      <c r="H173">
        <v>4</v>
      </c>
      <c r="I173">
        <v>30</v>
      </c>
      <c r="J173">
        <v>8.6999999999999993</v>
      </c>
      <c r="K173">
        <v>120</v>
      </c>
    </row>
    <row r="174" spans="1:11">
      <c r="A174">
        <v>63</v>
      </c>
      <c r="B174" s="1">
        <v>44595</v>
      </c>
      <c r="C174" s="2">
        <v>0.49236111111111114</v>
      </c>
      <c r="D174">
        <v>127</v>
      </c>
      <c r="E174" t="s">
        <v>11</v>
      </c>
      <c r="F174">
        <v>57</v>
      </c>
      <c r="G174" t="s">
        <v>15</v>
      </c>
      <c r="H174">
        <v>2</v>
      </c>
      <c r="I174">
        <v>25</v>
      </c>
      <c r="J174">
        <v>6.25</v>
      </c>
      <c r="K174">
        <v>50</v>
      </c>
    </row>
    <row r="175" spans="1:11">
      <c r="A175">
        <v>195</v>
      </c>
      <c r="B175" s="1">
        <v>44787</v>
      </c>
      <c r="C175" s="2">
        <v>0.49375000000000002</v>
      </c>
      <c r="D175">
        <v>10</v>
      </c>
      <c r="E175" t="s">
        <v>11</v>
      </c>
      <c r="F175">
        <v>52</v>
      </c>
      <c r="G175" t="s">
        <v>12</v>
      </c>
      <c r="H175">
        <v>1</v>
      </c>
      <c r="I175">
        <v>30</v>
      </c>
      <c r="J175">
        <v>9.3000000000000007</v>
      </c>
      <c r="K175">
        <v>30</v>
      </c>
    </row>
    <row r="176" spans="1:11">
      <c r="A176">
        <v>333</v>
      </c>
      <c r="B176" s="1">
        <v>44840</v>
      </c>
      <c r="C176" s="2">
        <v>0.34375</v>
      </c>
      <c r="D176">
        <v>21</v>
      </c>
      <c r="E176" t="s">
        <v>14</v>
      </c>
      <c r="F176">
        <v>54</v>
      </c>
      <c r="G176" t="s">
        <v>15</v>
      </c>
      <c r="H176">
        <v>4</v>
      </c>
      <c r="I176">
        <v>300</v>
      </c>
      <c r="J176">
        <v>99</v>
      </c>
      <c r="K176">
        <v>1200</v>
      </c>
    </row>
    <row r="177" spans="1:11">
      <c r="A177">
        <v>379</v>
      </c>
      <c r="B177" s="1">
        <v>44713</v>
      </c>
      <c r="C177" s="2">
        <v>0.31111111111111112</v>
      </c>
      <c r="D177">
        <v>76</v>
      </c>
      <c r="E177" t="s">
        <v>14</v>
      </c>
      <c r="F177">
        <v>47</v>
      </c>
      <c r="G177" t="s">
        <v>12</v>
      </c>
      <c r="H177">
        <v>1</v>
      </c>
      <c r="I177">
        <v>25</v>
      </c>
      <c r="J177">
        <v>8.5</v>
      </c>
      <c r="K177">
        <v>25</v>
      </c>
    </row>
    <row r="178" spans="1:11">
      <c r="A178">
        <v>490</v>
      </c>
      <c r="B178" s="1">
        <v>44588</v>
      </c>
      <c r="C178" s="2">
        <v>0.25486111111111109</v>
      </c>
      <c r="D178">
        <v>43</v>
      </c>
      <c r="E178" t="s">
        <v>11</v>
      </c>
      <c r="F178">
        <v>34</v>
      </c>
      <c r="G178" t="s">
        <v>12</v>
      </c>
      <c r="H178">
        <v>3</v>
      </c>
      <c r="I178">
        <v>50</v>
      </c>
      <c r="J178">
        <v>18.5</v>
      </c>
      <c r="K178">
        <v>150</v>
      </c>
    </row>
    <row r="179" spans="1:11">
      <c r="A179">
        <v>530</v>
      </c>
      <c r="B179" s="1">
        <v>44682</v>
      </c>
      <c r="C179" s="2">
        <v>0.32777777777777778</v>
      </c>
      <c r="D179">
        <v>8</v>
      </c>
      <c r="E179" t="s">
        <v>14</v>
      </c>
      <c r="F179">
        <v>18</v>
      </c>
      <c r="G179" t="s">
        <v>15</v>
      </c>
      <c r="H179">
        <v>4</v>
      </c>
      <c r="I179">
        <v>30</v>
      </c>
      <c r="J179">
        <v>9</v>
      </c>
      <c r="K179">
        <v>120</v>
      </c>
    </row>
    <row r="180" spans="1:11">
      <c r="A180">
        <v>740</v>
      </c>
      <c r="B180" s="1">
        <v>44896</v>
      </c>
      <c r="C180" s="2">
        <v>0.2902777777777778</v>
      </c>
      <c r="D180">
        <v>33</v>
      </c>
      <c r="E180" t="s">
        <v>14</v>
      </c>
      <c r="F180">
        <v>25</v>
      </c>
      <c r="G180" t="s">
        <v>13</v>
      </c>
      <c r="H180">
        <v>4</v>
      </c>
      <c r="I180">
        <v>50</v>
      </c>
      <c r="J180">
        <v>13</v>
      </c>
      <c r="K180">
        <v>200</v>
      </c>
    </row>
    <row r="181" spans="1:11">
      <c r="A181">
        <v>793</v>
      </c>
      <c r="B181" s="1">
        <v>44708</v>
      </c>
      <c r="C181" s="2">
        <v>0.45347222222222222</v>
      </c>
      <c r="D181">
        <v>1</v>
      </c>
      <c r="E181" t="s">
        <v>11</v>
      </c>
      <c r="F181">
        <v>54</v>
      </c>
      <c r="G181" t="s">
        <v>13</v>
      </c>
      <c r="H181">
        <v>1</v>
      </c>
      <c r="I181">
        <v>30</v>
      </c>
      <c r="J181">
        <v>14.7</v>
      </c>
      <c r="K181">
        <v>30</v>
      </c>
    </row>
    <row r="182" spans="1:11">
      <c r="A182">
        <v>1063</v>
      </c>
      <c r="B182" s="1">
        <v>44777</v>
      </c>
      <c r="C182" s="2">
        <v>0.43472222222222223</v>
      </c>
      <c r="D182">
        <v>56</v>
      </c>
      <c r="E182" t="s">
        <v>11</v>
      </c>
      <c r="F182">
        <v>57</v>
      </c>
      <c r="G182" t="s">
        <v>15</v>
      </c>
      <c r="H182">
        <v>2</v>
      </c>
      <c r="I182">
        <v>25</v>
      </c>
      <c r="J182">
        <v>11</v>
      </c>
      <c r="K182">
        <v>50</v>
      </c>
    </row>
    <row r="183" spans="1:11">
      <c r="A183">
        <v>1195</v>
      </c>
      <c r="B183" s="1">
        <v>44825</v>
      </c>
      <c r="C183" s="2">
        <v>0.29652777777777778</v>
      </c>
      <c r="D183">
        <v>55</v>
      </c>
      <c r="E183" t="s">
        <v>11</v>
      </c>
      <c r="F183">
        <v>52</v>
      </c>
      <c r="G183" t="s">
        <v>12</v>
      </c>
      <c r="H183">
        <v>1</v>
      </c>
      <c r="I183">
        <v>30</v>
      </c>
      <c r="J183">
        <v>12</v>
      </c>
      <c r="K183">
        <v>30</v>
      </c>
    </row>
    <row r="184" spans="1:11">
      <c r="A184">
        <v>1333</v>
      </c>
      <c r="B184" s="1">
        <v>44866</v>
      </c>
      <c r="C184" s="2">
        <v>0.48472222222222222</v>
      </c>
      <c r="D184">
        <v>151</v>
      </c>
      <c r="E184" t="s">
        <v>14</v>
      </c>
      <c r="F184">
        <v>54</v>
      </c>
      <c r="G184" t="s">
        <v>15</v>
      </c>
      <c r="H184">
        <v>4</v>
      </c>
      <c r="I184">
        <v>300</v>
      </c>
      <c r="J184">
        <v>165</v>
      </c>
      <c r="K184">
        <v>1200</v>
      </c>
    </row>
    <row r="185" spans="1:11">
      <c r="A185">
        <v>1379</v>
      </c>
      <c r="B185" s="1">
        <v>44563</v>
      </c>
      <c r="C185" s="2">
        <v>0.26597222222222222</v>
      </c>
      <c r="D185">
        <v>69</v>
      </c>
      <c r="E185" t="s">
        <v>14</v>
      </c>
      <c r="F185">
        <v>47</v>
      </c>
      <c r="G185" t="s">
        <v>12</v>
      </c>
      <c r="H185">
        <v>1</v>
      </c>
      <c r="I185">
        <v>25</v>
      </c>
      <c r="J185">
        <v>7.25</v>
      </c>
      <c r="K185">
        <v>25</v>
      </c>
    </row>
    <row r="186" spans="1:11">
      <c r="A186">
        <v>1490</v>
      </c>
      <c r="B186" s="1">
        <v>44860</v>
      </c>
      <c r="C186" s="2">
        <v>0.30208333333333331</v>
      </c>
      <c r="D186">
        <v>155</v>
      </c>
      <c r="E186" t="s">
        <v>11</v>
      </c>
      <c r="F186">
        <v>34</v>
      </c>
      <c r="G186" t="s">
        <v>12</v>
      </c>
      <c r="H186">
        <v>3</v>
      </c>
      <c r="I186">
        <v>50</v>
      </c>
      <c r="J186">
        <v>17</v>
      </c>
      <c r="K186">
        <v>150</v>
      </c>
    </row>
    <row r="187" spans="1:11">
      <c r="A187">
        <v>1530</v>
      </c>
      <c r="B187" s="1">
        <v>44905</v>
      </c>
      <c r="C187" s="2">
        <v>0.34513888888888888</v>
      </c>
      <c r="D187">
        <v>93</v>
      </c>
      <c r="E187" t="s">
        <v>14</v>
      </c>
      <c r="F187">
        <v>18</v>
      </c>
      <c r="G187" t="s">
        <v>15</v>
      </c>
      <c r="H187">
        <v>4</v>
      </c>
      <c r="I187">
        <v>30</v>
      </c>
      <c r="J187">
        <v>12.3</v>
      </c>
      <c r="K187">
        <v>120</v>
      </c>
    </row>
    <row r="188" spans="1:11">
      <c r="A188">
        <v>1740</v>
      </c>
      <c r="B188" s="1">
        <v>44758</v>
      </c>
      <c r="C188" s="2">
        <v>0.25069444444444444</v>
      </c>
      <c r="D188">
        <v>66</v>
      </c>
      <c r="E188" t="s">
        <v>14</v>
      </c>
      <c r="F188">
        <v>25</v>
      </c>
      <c r="G188" t="s">
        <v>13</v>
      </c>
      <c r="H188">
        <v>4</v>
      </c>
      <c r="I188">
        <v>50</v>
      </c>
      <c r="J188">
        <v>27</v>
      </c>
      <c r="K188">
        <v>200</v>
      </c>
    </row>
    <row r="189" spans="1:11">
      <c r="A189">
        <v>1793</v>
      </c>
      <c r="B189" s="1">
        <v>44906</v>
      </c>
      <c r="C189" s="2">
        <v>0.25347222222222221</v>
      </c>
      <c r="D189">
        <v>88</v>
      </c>
      <c r="E189" t="s">
        <v>11</v>
      </c>
      <c r="F189">
        <v>54</v>
      </c>
      <c r="G189" t="s">
        <v>13</v>
      </c>
      <c r="H189">
        <v>1</v>
      </c>
      <c r="I189">
        <v>30</v>
      </c>
      <c r="J189">
        <v>10.8</v>
      </c>
      <c r="K189">
        <v>30</v>
      </c>
    </row>
    <row r="190" spans="1:11">
      <c r="A190">
        <v>85</v>
      </c>
      <c r="B190" s="1">
        <v>44807</v>
      </c>
      <c r="C190" s="2">
        <v>0.33680555555555558</v>
      </c>
      <c r="D190">
        <v>68</v>
      </c>
      <c r="E190" t="s">
        <v>11</v>
      </c>
      <c r="F190">
        <v>31</v>
      </c>
      <c r="G190" t="s">
        <v>12</v>
      </c>
      <c r="H190">
        <v>3</v>
      </c>
      <c r="I190">
        <v>50</v>
      </c>
      <c r="J190">
        <v>19</v>
      </c>
      <c r="K190">
        <v>150</v>
      </c>
    </row>
    <row r="191" spans="1:11">
      <c r="A191">
        <v>232</v>
      </c>
      <c r="B191" s="1">
        <v>44785</v>
      </c>
      <c r="C191" s="2">
        <v>0.30138888888888887</v>
      </c>
      <c r="D191">
        <v>150</v>
      </c>
      <c r="E191" t="s">
        <v>14</v>
      </c>
      <c r="F191">
        <v>43</v>
      </c>
      <c r="G191" t="s">
        <v>13</v>
      </c>
      <c r="H191">
        <v>1</v>
      </c>
      <c r="I191">
        <v>25</v>
      </c>
      <c r="J191">
        <v>12.75</v>
      </c>
      <c r="K191">
        <v>25</v>
      </c>
    </row>
    <row r="192" spans="1:11">
      <c r="A192">
        <v>240</v>
      </c>
      <c r="B192" s="1">
        <v>44870</v>
      </c>
      <c r="C192" s="2">
        <v>0.49236111111111114</v>
      </c>
      <c r="D192">
        <v>95</v>
      </c>
      <c r="E192" t="s">
        <v>14</v>
      </c>
      <c r="F192">
        <v>23</v>
      </c>
      <c r="G192" t="s">
        <v>13</v>
      </c>
      <c r="H192">
        <v>1</v>
      </c>
      <c r="I192">
        <v>300</v>
      </c>
      <c r="J192">
        <v>123</v>
      </c>
      <c r="K192">
        <v>300</v>
      </c>
    </row>
    <row r="193" spans="1:11">
      <c r="A193">
        <v>993</v>
      </c>
      <c r="B193" s="1">
        <v>44811</v>
      </c>
      <c r="C193" s="2">
        <v>0.38958333333333334</v>
      </c>
      <c r="D193">
        <v>134</v>
      </c>
      <c r="E193" t="s">
        <v>14</v>
      </c>
      <c r="F193">
        <v>48</v>
      </c>
      <c r="G193" t="s">
        <v>15</v>
      </c>
      <c r="H193">
        <v>3</v>
      </c>
      <c r="I193">
        <v>50</v>
      </c>
      <c r="J193">
        <v>17</v>
      </c>
      <c r="K193">
        <v>150</v>
      </c>
    </row>
    <row r="194" spans="1:11">
      <c r="A194">
        <v>1085</v>
      </c>
      <c r="B194" s="1">
        <v>44785</v>
      </c>
      <c r="C194" s="2">
        <v>0.39513888888888887</v>
      </c>
      <c r="D194">
        <v>76</v>
      </c>
      <c r="E194" t="s">
        <v>11</v>
      </c>
      <c r="F194">
        <v>31</v>
      </c>
      <c r="G194" t="s">
        <v>12</v>
      </c>
      <c r="H194">
        <v>3</v>
      </c>
      <c r="I194">
        <v>50</v>
      </c>
      <c r="J194">
        <v>17</v>
      </c>
      <c r="K194">
        <v>150</v>
      </c>
    </row>
    <row r="195" spans="1:11">
      <c r="A195">
        <v>1232</v>
      </c>
      <c r="B195" s="1">
        <v>44704</v>
      </c>
      <c r="C195" s="2">
        <v>0.33680555555555558</v>
      </c>
      <c r="D195">
        <v>146</v>
      </c>
      <c r="E195" t="s">
        <v>14</v>
      </c>
      <c r="F195">
        <v>43</v>
      </c>
      <c r="G195" t="s">
        <v>13</v>
      </c>
      <c r="H195">
        <v>1</v>
      </c>
      <c r="I195">
        <v>25</v>
      </c>
      <c r="J195">
        <v>6.25</v>
      </c>
      <c r="K195">
        <v>25</v>
      </c>
    </row>
    <row r="196" spans="1:11">
      <c r="A196">
        <v>1240</v>
      </c>
      <c r="B196" s="1">
        <v>44780</v>
      </c>
      <c r="C196" s="2">
        <v>0.32083333333333336</v>
      </c>
      <c r="D196">
        <v>144</v>
      </c>
      <c r="E196" t="s">
        <v>14</v>
      </c>
      <c r="F196">
        <v>23</v>
      </c>
      <c r="G196" t="s">
        <v>13</v>
      </c>
      <c r="H196">
        <v>1</v>
      </c>
      <c r="I196">
        <v>300</v>
      </c>
      <c r="J196">
        <v>90</v>
      </c>
      <c r="K196">
        <v>300</v>
      </c>
    </row>
    <row r="197" spans="1:11">
      <c r="A197">
        <v>1993</v>
      </c>
      <c r="B197" s="1">
        <v>44924</v>
      </c>
      <c r="C197" s="2">
        <v>0.49513888888888891</v>
      </c>
      <c r="D197">
        <v>123</v>
      </c>
      <c r="E197" t="s">
        <v>14</v>
      </c>
      <c r="F197">
        <v>48</v>
      </c>
      <c r="G197" t="s">
        <v>15</v>
      </c>
      <c r="H197">
        <v>3</v>
      </c>
      <c r="I197">
        <v>50</v>
      </c>
      <c r="J197">
        <v>26.5</v>
      </c>
      <c r="K197">
        <v>150</v>
      </c>
    </row>
    <row r="198" spans="1:11">
      <c r="A198">
        <v>366</v>
      </c>
      <c r="B198" s="1">
        <v>44863</v>
      </c>
      <c r="C198" s="2">
        <v>0.3972222222222222</v>
      </c>
      <c r="D198">
        <v>116</v>
      </c>
      <c r="E198" t="s">
        <v>11</v>
      </c>
      <c r="F198">
        <v>57</v>
      </c>
      <c r="G198" t="s">
        <v>12</v>
      </c>
      <c r="H198">
        <v>2</v>
      </c>
      <c r="I198">
        <v>50</v>
      </c>
      <c r="J198">
        <v>17.5</v>
      </c>
      <c r="K198">
        <v>100</v>
      </c>
    </row>
    <row r="199" spans="1:11">
      <c r="A199">
        <v>372</v>
      </c>
      <c r="B199" s="1">
        <v>44731</v>
      </c>
      <c r="C199" s="2">
        <v>0.48958333333333331</v>
      </c>
      <c r="D199">
        <v>27</v>
      </c>
      <c r="E199" t="s">
        <v>14</v>
      </c>
      <c r="F199">
        <v>24</v>
      </c>
      <c r="G199" t="s">
        <v>13</v>
      </c>
      <c r="H199">
        <v>3</v>
      </c>
      <c r="I199">
        <v>500</v>
      </c>
      <c r="J199">
        <v>140</v>
      </c>
      <c r="K199">
        <v>1500</v>
      </c>
    </row>
    <row r="200" spans="1:11">
      <c r="A200">
        <v>596</v>
      </c>
      <c r="B200" s="1">
        <v>44604</v>
      </c>
      <c r="C200" s="2">
        <v>0.36388888888888887</v>
      </c>
      <c r="D200">
        <v>87</v>
      </c>
      <c r="E200" t="s">
        <v>14</v>
      </c>
      <c r="F200">
        <v>64</v>
      </c>
      <c r="G200" t="s">
        <v>15</v>
      </c>
      <c r="H200">
        <v>1</v>
      </c>
      <c r="I200">
        <v>300</v>
      </c>
      <c r="J200">
        <v>93</v>
      </c>
      <c r="K200">
        <v>300</v>
      </c>
    </row>
    <row r="201" spans="1:11">
      <c r="A201">
        <v>936</v>
      </c>
      <c r="B201" s="1">
        <v>44566</v>
      </c>
      <c r="C201" s="2">
        <v>0.45208333333333334</v>
      </c>
      <c r="D201">
        <v>143</v>
      </c>
      <c r="E201" t="s">
        <v>11</v>
      </c>
      <c r="F201">
        <v>57</v>
      </c>
      <c r="G201" t="s">
        <v>13</v>
      </c>
      <c r="H201">
        <v>4</v>
      </c>
      <c r="I201">
        <v>50</v>
      </c>
      <c r="J201">
        <v>19.5</v>
      </c>
      <c r="K201">
        <v>200</v>
      </c>
    </row>
    <row r="202" spans="1:11">
      <c r="A202">
        <v>1366</v>
      </c>
      <c r="B202" s="1">
        <v>44562</v>
      </c>
      <c r="C202" s="2">
        <v>0.48194444444444445</v>
      </c>
      <c r="D202">
        <v>25</v>
      </c>
      <c r="E202" t="s">
        <v>11</v>
      </c>
      <c r="F202">
        <v>57</v>
      </c>
      <c r="G202" t="s">
        <v>12</v>
      </c>
      <c r="H202">
        <v>2</v>
      </c>
      <c r="I202">
        <v>50</v>
      </c>
      <c r="J202">
        <v>23.5</v>
      </c>
      <c r="K202">
        <v>100</v>
      </c>
    </row>
    <row r="203" spans="1:11">
      <c r="A203">
        <v>1372</v>
      </c>
      <c r="B203" s="1">
        <v>44638</v>
      </c>
      <c r="C203" s="2">
        <v>0.45347222222222222</v>
      </c>
      <c r="D203">
        <v>60</v>
      </c>
      <c r="E203" t="s">
        <v>14</v>
      </c>
      <c r="F203">
        <v>24</v>
      </c>
      <c r="G203" t="s">
        <v>13</v>
      </c>
      <c r="H203">
        <v>3</v>
      </c>
      <c r="I203">
        <v>500</v>
      </c>
      <c r="J203">
        <v>145</v>
      </c>
      <c r="K203">
        <v>1500</v>
      </c>
    </row>
    <row r="204" spans="1:11">
      <c r="A204">
        <v>1596</v>
      </c>
      <c r="B204" s="1">
        <v>44648</v>
      </c>
      <c r="C204" s="2">
        <v>0.26527777777777778</v>
      </c>
      <c r="D204">
        <v>7</v>
      </c>
      <c r="E204" t="s">
        <v>14</v>
      </c>
      <c r="F204">
        <v>64</v>
      </c>
      <c r="G204" t="s">
        <v>15</v>
      </c>
      <c r="H204">
        <v>1</v>
      </c>
      <c r="I204">
        <v>300</v>
      </c>
      <c r="J204">
        <v>141</v>
      </c>
      <c r="K204">
        <v>300</v>
      </c>
    </row>
    <row r="205" spans="1:11">
      <c r="A205">
        <v>1936</v>
      </c>
      <c r="B205" s="1">
        <v>44731</v>
      </c>
      <c r="C205" s="2">
        <v>0.48055555555555557</v>
      </c>
      <c r="D205">
        <v>60</v>
      </c>
      <c r="E205" t="s">
        <v>11</v>
      </c>
      <c r="F205">
        <v>57</v>
      </c>
      <c r="G205" t="s">
        <v>13</v>
      </c>
      <c r="H205">
        <v>4</v>
      </c>
      <c r="I205">
        <v>50</v>
      </c>
      <c r="J205">
        <v>12.5</v>
      </c>
      <c r="K205">
        <v>200</v>
      </c>
    </row>
    <row r="206" spans="1:11">
      <c r="A206">
        <v>284</v>
      </c>
      <c r="B206" s="1">
        <v>44877</v>
      </c>
      <c r="C206" s="2">
        <v>0.38680555555555557</v>
      </c>
      <c r="D206">
        <v>129</v>
      </c>
      <c r="E206" t="s">
        <v>11</v>
      </c>
      <c r="F206">
        <v>43</v>
      </c>
      <c r="G206" t="s">
        <v>12</v>
      </c>
      <c r="H206">
        <v>4</v>
      </c>
      <c r="I206">
        <v>50</v>
      </c>
      <c r="J206">
        <v>20.5</v>
      </c>
      <c r="K206">
        <v>200</v>
      </c>
    </row>
    <row r="207" spans="1:11">
      <c r="A207">
        <v>434</v>
      </c>
      <c r="B207" s="1">
        <v>44860</v>
      </c>
      <c r="C207" s="2">
        <v>0.25624999999999998</v>
      </c>
      <c r="D207">
        <v>50</v>
      </c>
      <c r="E207" t="s">
        <v>14</v>
      </c>
      <c r="F207">
        <v>43</v>
      </c>
      <c r="G207" t="s">
        <v>15</v>
      </c>
      <c r="H207">
        <v>2</v>
      </c>
      <c r="I207">
        <v>25</v>
      </c>
      <c r="J207">
        <v>8.25</v>
      </c>
      <c r="K207">
        <v>50</v>
      </c>
    </row>
    <row r="208" spans="1:11">
      <c r="A208">
        <v>775</v>
      </c>
      <c r="B208" s="1">
        <v>44687</v>
      </c>
      <c r="C208" s="2">
        <v>0.46319444444444446</v>
      </c>
      <c r="D208">
        <v>98</v>
      </c>
      <c r="E208" t="s">
        <v>14</v>
      </c>
      <c r="F208">
        <v>46</v>
      </c>
      <c r="G208" t="s">
        <v>15</v>
      </c>
      <c r="H208">
        <v>4</v>
      </c>
      <c r="I208">
        <v>25</v>
      </c>
      <c r="J208">
        <v>9.5</v>
      </c>
      <c r="K208">
        <v>100</v>
      </c>
    </row>
    <row r="209" spans="1:11">
      <c r="A209">
        <v>977</v>
      </c>
      <c r="B209" s="1">
        <v>44768</v>
      </c>
      <c r="C209" s="2">
        <v>0.3576388888888889</v>
      </c>
      <c r="D209">
        <v>46</v>
      </c>
      <c r="E209" t="s">
        <v>14</v>
      </c>
      <c r="F209">
        <v>35</v>
      </c>
      <c r="G209" t="s">
        <v>15</v>
      </c>
      <c r="H209">
        <v>3</v>
      </c>
      <c r="I209">
        <v>25</v>
      </c>
      <c r="J209">
        <v>13.75</v>
      </c>
      <c r="K209">
        <v>75</v>
      </c>
    </row>
    <row r="210" spans="1:11">
      <c r="A210">
        <v>1284</v>
      </c>
      <c r="B210" s="1">
        <v>44911</v>
      </c>
      <c r="C210" s="2">
        <v>0.48819444444444443</v>
      </c>
      <c r="D210">
        <v>145</v>
      </c>
      <c r="E210" t="s">
        <v>11</v>
      </c>
      <c r="F210">
        <v>43</v>
      </c>
      <c r="G210" t="s">
        <v>12</v>
      </c>
      <c r="H210">
        <v>4</v>
      </c>
      <c r="I210">
        <v>50</v>
      </c>
      <c r="J210">
        <v>18</v>
      </c>
      <c r="K210">
        <v>200</v>
      </c>
    </row>
    <row r="211" spans="1:11">
      <c r="A211">
        <v>1434</v>
      </c>
      <c r="B211" s="1">
        <v>44596</v>
      </c>
      <c r="C211" s="2">
        <v>0.41805555555555557</v>
      </c>
      <c r="D211">
        <v>147</v>
      </c>
      <c r="E211" t="s">
        <v>14</v>
      </c>
      <c r="F211">
        <v>43</v>
      </c>
      <c r="G211" t="s">
        <v>15</v>
      </c>
      <c r="H211">
        <v>2</v>
      </c>
      <c r="I211">
        <v>25</v>
      </c>
      <c r="J211">
        <v>7</v>
      </c>
      <c r="K211">
        <v>50</v>
      </c>
    </row>
    <row r="212" spans="1:11">
      <c r="A212">
        <v>1775</v>
      </c>
      <c r="B212" s="1">
        <v>44913</v>
      </c>
      <c r="C212" s="2">
        <v>0.33611111111111114</v>
      </c>
      <c r="D212">
        <v>78</v>
      </c>
      <c r="E212" t="s">
        <v>14</v>
      </c>
      <c r="F212">
        <v>46</v>
      </c>
      <c r="G212" t="s">
        <v>15</v>
      </c>
      <c r="H212">
        <v>4</v>
      </c>
      <c r="I212">
        <v>25</v>
      </c>
      <c r="J212">
        <v>13.75</v>
      </c>
      <c r="K212">
        <v>100</v>
      </c>
    </row>
    <row r="213" spans="1:11">
      <c r="A213">
        <v>1977</v>
      </c>
      <c r="B213" s="1">
        <v>44778</v>
      </c>
      <c r="C213" s="2">
        <v>0.44861111111111113</v>
      </c>
      <c r="D213">
        <v>63</v>
      </c>
      <c r="E213" t="s">
        <v>14</v>
      </c>
      <c r="F213">
        <v>35</v>
      </c>
      <c r="G213" t="s">
        <v>15</v>
      </c>
      <c r="H213">
        <v>3</v>
      </c>
      <c r="I213">
        <v>25</v>
      </c>
      <c r="J213">
        <v>12</v>
      </c>
      <c r="K213">
        <v>75</v>
      </c>
    </row>
    <row r="214" spans="1:11">
      <c r="A214">
        <v>649</v>
      </c>
      <c r="B214" s="1">
        <v>44733</v>
      </c>
      <c r="C214" s="2">
        <v>0.34513888888888888</v>
      </c>
      <c r="D214">
        <v>44</v>
      </c>
      <c r="E214" t="s">
        <v>14</v>
      </c>
      <c r="F214">
        <v>58</v>
      </c>
      <c r="G214" t="s">
        <v>12</v>
      </c>
      <c r="H214">
        <v>2</v>
      </c>
      <c r="I214">
        <v>300</v>
      </c>
      <c r="J214">
        <v>135</v>
      </c>
      <c r="K214">
        <v>600</v>
      </c>
    </row>
    <row r="215" spans="1:11">
      <c r="A215">
        <v>1649</v>
      </c>
      <c r="B215" s="1">
        <v>44855</v>
      </c>
      <c r="C215" s="2">
        <v>0.32222222222222224</v>
      </c>
      <c r="D215">
        <v>72</v>
      </c>
      <c r="E215" t="s">
        <v>14</v>
      </c>
      <c r="F215">
        <v>58</v>
      </c>
      <c r="G215" t="s">
        <v>12</v>
      </c>
      <c r="H215">
        <v>2</v>
      </c>
      <c r="I215">
        <v>300</v>
      </c>
      <c r="J215">
        <v>75</v>
      </c>
      <c r="K215">
        <v>600</v>
      </c>
    </row>
    <row r="216" spans="1:11">
      <c r="A216">
        <v>54</v>
      </c>
      <c r="B216" s="1">
        <v>44854</v>
      </c>
      <c r="C216" s="2">
        <v>0.4284722222222222</v>
      </c>
      <c r="D216">
        <v>142</v>
      </c>
      <c r="E216" t="s">
        <v>14</v>
      </c>
      <c r="F216">
        <v>38</v>
      </c>
      <c r="G216" t="s">
        <v>15</v>
      </c>
      <c r="H216">
        <v>3</v>
      </c>
      <c r="I216">
        <v>500</v>
      </c>
      <c r="J216">
        <v>200</v>
      </c>
      <c r="K216">
        <v>1500</v>
      </c>
    </row>
    <row r="217" spans="1:11">
      <c r="A217">
        <v>68</v>
      </c>
      <c r="B217" s="1">
        <v>44910</v>
      </c>
      <c r="C217" s="2">
        <v>0.37916666666666665</v>
      </c>
      <c r="D217">
        <v>146</v>
      </c>
      <c r="E217" t="s">
        <v>11</v>
      </c>
      <c r="F217">
        <v>25</v>
      </c>
      <c r="G217" t="s">
        <v>15</v>
      </c>
      <c r="H217">
        <v>1</v>
      </c>
      <c r="I217">
        <v>300</v>
      </c>
      <c r="J217">
        <v>84</v>
      </c>
      <c r="K217">
        <v>300</v>
      </c>
    </row>
    <row r="218" spans="1:11">
      <c r="A218">
        <v>192</v>
      </c>
      <c r="B218" s="1">
        <v>44873</v>
      </c>
      <c r="C218" s="2">
        <v>0.33680555555555558</v>
      </c>
      <c r="D218">
        <v>134</v>
      </c>
      <c r="E218" t="s">
        <v>11</v>
      </c>
      <c r="F218">
        <v>62</v>
      </c>
      <c r="G218" t="s">
        <v>13</v>
      </c>
      <c r="H218">
        <v>2</v>
      </c>
      <c r="I218">
        <v>50</v>
      </c>
      <c r="J218">
        <v>13</v>
      </c>
      <c r="K218">
        <v>100</v>
      </c>
    </row>
    <row r="219" spans="1:11">
      <c r="A219">
        <v>1054</v>
      </c>
      <c r="B219" s="1">
        <v>44571</v>
      </c>
      <c r="C219" s="2">
        <v>0.39166666666666666</v>
      </c>
      <c r="D219">
        <v>49</v>
      </c>
      <c r="E219" t="s">
        <v>14</v>
      </c>
      <c r="F219">
        <v>38</v>
      </c>
      <c r="G219" t="s">
        <v>15</v>
      </c>
      <c r="H219">
        <v>3</v>
      </c>
      <c r="I219">
        <v>500</v>
      </c>
      <c r="J219">
        <v>140</v>
      </c>
      <c r="K219">
        <v>1500</v>
      </c>
    </row>
    <row r="220" spans="1:11">
      <c r="A220">
        <v>1068</v>
      </c>
      <c r="B220" s="1">
        <v>44818</v>
      </c>
      <c r="C220" s="2">
        <v>0.42430555555555555</v>
      </c>
      <c r="D220">
        <v>136</v>
      </c>
      <c r="E220" t="s">
        <v>11</v>
      </c>
      <c r="F220">
        <v>25</v>
      </c>
      <c r="G220" t="s">
        <v>15</v>
      </c>
      <c r="H220">
        <v>1</v>
      </c>
      <c r="I220">
        <v>300</v>
      </c>
      <c r="J220">
        <v>111</v>
      </c>
      <c r="K220">
        <v>300</v>
      </c>
    </row>
    <row r="221" spans="1:11">
      <c r="A221">
        <v>1192</v>
      </c>
      <c r="B221" s="1">
        <v>44649</v>
      </c>
      <c r="C221" s="2">
        <v>0.36180555555555555</v>
      </c>
      <c r="D221">
        <v>37</v>
      </c>
      <c r="E221" t="s">
        <v>11</v>
      </c>
      <c r="F221">
        <v>62</v>
      </c>
      <c r="G221" t="s">
        <v>13</v>
      </c>
      <c r="H221">
        <v>2</v>
      </c>
      <c r="I221">
        <v>50</v>
      </c>
      <c r="J221">
        <v>20.5</v>
      </c>
      <c r="K221">
        <v>100</v>
      </c>
    </row>
    <row r="222" spans="1:11">
      <c r="A222">
        <v>331</v>
      </c>
      <c r="B222" s="1">
        <v>44789</v>
      </c>
      <c r="C222" s="2">
        <v>0.35625000000000001</v>
      </c>
      <c r="D222">
        <v>28</v>
      </c>
      <c r="E222" t="s">
        <v>11</v>
      </c>
      <c r="F222">
        <v>28</v>
      </c>
      <c r="G222" t="s">
        <v>15</v>
      </c>
      <c r="H222">
        <v>3</v>
      </c>
      <c r="I222">
        <v>30</v>
      </c>
      <c r="J222">
        <v>10.199999999999999</v>
      </c>
      <c r="K222">
        <v>90</v>
      </c>
    </row>
    <row r="223" spans="1:11">
      <c r="A223">
        <v>346</v>
      </c>
      <c r="B223" s="1">
        <v>44809</v>
      </c>
      <c r="C223" s="2">
        <v>0.28749999999999998</v>
      </c>
      <c r="D223">
        <v>38</v>
      </c>
      <c r="E223" t="s">
        <v>11</v>
      </c>
      <c r="F223">
        <v>59</v>
      </c>
      <c r="G223" t="s">
        <v>12</v>
      </c>
      <c r="H223">
        <v>2</v>
      </c>
      <c r="I223">
        <v>500</v>
      </c>
      <c r="J223">
        <v>215</v>
      </c>
      <c r="K223">
        <v>1000</v>
      </c>
    </row>
    <row r="224" spans="1:11">
      <c r="A224">
        <v>657</v>
      </c>
      <c r="B224" s="1">
        <v>44590</v>
      </c>
      <c r="C224" s="2">
        <v>0.37013888888888891</v>
      </c>
      <c r="D224">
        <v>46</v>
      </c>
      <c r="E224" t="s">
        <v>11</v>
      </c>
      <c r="F224">
        <v>40</v>
      </c>
      <c r="G224" t="s">
        <v>12</v>
      </c>
      <c r="H224">
        <v>1</v>
      </c>
      <c r="I224">
        <v>25</v>
      </c>
      <c r="J224">
        <v>8</v>
      </c>
      <c r="K224">
        <v>25</v>
      </c>
    </row>
    <row r="225" spans="1:11">
      <c r="A225">
        <v>732</v>
      </c>
      <c r="B225" s="1">
        <v>44847</v>
      </c>
      <c r="C225" s="2">
        <v>0.36458333333333331</v>
      </c>
      <c r="D225">
        <v>136</v>
      </c>
      <c r="E225" t="s">
        <v>11</v>
      </c>
      <c r="F225">
        <v>61</v>
      </c>
      <c r="G225" t="s">
        <v>15</v>
      </c>
      <c r="H225">
        <v>2</v>
      </c>
      <c r="I225">
        <v>500</v>
      </c>
      <c r="J225">
        <v>250</v>
      </c>
      <c r="K225">
        <v>1000</v>
      </c>
    </row>
    <row r="226" spans="1:11">
      <c r="A226">
        <v>972</v>
      </c>
      <c r="B226" s="1">
        <v>44789</v>
      </c>
      <c r="C226" s="2">
        <v>0.48749999999999999</v>
      </c>
      <c r="D226">
        <v>139</v>
      </c>
      <c r="E226" t="s">
        <v>11</v>
      </c>
      <c r="F226">
        <v>49</v>
      </c>
      <c r="G226" t="s">
        <v>13</v>
      </c>
      <c r="H226">
        <v>4</v>
      </c>
      <c r="I226">
        <v>25</v>
      </c>
      <c r="J226">
        <v>6.75</v>
      </c>
      <c r="K226">
        <v>100</v>
      </c>
    </row>
    <row r="227" spans="1:11">
      <c r="A227">
        <v>1331</v>
      </c>
      <c r="B227" s="1">
        <v>44696</v>
      </c>
      <c r="C227" s="2">
        <v>0.39513888888888887</v>
      </c>
      <c r="D227">
        <v>36</v>
      </c>
      <c r="E227" t="s">
        <v>11</v>
      </c>
      <c r="F227">
        <v>28</v>
      </c>
      <c r="G227" t="s">
        <v>15</v>
      </c>
      <c r="H227">
        <v>3</v>
      </c>
      <c r="I227">
        <v>30</v>
      </c>
      <c r="J227">
        <v>13.8</v>
      </c>
      <c r="K227">
        <v>90</v>
      </c>
    </row>
    <row r="228" spans="1:11">
      <c r="A228">
        <v>1346</v>
      </c>
      <c r="B228" s="1">
        <v>44661</v>
      </c>
      <c r="C228" s="2">
        <v>0.41736111111111113</v>
      </c>
      <c r="D228">
        <v>112</v>
      </c>
      <c r="E228" t="s">
        <v>11</v>
      </c>
      <c r="F228">
        <v>59</v>
      </c>
      <c r="G228" t="s">
        <v>12</v>
      </c>
      <c r="H228">
        <v>2</v>
      </c>
      <c r="I228">
        <v>500</v>
      </c>
      <c r="J228">
        <v>130</v>
      </c>
      <c r="K228">
        <v>1000</v>
      </c>
    </row>
    <row r="229" spans="1:11">
      <c r="A229">
        <v>1657</v>
      </c>
      <c r="B229" s="1">
        <v>44782</v>
      </c>
      <c r="C229" s="2">
        <v>0.4201388888888889</v>
      </c>
      <c r="D229">
        <v>61</v>
      </c>
      <c r="E229" t="s">
        <v>11</v>
      </c>
      <c r="F229">
        <v>40</v>
      </c>
      <c r="G229" t="s">
        <v>12</v>
      </c>
      <c r="H229">
        <v>1</v>
      </c>
      <c r="I229">
        <v>25</v>
      </c>
      <c r="J229">
        <v>8</v>
      </c>
      <c r="K229">
        <v>25</v>
      </c>
    </row>
    <row r="230" spans="1:11">
      <c r="A230">
        <v>1732</v>
      </c>
      <c r="B230" s="1">
        <v>44617</v>
      </c>
      <c r="C230" s="2">
        <v>0.2951388888888889</v>
      </c>
      <c r="D230">
        <v>55</v>
      </c>
      <c r="E230" t="s">
        <v>11</v>
      </c>
      <c r="F230">
        <v>61</v>
      </c>
      <c r="G230" t="s">
        <v>15</v>
      </c>
      <c r="H230">
        <v>2</v>
      </c>
      <c r="I230">
        <v>500</v>
      </c>
      <c r="J230">
        <v>215</v>
      </c>
      <c r="K230">
        <v>1000</v>
      </c>
    </row>
    <row r="231" spans="1:11">
      <c r="A231">
        <v>1972</v>
      </c>
      <c r="B231" s="1">
        <v>44916</v>
      </c>
      <c r="C231" s="2">
        <v>0.27708333333333335</v>
      </c>
      <c r="D231">
        <v>5</v>
      </c>
      <c r="E231" t="s">
        <v>11</v>
      </c>
      <c r="F231">
        <v>49</v>
      </c>
      <c r="G231" t="s">
        <v>13</v>
      </c>
      <c r="H231">
        <v>4</v>
      </c>
      <c r="I231">
        <v>25</v>
      </c>
      <c r="J231">
        <v>9.25</v>
      </c>
      <c r="K231">
        <v>100</v>
      </c>
    </row>
    <row r="232" spans="1:11">
      <c r="A232">
        <v>714</v>
      </c>
      <c r="B232" s="1">
        <v>44863</v>
      </c>
      <c r="C232" s="2">
        <v>0.36805555555555558</v>
      </c>
      <c r="D232">
        <v>20</v>
      </c>
      <c r="E232" t="s">
        <v>14</v>
      </c>
      <c r="F232">
        <v>18</v>
      </c>
      <c r="G232" t="s">
        <v>12</v>
      </c>
      <c r="H232">
        <v>1</v>
      </c>
      <c r="I232">
        <v>500</v>
      </c>
      <c r="J232">
        <v>190</v>
      </c>
      <c r="K232">
        <v>500</v>
      </c>
    </row>
    <row r="233" spans="1:11">
      <c r="A233">
        <v>1714</v>
      </c>
      <c r="B233" s="1">
        <v>44888</v>
      </c>
      <c r="C233" s="2">
        <v>0.25486111111111109</v>
      </c>
      <c r="D233">
        <v>111</v>
      </c>
      <c r="E233" t="s">
        <v>14</v>
      </c>
      <c r="F233">
        <v>18</v>
      </c>
      <c r="G233" t="s">
        <v>12</v>
      </c>
      <c r="H233">
        <v>1</v>
      </c>
      <c r="I233">
        <v>500</v>
      </c>
      <c r="J233">
        <v>245</v>
      </c>
      <c r="K233">
        <v>500</v>
      </c>
    </row>
    <row r="234" spans="1:11">
      <c r="A234">
        <v>193</v>
      </c>
      <c r="B234" s="1">
        <v>44647</v>
      </c>
      <c r="C234" s="2">
        <v>0.44444444444444442</v>
      </c>
      <c r="D234">
        <v>55</v>
      </c>
      <c r="E234" t="s">
        <v>11</v>
      </c>
      <c r="F234">
        <v>35</v>
      </c>
      <c r="G234" t="s">
        <v>13</v>
      </c>
      <c r="H234">
        <v>3</v>
      </c>
      <c r="I234">
        <v>500</v>
      </c>
      <c r="J234">
        <v>180</v>
      </c>
      <c r="K234">
        <v>1500</v>
      </c>
    </row>
    <row r="235" spans="1:11">
      <c r="A235">
        <v>577</v>
      </c>
      <c r="B235" s="1">
        <v>44672</v>
      </c>
      <c r="C235" s="2">
        <v>0.49652777777777779</v>
      </c>
      <c r="D235">
        <v>45</v>
      </c>
      <c r="E235" t="s">
        <v>11</v>
      </c>
      <c r="F235">
        <v>21</v>
      </c>
      <c r="G235" t="s">
        <v>13</v>
      </c>
      <c r="H235">
        <v>4</v>
      </c>
      <c r="I235">
        <v>500</v>
      </c>
      <c r="J235">
        <v>215</v>
      </c>
      <c r="K235">
        <v>2000</v>
      </c>
    </row>
    <row r="236" spans="1:11">
      <c r="A236">
        <v>848</v>
      </c>
      <c r="B236" s="1">
        <v>44585</v>
      </c>
      <c r="C236" s="2">
        <v>0.44861111111111113</v>
      </c>
      <c r="D236">
        <v>15</v>
      </c>
      <c r="E236" t="s">
        <v>14</v>
      </c>
      <c r="F236">
        <v>63</v>
      </c>
      <c r="G236" t="s">
        <v>12</v>
      </c>
      <c r="H236">
        <v>3</v>
      </c>
      <c r="I236">
        <v>25</v>
      </c>
      <c r="J236">
        <v>9.75</v>
      </c>
      <c r="K236">
        <v>75</v>
      </c>
    </row>
    <row r="237" spans="1:11">
      <c r="A237">
        <v>945</v>
      </c>
      <c r="B237" s="1">
        <v>44835</v>
      </c>
      <c r="C237" s="2">
        <v>0.41736111111111113</v>
      </c>
      <c r="D237">
        <v>120</v>
      </c>
      <c r="E237" t="s">
        <v>11</v>
      </c>
      <c r="F237">
        <v>30</v>
      </c>
      <c r="G237" t="s">
        <v>13</v>
      </c>
      <c r="H237">
        <v>1</v>
      </c>
      <c r="I237">
        <v>25</v>
      </c>
      <c r="J237">
        <v>13.25</v>
      </c>
      <c r="K237">
        <v>25</v>
      </c>
    </row>
    <row r="238" spans="1:11">
      <c r="A238">
        <v>1193</v>
      </c>
      <c r="B238" s="1">
        <v>44692</v>
      </c>
      <c r="C238" s="2">
        <v>0.47986111111111113</v>
      </c>
      <c r="D238">
        <v>50</v>
      </c>
      <c r="E238" t="s">
        <v>11</v>
      </c>
      <c r="F238">
        <v>35</v>
      </c>
      <c r="G238" t="s">
        <v>13</v>
      </c>
      <c r="H238">
        <v>3</v>
      </c>
      <c r="I238">
        <v>500</v>
      </c>
      <c r="J238">
        <v>145</v>
      </c>
      <c r="K238">
        <v>1500</v>
      </c>
    </row>
    <row r="239" spans="1:11">
      <c r="A239">
        <v>1577</v>
      </c>
      <c r="B239" s="1">
        <v>44815</v>
      </c>
      <c r="C239" s="2">
        <v>0.26527777777777778</v>
      </c>
      <c r="D239">
        <v>145</v>
      </c>
      <c r="E239" t="s">
        <v>11</v>
      </c>
      <c r="F239">
        <v>21</v>
      </c>
      <c r="G239" t="s">
        <v>13</v>
      </c>
      <c r="H239">
        <v>4</v>
      </c>
      <c r="I239">
        <v>500</v>
      </c>
      <c r="J239">
        <v>160</v>
      </c>
      <c r="K239">
        <v>2000</v>
      </c>
    </row>
    <row r="240" spans="1:11">
      <c r="A240">
        <v>1848</v>
      </c>
      <c r="B240" s="1">
        <v>44922</v>
      </c>
      <c r="C240" s="2">
        <v>0.42777777777777776</v>
      </c>
      <c r="D240">
        <v>63</v>
      </c>
      <c r="E240" t="s">
        <v>14</v>
      </c>
      <c r="F240">
        <v>63</v>
      </c>
      <c r="G240" t="s">
        <v>12</v>
      </c>
      <c r="H240">
        <v>3</v>
      </c>
      <c r="I240">
        <v>25</v>
      </c>
      <c r="J240">
        <v>12.5</v>
      </c>
      <c r="K240">
        <v>75</v>
      </c>
    </row>
    <row r="241" spans="1:11">
      <c r="A241">
        <v>1945</v>
      </c>
      <c r="B241" s="1">
        <v>44670</v>
      </c>
      <c r="C241" s="2">
        <v>0.41319444444444442</v>
      </c>
      <c r="D241">
        <v>33</v>
      </c>
      <c r="E241" t="s">
        <v>11</v>
      </c>
      <c r="F241">
        <v>30</v>
      </c>
      <c r="G241" t="s">
        <v>13</v>
      </c>
      <c r="H241">
        <v>1</v>
      </c>
      <c r="I241">
        <v>25</v>
      </c>
      <c r="J241">
        <v>10.75</v>
      </c>
      <c r="K241">
        <v>25</v>
      </c>
    </row>
    <row r="242" spans="1:11">
      <c r="A242">
        <v>11</v>
      </c>
      <c r="B242" s="1">
        <v>44619</v>
      </c>
      <c r="C242" s="2">
        <v>0.4375</v>
      </c>
      <c r="D242">
        <v>151</v>
      </c>
      <c r="E242" t="s">
        <v>11</v>
      </c>
      <c r="F242">
        <v>23</v>
      </c>
      <c r="G242" t="s">
        <v>12</v>
      </c>
      <c r="H242">
        <v>2</v>
      </c>
      <c r="I242">
        <v>50</v>
      </c>
      <c r="J242">
        <v>23.5</v>
      </c>
      <c r="K242">
        <v>100</v>
      </c>
    </row>
    <row r="243" spans="1:11">
      <c r="A243">
        <v>821</v>
      </c>
      <c r="B243" s="1">
        <v>44888</v>
      </c>
      <c r="C243" s="2">
        <v>0.47708333333333336</v>
      </c>
      <c r="D243">
        <v>40</v>
      </c>
      <c r="E243" t="s">
        <v>11</v>
      </c>
      <c r="F243">
        <v>49</v>
      </c>
      <c r="G243" t="s">
        <v>15</v>
      </c>
      <c r="H243">
        <v>1</v>
      </c>
      <c r="I243">
        <v>300</v>
      </c>
      <c r="J243">
        <v>129</v>
      </c>
      <c r="K243">
        <v>300</v>
      </c>
    </row>
    <row r="244" spans="1:11">
      <c r="A244">
        <v>1011</v>
      </c>
      <c r="B244" s="1">
        <v>44652</v>
      </c>
      <c r="C244" s="2">
        <v>0.28333333333333333</v>
      </c>
      <c r="D244">
        <v>15</v>
      </c>
      <c r="E244" t="s">
        <v>11</v>
      </c>
      <c r="F244">
        <v>23</v>
      </c>
      <c r="G244" t="s">
        <v>12</v>
      </c>
      <c r="H244">
        <v>2</v>
      </c>
      <c r="I244">
        <v>50</v>
      </c>
      <c r="J244">
        <v>19</v>
      </c>
      <c r="K244">
        <v>100</v>
      </c>
    </row>
    <row r="245" spans="1:11">
      <c r="A245">
        <v>1821</v>
      </c>
      <c r="B245" s="1">
        <v>44837</v>
      </c>
      <c r="C245" s="2">
        <v>0.3034722222222222</v>
      </c>
      <c r="D245">
        <v>42</v>
      </c>
      <c r="E245" t="s">
        <v>11</v>
      </c>
      <c r="F245">
        <v>49</v>
      </c>
      <c r="G245" t="s">
        <v>15</v>
      </c>
      <c r="H245">
        <v>1</v>
      </c>
      <c r="I245">
        <v>300</v>
      </c>
      <c r="J245">
        <v>108</v>
      </c>
      <c r="K245">
        <v>300</v>
      </c>
    </row>
    <row r="246" spans="1:11">
      <c r="A246">
        <v>133</v>
      </c>
      <c r="B246" s="1">
        <v>44735</v>
      </c>
      <c r="C246" s="2">
        <v>0.37569444444444444</v>
      </c>
      <c r="D246">
        <v>70</v>
      </c>
      <c r="E246" t="s">
        <v>11</v>
      </c>
      <c r="F246">
        <v>20</v>
      </c>
      <c r="G246" t="s">
        <v>15</v>
      </c>
      <c r="H246">
        <v>3</v>
      </c>
      <c r="I246">
        <v>300</v>
      </c>
      <c r="J246">
        <v>87</v>
      </c>
      <c r="K246">
        <v>900</v>
      </c>
    </row>
    <row r="247" spans="1:11">
      <c r="A247">
        <v>1133</v>
      </c>
      <c r="B247" s="1">
        <v>44625</v>
      </c>
      <c r="C247" s="2">
        <v>0.27916666666666667</v>
      </c>
      <c r="D247">
        <v>58</v>
      </c>
      <c r="E247" t="s">
        <v>11</v>
      </c>
      <c r="F247">
        <v>20</v>
      </c>
      <c r="G247" t="s">
        <v>15</v>
      </c>
      <c r="H247">
        <v>3</v>
      </c>
      <c r="I247">
        <v>300</v>
      </c>
      <c r="J247">
        <v>159</v>
      </c>
      <c r="K247">
        <v>900</v>
      </c>
    </row>
    <row r="248" spans="1:11">
      <c r="A248">
        <v>16</v>
      </c>
      <c r="B248" s="1">
        <v>44737</v>
      </c>
      <c r="C248" s="2">
        <v>0.43958333333333333</v>
      </c>
      <c r="D248">
        <v>82</v>
      </c>
      <c r="E248" t="s">
        <v>11</v>
      </c>
      <c r="F248">
        <v>19</v>
      </c>
      <c r="G248" t="s">
        <v>12</v>
      </c>
      <c r="H248">
        <v>3</v>
      </c>
      <c r="I248">
        <v>500</v>
      </c>
      <c r="J248">
        <v>180</v>
      </c>
      <c r="K248">
        <v>1500</v>
      </c>
    </row>
    <row r="249" spans="1:11">
      <c r="A249">
        <v>42</v>
      </c>
      <c r="B249" s="1">
        <v>44903</v>
      </c>
      <c r="C249" s="2">
        <v>0.35347222222222224</v>
      </c>
      <c r="D249">
        <v>63</v>
      </c>
      <c r="E249" t="s">
        <v>11</v>
      </c>
      <c r="F249">
        <v>22</v>
      </c>
      <c r="G249" t="s">
        <v>12</v>
      </c>
      <c r="H249">
        <v>3</v>
      </c>
      <c r="I249">
        <v>300</v>
      </c>
      <c r="J249">
        <v>147</v>
      </c>
      <c r="K249">
        <v>900</v>
      </c>
    </row>
    <row r="250" spans="1:11">
      <c r="A250">
        <v>292</v>
      </c>
      <c r="B250" s="1">
        <v>44844</v>
      </c>
      <c r="C250" s="2">
        <v>0.27291666666666664</v>
      </c>
      <c r="D250">
        <v>111</v>
      </c>
      <c r="E250" t="s">
        <v>11</v>
      </c>
      <c r="F250">
        <v>20</v>
      </c>
      <c r="G250" t="s">
        <v>13</v>
      </c>
      <c r="H250">
        <v>4</v>
      </c>
      <c r="I250">
        <v>300</v>
      </c>
      <c r="J250">
        <v>141</v>
      </c>
      <c r="K250">
        <v>1200</v>
      </c>
    </row>
    <row r="251" spans="1:11">
      <c r="A251">
        <v>416</v>
      </c>
      <c r="B251" s="1">
        <v>44794</v>
      </c>
      <c r="C251" s="2">
        <v>0.39513888888888887</v>
      </c>
      <c r="D251">
        <v>55</v>
      </c>
      <c r="E251" t="s">
        <v>11</v>
      </c>
      <c r="F251">
        <v>53</v>
      </c>
      <c r="G251" t="s">
        <v>15</v>
      </c>
      <c r="H251">
        <v>4</v>
      </c>
      <c r="I251">
        <v>500</v>
      </c>
      <c r="J251">
        <v>245</v>
      </c>
      <c r="K251">
        <v>2000</v>
      </c>
    </row>
    <row r="252" spans="1:11">
      <c r="A252">
        <v>584</v>
      </c>
      <c r="B252" s="1">
        <v>44926</v>
      </c>
      <c r="C252" s="2">
        <v>0.43125000000000002</v>
      </c>
      <c r="D252">
        <v>106</v>
      </c>
      <c r="E252" t="s">
        <v>14</v>
      </c>
      <c r="F252">
        <v>27</v>
      </c>
      <c r="G252" t="s">
        <v>13</v>
      </c>
      <c r="H252">
        <v>4</v>
      </c>
      <c r="I252">
        <v>50</v>
      </c>
      <c r="J252">
        <v>16.5</v>
      </c>
      <c r="K252">
        <v>200</v>
      </c>
    </row>
    <row r="253" spans="1:11">
      <c r="A253">
        <v>861</v>
      </c>
      <c r="B253" s="1">
        <v>44834</v>
      </c>
      <c r="C253" s="2">
        <v>0.37291666666666667</v>
      </c>
      <c r="D253">
        <v>22</v>
      </c>
      <c r="E253" t="s">
        <v>14</v>
      </c>
      <c r="F253">
        <v>41</v>
      </c>
      <c r="G253" t="s">
        <v>12</v>
      </c>
      <c r="H253">
        <v>3</v>
      </c>
      <c r="I253">
        <v>30</v>
      </c>
      <c r="J253">
        <v>9.6</v>
      </c>
      <c r="K253">
        <v>90</v>
      </c>
    </row>
    <row r="254" spans="1:11">
      <c r="A254">
        <v>1016</v>
      </c>
      <c r="B254" s="1">
        <v>44907</v>
      </c>
      <c r="C254" s="2">
        <v>0.31874999999999998</v>
      </c>
      <c r="D254">
        <v>52</v>
      </c>
      <c r="E254" t="s">
        <v>11</v>
      </c>
      <c r="F254">
        <v>19</v>
      </c>
      <c r="G254" t="s">
        <v>12</v>
      </c>
      <c r="H254">
        <v>3</v>
      </c>
      <c r="I254">
        <v>500</v>
      </c>
      <c r="J254">
        <v>200</v>
      </c>
      <c r="K254">
        <v>1500</v>
      </c>
    </row>
    <row r="255" spans="1:11">
      <c r="A255">
        <v>1042</v>
      </c>
      <c r="B255" s="1">
        <v>44603</v>
      </c>
      <c r="C255" s="2">
        <v>0.26458333333333334</v>
      </c>
      <c r="D255">
        <v>7</v>
      </c>
      <c r="E255" t="s">
        <v>11</v>
      </c>
      <c r="F255">
        <v>22</v>
      </c>
      <c r="G255" t="s">
        <v>12</v>
      </c>
      <c r="H255">
        <v>3</v>
      </c>
      <c r="I255">
        <v>300</v>
      </c>
      <c r="J255">
        <v>150</v>
      </c>
      <c r="K255">
        <v>900</v>
      </c>
    </row>
    <row r="256" spans="1:11">
      <c r="A256">
        <v>1292</v>
      </c>
      <c r="B256" s="1">
        <v>44696</v>
      </c>
      <c r="C256" s="2">
        <v>0.34722222222222221</v>
      </c>
      <c r="D256">
        <v>88</v>
      </c>
      <c r="E256" t="s">
        <v>11</v>
      </c>
      <c r="F256">
        <v>20</v>
      </c>
      <c r="G256" t="s">
        <v>13</v>
      </c>
      <c r="H256">
        <v>4</v>
      </c>
      <c r="I256">
        <v>300</v>
      </c>
      <c r="J256">
        <v>90</v>
      </c>
      <c r="K256">
        <v>1200</v>
      </c>
    </row>
    <row r="257" spans="1:11">
      <c r="A257">
        <v>1416</v>
      </c>
      <c r="B257" s="1">
        <v>44924</v>
      </c>
      <c r="C257" s="2">
        <v>0.44930555555555557</v>
      </c>
      <c r="D257">
        <v>111</v>
      </c>
      <c r="E257" t="s">
        <v>11</v>
      </c>
      <c r="F257">
        <v>53</v>
      </c>
      <c r="G257" t="s">
        <v>15</v>
      </c>
      <c r="H257">
        <v>4</v>
      </c>
      <c r="I257">
        <v>500</v>
      </c>
      <c r="J257">
        <v>125</v>
      </c>
      <c r="K257">
        <v>2000</v>
      </c>
    </row>
    <row r="258" spans="1:11">
      <c r="A258">
        <v>1584</v>
      </c>
      <c r="B258" s="1">
        <v>44807</v>
      </c>
      <c r="C258" s="2">
        <v>0.46319444444444446</v>
      </c>
      <c r="D258">
        <v>62</v>
      </c>
      <c r="E258" t="s">
        <v>14</v>
      </c>
      <c r="F258">
        <v>27</v>
      </c>
      <c r="G258" t="s">
        <v>13</v>
      </c>
      <c r="H258">
        <v>4</v>
      </c>
      <c r="I258">
        <v>50</v>
      </c>
      <c r="J258">
        <v>16.5</v>
      </c>
      <c r="K258">
        <v>200</v>
      </c>
    </row>
    <row r="259" spans="1:11">
      <c r="A259">
        <v>1861</v>
      </c>
      <c r="B259" s="1">
        <v>44746</v>
      </c>
      <c r="C259" s="2">
        <v>0.44513888888888886</v>
      </c>
      <c r="D259">
        <v>145</v>
      </c>
      <c r="E259" t="s">
        <v>14</v>
      </c>
      <c r="F259">
        <v>41</v>
      </c>
      <c r="G259" t="s">
        <v>12</v>
      </c>
      <c r="H259">
        <v>3</v>
      </c>
      <c r="I259">
        <v>30</v>
      </c>
      <c r="J259">
        <v>10.199999999999999</v>
      </c>
      <c r="K259">
        <v>90</v>
      </c>
    </row>
    <row r="260" spans="1:11">
      <c r="A260">
        <v>256</v>
      </c>
      <c r="B260" s="1">
        <v>44570</v>
      </c>
      <c r="C260" s="2">
        <v>0.33680555555555558</v>
      </c>
      <c r="D260">
        <v>3</v>
      </c>
      <c r="E260" t="s">
        <v>11</v>
      </c>
      <c r="F260">
        <v>23</v>
      </c>
      <c r="G260" t="s">
        <v>12</v>
      </c>
      <c r="H260">
        <v>2</v>
      </c>
      <c r="I260">
        <v>500</v>
      </c>
      <c r="J260">
        <v>270</v>
      </c>
      <c r="K260">
        <v>1000</v>
      </c>
    </row>
    <row r="261" spans="1:11">
      <c r="A261">
        <v>1256</v>
      </c>
      <c r="B261" s="1">
        <v>44870</v>
      </c>
      <c r="C261" s="2">
        <v>0.4152777777777778</v>
      </c>
      <c r="D261">
        <v>29</v>
      </c>
      <c r="E261" t="s">
        <v>11</v>
      </c>
      <c r="F261">
        <v>23</v>
      </c>
      <c r="G261" t="s">
        <v>12</v>
      </c>
      <c r="H261">
        <v>2</v>
      </c>
      <c r="I261">
        <v>500</v>
      </c>
      <c r="J261">
        <v>190</v>
      </c>
      <c r="K261">
        <v>1000</v>
      </c>
    </row>
    <row r="262" spans="1:11">
      <c r="A262">
        <v>44</v>
      </c>
      <c r="B262" s="1">
        <v>44623</v>
      </c>
      <c r="C262" s="2">
        <v>0.46319444444444446</v>
      </c>
      <c r="D262">
        <v>93</v>
      </c>
      <c r="E262" t="s">
        <v>14</v>
      </c>
      <c r="F262">
        <v>22</v>
      </c>
      <c r="G262" t="s">
        <v>12</v>
      </c>
      <c r="H262">
        <v>1</v>
      </c>
      <c r="I262">
        <v>25</v>
      </c>
      <c r="J262">
        <v>11.75</v>
      </c>
      <c r="K262">
        <v>25</v>
      </c>
    </row>
    <row r="263" spans="1:11">
      <c r="A263">
        <v>257</v>
      </c>
      <c r="B263" s="1">
        <v>44905</v>
      </c>
      <c r="C263" s="2">
        <v>0.36736111111111114</v>
      </c>
      <c r="D263">
        <v>130</v>
      </c>
      <c r="E263" t="s">
        <v>11</v>
      </c>
      <c r="F263">
        <v>19</v>
      </c>
      <c r="G263" t="s">
        <v>13</v>
      </c>
      <c r="H263">
        <v>4</v>
      </c>
      <c r="I263">
        <v>500</v>
      </c>
      <c r="J263">
        <v>165</v>
      </c>
      <c r="K263">
        <v>2000</v>
      </c>
    </row>
    <row r="264" spans="1:11">
      <c r="A264">
        <v>1044</v>
      </c>
      <c r="B264" s="1">
        <v>44612</v>
      </c>
      <c r="C264" s="2">
        <v>0.38055555555555554</v>
      </c>
      <c r="D264">
        <v>70</v>
      </c>
      <c r="E264" t="s">
        <v>14</v>
      </c>
      <c r="F264">
        <v>22</v>
      </c>
      <c r="G264" t="s">
        <v>12</v>
      </c>
      <c r="H264">
        <v>1</v>
      </c>
      <c r="I264">
        <v>25</v>
      </c>
      <c r="J264">
        <v>7.5</v>
      </c>
      <c r="K264">
        <v>25</v>
      </c>
    </row>
    <row r="265" spans="1:11">
      <c r="A265">
        <v>1257</v>
      </c>
      <c r="B265" s="1">
        <v>44691</v>
      </c>
      <c r="C265" s="2">
        <v>0.49652777777777779</v>
      </c>
      <c r="D265">
        <v>29</v>
      </c>
      <c r="E265" t="s">
        <v>11</v>
      </c>
      <c r="F265">
        <v>19</v>
      </c>
      <c r="G265" t="s">
        <v>13</v>
      </c>
      <c r="H265">
        <v>4</v>
      </c>
      <c r="I265">
        <v>500</v>
      </c>
      <c r="J265">
        <v>255</v>
      </c>
      <c r="K265">
        <v>2000</v>
      </c>
    </row>
    <row r="266" spans="1:11">
      <c r="A266">
        <v>268</v>
      </c>
      <c r="B266" s="1">
        <v>44665</v>
      </c>
      <c r="C266" s="2">
        <v>0.35138888888888886</v>
      </c>
      <c r="D266">
        <v>93</v>
      </c>
      <c r="E266" t="s">
        <v>14</v>
      </c>
      <c r="F266">
        <v>28</v>
      </c>
      <c r="G266" t="s">
        <v>15</v>
      </c>
      <c r="H266">
        <v>1</v>
      </c>
      <c r="I266">
        <v>30</v>
      </c>
      <c r="J266">
        <v>8.6999999999999993</v>
      </c>
      <c r="K266">
        <v>30</v>
      </c>
    </row>
    <row r="267" spans="1:11">
      <c r="A267">
        <v>287</v>
      </c>
      <c r="B267" s="1">
        <v>44799</v>
      </c>
      <c r="C267" s="2">
        <v>0.46319444444444446</v>
      </c>
      <c r="D267">
        <v>88</v>
      </c>
      <c r="E267" t="s">
        <v>11</v>
      </c>
      <c r="F267">
        <v>54</v>
      </c>
      <c r="G267" t="s">
        <v>12</v>
      </c>
      <c r="H267">
        <v>4</v>
      </c>
      <c r="I267">
        <v>25</v>
      </c>
      <c r="J267">
        <v>10</v>
      </c>
      <c r="K267">
        <v>100</v>
      </c>
    </row>
    <row r="268" spans="1:11">
      <c r="A268">
        <v>966</v>
      </c>
      <c r="B268" s="1">
        <v>44872</v>
      </c>
      <c r="C268" s="2">
        <v>0.30694444444444446</v>
      </c>
      <c r="D268">
        <v>119</v>
      </c>
      <c r="E268" t="s">
        <v>11</v>
      </c>
      <c r="F268">
        <v>60</v>
      </c>
      <c r="G268" t="s">
        <v>15</v>
      </c>
      <c r="H268">
        <v>2</v>
      </c>
      <c r="I268">
        <v>500</v>
      </c>
      <c r="J268">
        <v>190</v>
      </c>
      <c r="K268">
        <v>1000</v>
      </c>
    </row>
    <row r="269" spans="1:11">
      <c r="A269">
        <v>1268</v>
      </c>
      <c r="B269" s="1">
        <v>44721</v>
      </c>
      <c r="C269" s="2">
        <v>0.39791666666666664</v>
      </c>
      <c r="D269">
        <v>15</v>
      </c>
      <c r="E269" t="s">
        <v>14</v>
      </c>
      <c r="F269">
        <v>28</v>
      </c>
      <c r="G269" t="s">
        <v>15</v>
      </c>
      <c r="H269">
        <v>1</v>
      </c>
      <c r="I269">
        <v>30</v>
      </c>
      <c r="J269">
        <v>14.1</v>
      </c>
      <c r="K269">
        <v>30</v>
      </c>
    </row>
    <row r="270" spans="1:11">
      <c r="A270">
        <v>1287</v>
      </c>
      <c r="B270" s="1">
        <v>44817</v>
      </c>
      <c r="C270" s="2">
        <v>0.33541666666666664</v>
      </c>
      <c r="D270">
        <v>120</v>
      </c>
      <c r="E270" t="s">
        <v>11</v>
      </c>
      <c r="F270">
        <v>54</v>
      </c>
      <c r="G270" t="s">
        <v>12</v>
      </c>
      <c r="H270">
        <v>4</v>
      </c>
      <c r="I270">
        <v>25</v>
      </c>
      <c r="J270">
        <v>7</v>
      </c>
      <c r="K270">
        <v>100</v>
      </c>
    </row>
    <row r="271" spans="1:11">
      <c r="A271">
        <v>1966</v>
      </c>
      <c r="B271" s="1">
        <v>44762</v>
      </c>
      <c r="C271" s="2">
        <v>0.41111111111111109</v>
      </c>
      <c r="D271">
        <v>74</v>
      </c>
      <c r="E271" t="s">
        <v>11</v>
      </c>
      <c r="F271">
        <v>60</v>
      </c>
      <c r="G271" t="s">
        <v>15</v>
      </c>
      <c r="H271">
        <v>2</v>
      </c>
      <c r="I271">
        <v>500</v>
      </c>
      <c r="J271">
        <v>200</v>
      </c>
      <c r="K271">
        <v>1000</v>
      </c>
    </row>
    <row r="272" spans="1:11">
      <c r="A272">
        <v>70</v>
      </c>
      <c r="B272" s="1">
        <v>44922</v>
      </c>
      <c r="C272" s="2">
        <v>0.45</v>
      </c>
      <c r="D272">
        <v>147</v>
      </c>
      <c r="E272" t="s">
        <v>14</v>
      </c>
      <c r="F272">
        <v>43</v>
      </c>
      <c r="G272" t="s">
        <v>12</v>
      </c>
      <c r="H272">
        <v>1</v>
      </c>
      <c r="I272">
        <v>300</v>
      </c>
      <c r="J272">
        <v>84</v>
      </c>
      <c r="K272">
        <v>300</v>
      </c>
    </row>
    <row r="273" spans="1:11">
      <c r="A273">
        <v>371</v>
      </c>
      <c r="B273" s="1">
        <v>44913</v>
      </c>
      <c r="C273" s="2">
        <v>0.41736111111111113</v>
      </c>
      <c r="D273">
        <v>32</v>
      </c>
      <c r="E273" t="s">
        <v>14</v>
      </c>
      <c r="F273">
        <v>20</v>
      </c>
      <c r="G273" t="s">
        <v>13</v>
      </c>
      <c r="H273">
        <v>1</v>
      </c>
      <c r="I273">
        <v>25</v>
      </c>
      <c r="J273">
        <v>13</v>
      </c>
      <c r="K273">
        <v>25</v>
      </c>
    </row>
    <row r="274" spans="1:11">
      <c r="A274">
        <v>900</v>
      </c>
      <c r="B274" s="1">
        <v>44875</v>
      </c>
      <c r="C274" s="2">
        <v>0.36180555555555555</v>
      </c>
      <c r="D274">
        <v>130</v>
      </c>
      <c r="E274" t="s">
        <v>11</v>
      </c>
      <c r="F274">
        <v>21</v>
      </c>
      <c r="G274" t="s">
        <v>12</v>
      </c>
      <c r="H274">
        <v>2</v>
      </c>
      <c r="I274">
        <v>30</v>
      </c>
      <c r="J274">
        <v>15.6</v>
      </c>
      <c r="K274">
        <v>60</v>
      </c>
    </row>
    <row r="275" spans="1:11">
      <c r="A275">
        <v>1070</v>
      </c>
      <c r="B275" s="1">
        <v>44756</v>
      </c>
      <c r="C275" s="2">
        <v>0.46666666666666667</v>
      </c>
      <c r="D275">
        <v>102</v>
      </c>
      <c r="E275" t="s">
        <v>14</v>
      </c>
      <c r="F275">
        <v>43</v>
      </c>
      <c r="G275" t="s">
        <v>12</v>
      </c>
      <c r="H275">
        <v>1</v>
      </c>
      <c r="I275">
        <v>300</v>
      </c>
      <c r="J275">
        <v>120</v>
      </c>
      <c r="K275">
        <v>300</v>
      </c>
    </row>
    <row r="276" spans="1:11">
      <c r="A276">
        <v>1371</v>
      </c>
      <c r="B276" s="1">
        <v>44687</v>
      </c>
      <c r="C276" s="2">
        <v>0.28611111111111109</v>
      </c>
      <c r="D276">
        <v>41</v>
      </c>
      <c r="E276" t="s">
        <v>14</v>
      </c>
      <c r="F276">
        <v>20</v>
      </c>
      <c r="G276" t="s">
        <v>13</v>
      </c>
      <c r="H276">
        <v>1</v>
      </c>
      <c r="I276">
        <v>25</v>
      </c>
      <c r="J276">
        <v>13.5</v>
      </c>
      <c r="K276">
        <v>25</v>
      </c>
    </row>
    <row r="277" spans="1:11">
      <c r="A277">
        <v>1900</v>
      </c>
      <c r="B277" s="1">
        <v>44582</v>
      </c>
      <c r="C277" s="2">
        <v>0.27986111111111112</v>
      </c>
      <c r="D277">
        <v>65</v>
      </c>
      <c r="E277" t="s">
        <v>11</v>
      </c>
      <c r="F277">
        <v>21</v>
      </c>
      <c r="G277" t="s">
        <v>12</v>
      </c>
      <c r="H277">
        <v>2</v>
      </c>
      <c r="I277">
        <v>30</v>
      </c>
      <c r="J277">
        <v>10.8</v>
      </c>
      <c r="K277">
        <v>60</v>
      </c>
    </row>
    <row r="278" spans="1:11">
      <c r="A278">
        <v>8</v>
      </c>
      <c r="B278" s="1">
        <v>44922</v>
      </c>
      <c r="C278" s="2">
        <v>0.47152777777777777</v>
      </c>
      <c r="D278">
        <v>148</v>
      </c>
      <c r="E278" t="s">
        <v>11</v>
      </c>
      <c r="F278">
        <v>30</v>
      </c>
      <c r="G278" t="s">
        <v>15</v>
      </c>
      <c r="H278">
        <v>4</v>
      </c>
      <c r="I278">
        <v>25</v>
      </c>
      <c r="J278">
        <v>11</v>
      </c>
      <c r="K278">
        <v>100</v>
      </c>
    </row>
    <row r="279" spans="1:11">
      <c r="A279">
        <v>41</v>
      </c>
      <c r="B279" s="1">
        <v>44845</v>
      </c>
      <c r="C279" s="2">
        <v>0.44166666666666665</v>
      </c>
      <c r="D279">
        <v>88</v>
      </c>
      <c r="E279" t="s">
        <v>11</v>
      </c>
      <c r="F279">
        <v>34</v>
      </c>
      <c r="G279" t="s">
        <v>12</v>
      </c>
      <c r="H279">
        <v>2</v>
      </c>
      <c r="I279">
        <v>25</v>
      </c>
      <c r="J279">
        <v>13.25</v>
      </c>
      <c r="K279">
        <v>50</v>
      </c>
    </row>
    <row r="280" spans="1:11">
      <c r="A280">
        <v>454</v>
      </c>
      <c r="B280" s="1">
        <v>44632</v>
      </c>
      <c r="C280" s="2">
        <v>0.30555555555555558</v>
      </c>
      <c r="D280">
        <v>13</v>
      </c>
      <c r="E280" t="s">
        <v>14</v>
      </c>
      <c r="F280">
        <v>46</v>
      </c>
      <c r="G280" t="s">
        <v>13</v>
      </c>
      <c r="H280">
        <v>1</v>
      </c>
      <c r="I280">
        <v>25</v>
      </c>
      <c r="J280">
        <v>13</v>
      </c>
      <c r="K280">
        <v>25</v>
      </c>
    </row>
    <row r="281" spans="1:11">
      <c r="A281">
        <v>780</v>
      </c>
      <c r="B281" s="1">
        <v>44748</v>
      </c>
      <c r="C281" s="2">
        <v>0.47916666666666669</v>
      </c>
      <c r="D281">
        <v>107</v>
      </c>
      <c r="E281" t="s">
        <v>11</v>
      </c>
      <c r="F281">
        <v>52</v>
      </c>
      <c r="G281" t="s">
        <v>15</v>
      </c>
      <c r="H281">
        <v>2</v>
      </c>
      <c r="I281">
        <v>25</v>
      </c>
      <c r="J281">
        <v>13.25</v>
      </c>
      <c r="K281">
        <v>50</v>
      </c>
    </row>
    <row r="282" spans="1:11">
      <c r="A282">
        <v>920</v>
      </c>
      <c r="B282" s="1">
        <v>44793</v>
      </c>
      <c r="C282" s="2">
        <v>0.43402777777777779</v>
      </c>
      <c r="D282">
        <v>99</v>
      </c>
      <c r="E282" t="s">
        <v>14</v>
      </c>
      <c r="F282">
        <v>28</v>
      </c>
      <c r="G282" t="s">
        <v>13</v>
      </c>
      <c r="H282">
        <v>3</v>
      </c>
      <c r="I282">
        <v>25</v>
      </c>
      <c r="J282">
        <v>6.75</v>
      </c>
      <c r="K282">
        <v>75</v>
      </c>
    </row>
    <row r="283" spans="1:11">
      <c r="A283">
        <v>1008</v>
      </c>
      <c r="B283" s="1">
        <v>44571</v>
      </c>
      <c r="C283" s="2">
        <v>0.36875000000000002</v>
      </c>
      <c r="D283">
        <v>116</v>
      </c>
      <c r="E283" t="s">
        <v>11</v>
      </c>
      <c r="F283">
        <v>30</v>
      </c>
      <c r="G283" t="s">
        <v>15</v>
      </c>
      <c r="H283">
        <v>4</v>
      </c>
      <c r="I283">
        <v>25</v>
      </c>
      <c r="J283">
        <v>13</v>
      </c>
      <c r="K283">
        <v>100</v>
      </c>
    </row>
    <row r="284" spans="1:11">
      <c r="A284">
        <v>1041</v>
      </c>
      <c r="B284" s="1">
        <v>44691</v>
      </c>
      <c r="C284" s="2">
        <v>0.31041666666666667</v>
      </c>
      <c r="D284">
        <v>74</v>
      </c>
      <c r="E284" t="s">
        <v>11</v>
      </c>
      <c r="F284">
        <v>34</v>
      </c>
      <c r="G284" t="s">
        <v>12</v>
      </c>
      <c r="H284">
        <v>2</v>
      </c>
      <c r="I284">
        <v>25</v>
      </c>
      <c r="J284">
        <v>11</v>
      </c>
      <c r="K284">
        <v>50</v>
      </c>
    </row>
    <row r="285" spans="1:11">
      <c r="A285">
        <v>1454</v>
      </c>
      <c r="B285" s="1">
        <v>44737</v>
      </c>
      <c r="C285" s="2">
        <v>0.47083333333333333</v>
      </c>
      <c r="D285">
        <v>22</v>
      </c>
      <c r="E285" t="s">
        <v>14</v>
      </c>
      <c r="F285">
        <v>46</v>
      </c>
      <c r="G285" t="s">
        <v>13</v>
      </c>
      <c r="H285">
        <v>1</v>
      </c>
      <c r="I285">
        <v>25</v>
      </c>
      <c r="J285">
        <v>6.75</v>
      </c>
      <c r="K285">
        <v>25</v>
      </c>
    </row>
    <row r="286" spans="1:11">
      <c r="A286">
        <v>1780</v>
      </c>
      <c r="B286" s="1">
        <v>44906</v>
      </c>
      <c r="C286" s="2">
        <v>0.41666666666666669</v>
      </c>
      <c r="D286">
        <v>32</v>
      </c>
      <c r="E286" t="s">
        <v>11</v>
      </c>
      <c r="F286">
        <v>52</v>
      </c>
      <c r="G286" t="s">
        <v>15</v>
      </c>
      <c r="H286">
        <v>2</v>
      </c>
      <c r="I286">
        <v>25</v>
      </c>
      <c r="J286">
        <v>10.5</v>
      </c>
      <c r="K286">
        <v>50</v>
      </c>
    </row>
    <row r="287" spans="1:11">
      <c r="A287">
        <v>1920</v>
      </c>
      <c r="B287" s="1">
        <v>44858</v>
      </c>
      <c r="C287" s="2">
        <v>0.35625000000000001</v>
      </c>
      <c r="D287">
        <v>23</v>
      </c>
      <c r="E287" t="s">
        <v>14</v>
      </c>
      <c r="F287">
        <v>28</v>
      </c>
      <c r="G287" t="s">
        <v>13</v>
      </c>
      <c r="H287">
        <v>3</v>
      </c>
      <c r="I287">
        <v>25</v>
      </c>
      <c r="J287">
        <v>9.25</v>
      </c>
      <c r="K287">
        <v>75</v>
      </c>
    </row>
    <row r="288" spans="1:11">
      <c r="A288">
        <v>396</v>
      </c>
      <c r="B288" s="1">
        <v>44910</v>
      </c>
      <c r="C288" s="2">
        <v>0.29930555555555555</v>
      </c>
      <c r="D288">
        <v>29</v>
      </c>
      <c r="E288" t="s">
        <v>14</v>
      </c>
      <c r="F288">
        <v>55</v>
      </c>
      <c r="G288" t="s">
        <v>13</v>
      </c>
      <c r="H288">
        <v>1</v>
      </c>
      <c r="I288">
        <v>30</v>
      </c>
      <c r="J288">
        <v>10.8</v>
      </c>
      <c r="K288">
        <v>30</v>
      </c>
    </row>
    <row r="289" spans="1:11">
      <c r="A289">
        <v>1396</v>
      </c>
      <c r="B289" s="1">
        <v>44719</v>
      </c>
      <c r="C289" s="2">
        <v>0.26597222222222222</v>
      </c>
      <c r="D289">
        <v>9</v>
      </c>
      <c r="E289" t="s">
        <v>14</v>
      </c>
      <c r="F289">
        <v>55</v>
      </c>
      <c r="G289" t="s">
        <v>13</v>
      </c>
      <c r="H289">
        <v>1</v>
      </c>
      <c r="I289">
        <v>30</v>
      </c>
      <c r="J289">
        <v>8.4</v>
      </c>
      <c r="K289">
        <v>30</v>
      </c>
    </row>
    <row r="290" spans="1:11">
      <c r="A290">
        <v>168</v>
      </c>
      <c r="B290" s="1">
        <v>44680</v>
      </c>
      <c r="C290" s="2">
        <v>0.3888888888888889</v>
      </c>
      <c r="D290">
        <v>138</v>
      </c>
      <c r="E290" t="s">
        <v>11</v>
      </c>
      <c r="F290">
        <v>53</v>
      </c>
      <c r="G290" t="s">
        <v>12</v>
      </c>
      <c r="H290">
        <v>1</v>
      </c>
      <c r="I290">
        <v>300</v>
      </c>
      <c r="J290">
        <v>102</v>
      </c>
      <c r="K290">
        <v>300</v>
      </c>
    </row>
    <row r="291" spans="1:11">
      <c r="A291">
        <v>400</v>
      </c>
      <c r="B291" s="1">
        <v>44628</v>
      </c>
      <c r="C291" s="2">
        <v>0.41111111111111109</v>
      </c>
      <c r="D291">
        <v>2</v>
      </c>
      <c r="E291" t="s">
        <v>11</v>
      </c>
      <c r="F291">
        <v>53</v>
      </c>
      <c r="G291" t="s">
        <v>12</v>
      </c>
      <c r="H291">
        <v>4</v>
      </c>
      <c r="I291">
        <v>50</v>
      </c>
      <c r="J291">
        <v>24</v>
      </c>
      <c r="K291">
        <v>200</v>
      </c>
    </row>
    <row r="292" spans="1:11">
      <c r="A292">
        <v>611</v>
      </c>
      <c r="B292" s="1">
        <v>44763</v>
      </c>
      <c r="C292" s="2">
        <v>0.34236111111111112</v>
      </c>
      <c r="D292">
        <v>11</v>
      </c>
      <c r="E292" t="s">
        <v>11</v>
      </c>
      <c r="F292">
        <v>51</v>
      </c>
      <c r="G292" t="s">
        <v>13</v>
      </c>
      <c r="H292">
        <v>3</v>
      </c>
      <c r="I292">
        <v>500</v>
      </c>
      <c r="J292">
        <v>180</v>
      </c>
      <c r="K292">
        <v>1500</v>
      </c>
    </row>
    <row r="293" spans="1:11">
      <c r="A293">
        <v>800</v>
      </c>
      <c r="B293" s="1">
        <v>44823</v>
      </c>
      <c r="C293" s="2">
        <v>0.31458333333333333</v>
      </c>
      <c r="D293">
        <v>111</v>
      </c>
      <c r="E293" t="s">
        <v>11</v>
      </c>
      <c r="F293">
        <v>32</v>
      </c>
      <c r="G293" t="s">
        <v>12</v>
      </c>
      <c r="H293">
        <v>4</v>
      </c>
      <c r="I293">
        <v>300</v>
      </c>
      <c r="J293">
        <v>87</v>
      </c>
      <c r="K293">
        <v>1200</v>
      </c>
    </row>
    <row r="294" spans="1:11">
      <c r="A294">
        <v>1168</v>
      </c>
      <c r="B294" s="1">
        <v>44752</v>
      </c>
      <c r="C294" s="2">
        <v>0.33055555555555555</v>
      </c>
      <c r="D294">
        <v>68</v>
      </c>
      <c r="E294" t="s">
        <v>11</v>
      </c>
      <c r="F294">
        <v>53</v>
      </c>
      <c r="G294" t="s">
        <v>12</v>
      </c>
      <c r="H294">
        <v>1</v>
      </c>
      <c r="I294">
        <v>300</v>
      </c>
      <c r="J294">
        <v>150</v>
      </c>
      <c r="K294">
        <v>300</v>
      </c>
    </row>
    <row r="295" spans="1:11">
      <c r="A295">
        <v>1400</v>
      </c>
      <c r="B295" s="1">
        <v>44816</v>
      </c>
      <c r="C295" s="2">
        <v>0.49583333333333335</v>
      </c>
      <c r="D295">
        <v>115</v>
      </c>
      <c r="E295" t="s">
        <v>11</v>
      </c>
      <c r="F295">
        <v>53</v>
      </c>
      <c r="G295" t="s">
        <v>12</v>
      </c>
      <c r="H295">
        <v>4</v>
      </c>
      <c r="I295">
        <v>50</v>
      </c>
      <c r="J295">
        <v>20</v>
      </c>
      <c r="K295">
        <v>200</v>
      </c>
    </row>
    <row r="296" spans="1:11">
      <c r="A296">
        <v>1611</v>
      </c>
      <c r="B296" s="1">
        <v>44882</v>
      </c>
      <c r="C296" s="2">
        <v>0.3125</v>
      </c>
      <c r="D296">
        <v>125</v>
      </c>
      <c r="E296" t="s">
        <v>11</v>
      </c>
      <c r="F296">
        <v>51</v>
      </c>
      <c r="G296" t="s">
        <v>13</v>
      </c>
      <c r="H296">
        <v>3</v>
      </c>
      <c r="I296">
        <v>500</v>
      </c>
      <c r="J296">
        <v>180</v>
      </c>
      <c r="K296">
        <v>1500</v>
      </c>
    </row>
    <row r="297" spans="1:11">
      <c r="A297">
        <v>1800</v>
      </c>
      <c r="B297" s="1">
        <v>44794</v>
      </c>
      <c r="C297" s="2">
        <v>0.45347222222222222</v>
      </c>
      <c r="D297">
        <v>1</v>
      </c>
      <c r="E297" t="s">
        <v>11</v>
      </c>
      <c r="F297">
        <v>32</v>
      </c>
      <c r="G297" t="s">
        <v>12</v>
      </c>
      <c r="H297">
        <v>4</v>
      </c>
      <c r="I297">
        <v>300</v>
      </c>
      <c r="J297">
        <v>111</v>
      </c>
      <c r="K297">
        <v>1200</v>
      </c>
    </row>
    <row r="298" spans="1:11">
      <c r="A298">
        <v>272</v>
      </c>
      <c r="B298" s="1">
        <v>44722</v>
      </c>
      <c r="C298" s="2">
        <v>0.49791666666666667</v>
      </c>
      <c r="D298">
        <v>112</v>
      </c>
      <c r="E298" t="s">
        <v>14</v>
      </c>
      <c r="F298">
        <v>61</v>
      </c>
      <c r="G298" t="s">
        <v>15</v>
      </c>
      <c r="H298">
        <v>2</v>
      </c>
      <c r="I298">
        <v>50</v>
      </c>
      <c r="J298">
        <v>27.5</v>
      </c>
      <c r="K298">
        <v>100</v>
      </c>
    </row>
    <row r="299" spans="1:11">
      <c r="A299">
        <v>473</v>
      </c>
      <c r="B299" s="1">
        <v>44829</v>
      </c>
      <c r="C299" s="2">
        <v>0.42291666666666666</v>
      </c>
      <c r="D299">
        <v>1</v>
      </c>
      <c r="E299" t="s">
        <v>11</v>
      </c>
      <c r="F299">
        <v>64</v>
      </c>
      <c r="G299" t="s">
        <v>13</v>
      </c>
      <c r="H299">
        <v>1</v>
      </c>
      <c r="I299">
        <v>50</v>
      </c>
      <c r="J299">
        <v>14.5</v>
      </c>
      <c r="K299">
        <v>50</v>
      </c>
    </row>
    <row r="300" spans="1:11">
      <c r="A300">
        <v>506</v>
      </c>
      <c r="B300" s="1">
        <v>44680</v>
      </c>
      <c r="C300" s="2">
        <v>0.30069444444444443</v>
      </c>
      <c r="D300">
        <v>9</v>
      </c>
      <c r="E300" t="s">
        <v>11</v>
      </c>
      <c r="F300">
        <v>34</v>
      </c>
      <c r="G300" t="s">
        <v>13</v>
      </c>
      <c r="H300">
        <v>3</v>
      </c>
      <c r="I300">
        <v>500</v>
      </c>
      <c r="J300">
        <v>200</v>
      </c>
      <c r="K300">
        <v>1500</v>
      </c>
    </row>
    <row r="301" spans="1:11">
      <c r="A301">
        <v>766</v>
      </c>
      <c r="B301" s="1">
        <v>44565</v>
      </c>
      <c r="C301" s="2">
        <v>0.3347222222222222</v>
      </c>
      <c r="D301">
        <v>128</v>
      </c>
      <c r="E301" t="s">
        <v>11</v>
      </c>
      <c r="F301">
        <v>38</v>
      </c>
      <c r="G301" t="s">
        <v>15</v>
      </c>
      <c r="H301">
        <v>3</v>
      </c>
      <c r="I301">
        <v>300</v>
      </c>
      <c r="J301">
        <v>165</v>
      </c>
      <c r="K301">
        <v>900</v>
      </c>
    </row>
    <row r="302" spans="1:11">
      <c r="A302">
        <v>1272</v>
      </c>
      <c r="B302" s="1">
        <v>44665</v>
      </c>
      <c r="C302" s="2">
        <v>0.49930555555555556</v>
      </c>
      <c r="D302">
        <v>66</v>
      </c>
      <c r="E302" t="s">
        <v>14</v>
      </c>
      <c r="F302">
        <v>61</v>
      </c>
      <c r="G302" t="s">
        <v>15</v>
      </c>
      <c r="H302">
        <v>2</v>
      </c>
      <c r="I302">
        <v>50</v>
      </c>
      <c r="J302">
        <v>17</v>
      </c>
      <c r="K302">
        <v>100</v>
      </c>
    </row>
    <row r="303" spans="1:11">
      <c r="A303">
        <v>1473</v>
      </c>
      <c r="B303" s="1">
        <v>44639</v>
      </c>
      <c r="C303" s="2">
        <v>0.37916666666666665</v>
      </c>
      <c r="D303">
        <v>30</v>
      </c>
      <c r="E303" t="s">
        <v>11</v>
      </c>
      <c r="F303">
        <v>64</v>
      </c>
      <c r="G303" t="s">
        <v>13</v>
      </c>
      <c r="H303">
        <v>1</v>
      </c>
      <c r="I303">
        <v>50</v>
      </c>
      <c r="J303">
        <v>13</v>
      </c>
      <c r="K303">
        <v>50</v>
      </c>
    </row>
    <row r="304" spans="1:11">
      <c r="A304">
        <v>1506</v>
      </c>
      <c r="B304" s="1">
        <v>44570</v>
      </c>
      <c r="C304" s="2">
        <v>0.31319444444444444</v>
      </c>
      <c r="D304">
        <v>52</v>
      </c>
      <c r="E304" t="s">
        <v>11</v>
      </c>
      <c r="F304">
        <v>34</v>
      </c>
      <c r="G304" t="s">
        <v>13</v>
      </c>
      <c r="H304">
        <v>3</v>
      </c>
      <c r="I304">
        <v>500</v>
      </c>
      <c r="J304">
        <v>245</v>
      </c>
      <c r="K304">
        <v>1500</v>
      </c>
    </row>
    <row r="305" spans="1:11">
      <c r="A305">
        <v>1766</v>
      </c>
      <c r="B305" s="1">
        <v>44887</v>
      </c>
      <c r="C305" s="2">
        <v>0.25555555555555554</v>
      </c>
      <c r="D305">
        <v>6</v>
      </c>
      <c r="E305" t="s">
        <v>11</v>
      </c>
      <c r="F305">
        <v>38</v>
      </c>
      <c r="G305" t="s">
        <v>15</v>
      </c>
      <c r="H305">
        <v>3</v>
      </c>
      <c r="I305">
        <v>300</v>
      </c>
      <c r="J305">
        <v>129</v>
      </c>
      <c r="K305">
        <v>900</v>
      </c>
    </row>
    <row r="306" spans="1:11">
      <c r="A306">
        <v>135</v>
      </c>
      <c r="B306" s="1">
        <v>44669</v>
      </c>
      <c r="C306" s="2">
        <v>0.30694444444444446</v>
      </c>
      <c r="D306">
        <v>104</v>
      </c>
      <c r="E306" t="s">
        <v>11</v>
      </c>
      <c r="F306">
        <v>20</v>
      </c>
      <c r="G306" t="s">
        <v>12</v>
      </c>
      <c r="H306">
        <v>2</v>
      </c>
      <c r="I306">
        <v>25</v>
      </c>
      <c r="J306">
        <v>13</v>
      </c>
      <c r="K306">
        <v>50</v>
      </c>
    </row>
    <row r="307" spans="1:11">
      <c r="A307">
        <v>1135</v>
      </c>
      <c r="B307" s="1">
        <v>44575</v>
      </c>
      <c r="C307" s="2">
        <v>0.34444444444444444</v>
      </c>
      <c r="D307">
        <v>124</v>
      </c>
      <c r="E307" t="s">
        <v>11</v>
      </c>
      <c r="F307">
        <v>20</v>
      </c>
      <c r="G307" t="s">
        <v>12</v>
      </c>
      <c r="H307">
        <v>2</v>
      </c>
      <c r="I307">
        <v>25</v>
      </c>
      <c r="J307">
        <v>12.5</v>
      </c>
      <c r="K307">
        <v>50</v>
      </c>
    </row>
    <row r="308" spans="1:11">
      <c r="A308">
        <v>2</v>
      </c>
      <c r="B308" s="1">
        <v>44736</v>
      </c>
      <c r="C308" s="2">
        <v>0.42152777777777778</v>
      </c>
      <c r="D308">
        <v>104</v>
      </c>
      <c r="E308" t="s">
        <v>14</v>
      </c>
      <c r="F308">
        <v>26</v>
      </c>
      <c r="G308" t="s">
        <v>12</v>
      </c>
      <c r="H308">
        <v>2</v>
      </c>
      <c r="I308">
        <v>500</v>
      </c>
      <c r="J308">
        <v>135</v>
      </c>
      <c r="K308">
        <v>1000</v>
      </c>
    </row>
    <row r="309" spans="1:11">
      <c r="A309">
        <v>158</v>
      </c>
      <c r="B309" s="1">
        <v>44582</v>
      </c>
      <c r="C309" s="2">
        <v>0.48472222222222222</v>
      </c>
      <c r="D309">
        <v>141</v>
      </c>
      <c r="E309" t="s">
        <v>14</v>
      </c>
      <c r="F309">
        <v>44</v>
      </c>
      <c r="G309" t="s">
        <v>15</v>
      </c>
      <c r="H309">
        <v>2</v>
      </c>
      <c r="I309">
        <v>300</v>
      </c>
      <c r="J309">
        <v>132</v>
      </c>
      <c r="K309">
        <v>600</v>
      </c>
    </row>
    <row r="310" spans="1:11">
      <c r="A310">
        <v>185</v>
      </c>
      <c r="B310" s="1">
        <v>44739</v>
      </c>
      <c r="C310" s="2">
        <v>0.40833333333333333</v>
      </c>
      <c r="D310">
        <v>57</v>
      </c>
      <c r="E310" t="s">
        <v>11</v>
      </c>
      <c r="F310">
        <v>24</v>
      </c>
      <c r="G310" t="s">
        <v>12</v>
      </c>
      <c r="H310">
        <v>1</v>
      </c>
      <c r="I310">
        <v>25</v>
      </c>
      <c r="J310">
        <v>7</v>
      </c>
      <c r="K310">
        <v>25</v>
      </c>
    </row>
    <row r="311" spans="1:11">
      <c r="A311">
        <v>433</v>
      </c>
      <c r="B311" s="1">
        <v>44771</v>
      </c>
      <c r="C311" s="2">
        <v>0.36666666666666664</v>
      </c>
      <c r="D311">
        <v>144</v>
      </c>
      <c r="E311" t="s">
        <v>11</v>
      </c>
      <c r="F311">
        <v>29</v>
      </c>
      <c r="G311" t="s">
        <v>13</v>
      </c>
      <c r="H311">
        <v>4</v>
      </c>
      <c r="I311">
        <v>50</v>
      </c>
      <c r="J311">
        <v>20</v>
      </c>
      <c r="K311">
        <v>200</v>
      </c>
    </row>
    <row r="312" spans="1:11">
      <c r="A312">
        <v>1002</v>
      </c>
      <c r="B312" s="1">
        <v>44622</v>
      </c>
      <c r="C312" s="2">
        <v>0.39166666666666666</v>
      </c>
      <c r="D312">
        <v>69</v>
      </c>
      <c r="E312" t="s">
        <v>14</v>
      </c>
      <c r="F312">
        <v>26</v>
      </c>
      <c r="G312" t="s">
        <v>12</v>
      </c>
      <c r="H312">
        <v>2</v>
      </c>
      <c r="I312">
        <v>500</v>
      </c>
      <c r="J312">
        <v>270</v>
      </c>
      <c r="K312">
        <v>1000</v>
      </c>
    </row>
    <row r="313" spans="1:11">
      <c r="A313">
        <v>1158</v>
      </c>
      <c r="B313" s="1">
        <v>44616</v>
      </c>
      <c r="C313" s="2">
        <v>0.39513888888888887</v>
      </c>
      <c r="D313">
        <v>77</v>
      </c>
      <c r="E313" t="s">
        <v>14</v>
      </c>
      <c r="F313">
        <v>44</v>
      </c>
      <c r="G313" t="s">
        <v>15</v>
      </c>
      <c r="H313">
        <v>2</v>
      </c>
      <c r="I313">
        <v>300</v>
      </c>
      <c r="J313">
        <v>138</v>
      </c>
      <c r="K313">
        <v>600</v>
      </c>
    </row>
    <row r="314" spans="1:11">
      <c r="A314">
        <v>1185</v>
      </c>
      <c r="B314" s="1">
        <v>44838</v>
      </c>
      <c r="C314" s="2">
        <v>0.43611111111111112</v>
      </c>
      <c r="D314">
        <v>153</v>
      </c>
      <c r="E314" t="s">
        <v>11</v>
      </c>
      <c r="F314">
        <v>24</v>
      </c>
      <c r="G314" t="s">
        <v>12</v>
      </c>
      <c r="H314">
        <v>1</v>
      </c>
      <c r="I314">
        <v>25</v>
      </c>
      <c r="J314">
        <v>10.25</v>
      </c>
      <c r="K314">
        <v>25</v>
      </c>
    </row>
    <row r="315" spans="1:11">
      <c r="A315">
        <v>1433</v>
      </c>
      <c r="B315" s="1">
        <v>44577</v>
      </c>
      <c r="C315" s="2">
        <v>0.48680555555555555</v>
      </c>
      <c r="D315">
        <v>113</v>
      </c>
      <c r="E315" t="s">
        <v>11</v>
      </c>
      <c r="F315">
        <v>29</v>
      </c>
      <c r="G315" t="s">
        <v>13</v>
      </c>
      <c r="H315">
        <v>4</v>
      </c>
      <c r="I315">
        <v>50</v>
      </c>
      <c r="J315">
        <v>15.5</v>
      </c>
      <c r="K315">
        <v>200</v>
      </c>
    </row>
    <row r="316" spans="1:11">
      <c r="A316">
        <v>152</v>
      </c>
      <c r="B316" s="1">
        <v>44728</v>
      </c>
      <c r="C316" s="2">
        <v>0.49861111111111112</v>
      </c>
      <c r="D316">
        <v>120</v>
      </c>
      <c r="E316" t="s">
        <v>11</v>
      </c>
      <c r="F316">
        <v>43</v>
      </c>
      <c r="G316" t="s">
        <v>15</v>
      </c>
      <c r="H316">
        <v>4</v>
      </c>
      <c r="I316">
        <v>500</v>
      </c>
      <c r="J316">
        <v>210</v>
      </c>
      <c r="K316">
        <v>2000</v>
      </c>
    </row>
    <row r="317" spans="1:11">
      <c r="A317">
        <v>753</v>
      </c>
      <c r="B317" s="1">
        <v>44748</v>
      </c>
      <c r="C317" s="2">
        <v>0.42152777777777778</v>
      </c>
      <c r="D317">
        <v>70</v>
      </c>
      <c r="E317" t="s">
        <v>14</v>
      </c>
      <c r="F317">
        <v>32</v>
      </c>
      <c r="G317" t="s">
        <v>12</v>
      </c>
      <c r="H317">
        <v>1</v>
      </c>
      <c r="I317">
        <v>30</v>
      </c>
      <c r="J317">
        <v>15.9</v>
      </c>
      <c r="K317">
        <v>30</v>
      </c>
    </row>
    <row r="318" spans="1:11">
      <c r="A318">
        <v>763</v>
      </c>
      <c r="B318" s="1">
        <v>44674</v>
      </c>
      <c r="C318" s="2">
        <v>0.40486111111111112</v>
      </c>
      <c r="D318">
        <v>58</v>
      </c>
      <c r="E318" t="s">
        <v>11</v>
      </c>
      <c r="F318">
        <v>34</v>
      </c>
      <c r="G318" t="s">
        <v>12</v>
      </c>
      <c r="H318">
        <v>2</v>
      </c>
      <c r="I318">
        <v>25</v>
      </c>
      <c r="J318">
        <v>11.5</v>
      </c>
      <c r="K318">
        <v>50</v>
      </c>
    </row>
    <row r="319" spans="1:11">
      <c r="A319">
        <v>932</v>
      </c>
      <c r="B319" s="1">
        <v>44842</v>
      </c>
      <c r="C319" s="2">
        <v>0.35625000000000001</v>
      </c>
      <c r="D319">
        <v>120</v>
      </c>
      <c r="E319" t="s">
        <v>14</v>
      </c>
      <c r="F319">
        <v>45</v>
      </c>
      <c r="G319" t="s">
        <v>13</v>
      </c>
      <c r="H319">
        <v>4</v>
      </c>
      <c r="I319">
        <v>25</v>
      </c>
      <c r="J319">
        <v>7.75</v>
      </c>
      <c r="K319">
        <v>100</v>
      </c>
    </row>
    <row r="320" spans="1:11">
      <c r="A320">
        <v>1152</v>
      </c>
      <c r="B320" s="1">
        <v>44921</v>
      </c>
      <c r="C320" s="2">
        <v>0.32500000000000001</v>
      </c>
      <c r="D320">
        <v>87</v>
      </c>
      <c r="E320" t="s">
        <v>11</v>
      </c>
      <c r="F320">
        <v>43</v>
      </c>
      <c r="G320" t="s">
        <v>15</v>
      </c>
      <c r="H320">
        <v>4</v>
      </c>
      <c r="I320">
        <v>500</v>
      </c>
      <c r="J320">
        <v>170</v>
      </c>
      <c r="K320">
        <v>2000</v>
      </c>
    </row>
    <row r="321" spans="1:11">
      <c r="A321">
        <v>1753</v>
      </c>
      <c r="B321" s="1">
        <v>44759</v>
      </c>
      <c r="C321" s="2">
        <v>0.31944444444444442</v>
      </c>
      <c r="D321">
        <v>28</v>
      </c>
      <c r="E321" t="s">
        <v>14</v>
      </c>
      <c r="F321">
        <v>32</v>
      </c>
      <c r="G321" t="s">
        <v>12</v>
      </c>
      <c r="H321">
        <v>1</v>
      </c>
      <c r="I321">
        <v>30</v>
      </c>
      <c r="J321">
        <v>10.5</v>
      </c>
      <c r="K321">
        <v>30</v>
      </c>
    </row>
    <row r="322" spans="1:11">
      <c r="A322">
        <v>1763</v>
      </c>
      <c r="B322" s="1">
        <v>44742</v>
      </c>
      <c r="C322" s="2">
        <v>0.48402777777777778</v>
      </c>
      <c r="D322">
        <v>93</v>
      </c>
      <c r="E322" t="s">
        <v>11</v>
      </c>
      <c r="F322">
        <v>34</v>
      </c>
      <c r="G322" t="s">
        <v>12</v>
      </c>
      <c r="H322">
        <v>2</v>
      </c>
      <c r="I322">
        <v>25</v>
      </c>
      <c r="J322">
        <v>13.5</v>
      </c>
      <c r="K322">
        <v>50</v>
      </c>
    </row>
    <row r="323" spans="1:11">
      <c r="A323">
        <v>1932</v>
      </c>
      <c r="B323" s="1">
        <v>44873</v>
      </c>
      <c r="C323" s="2">
        <v>0.29652777777777778</v>
      </c>
      <c r="D323">
        <v>96</v>
      </c>
      <c r="E323" t="s">
        <v>14</v>
      </c>
      <c r="F323">
        <v>45</v>
      </c>
      <c r="G323" t="s">
        <v>13</v>
      </c>
      <c r="H323">
        <v>4</v>
      </c>
      <c r="I323">
        <v>25</v>
      </c>
      <c r="J323">
        <v>6.25</v>
      </c>
      <c r="K323">
        <v>100</v>
      </c>
    </row>
    <row r="324" spans="1:11">
      <c r="A324">
        <v>399</v>
      </c>
      <c r="B324" s="1">
        <v>44902</v>
      </c>
      <c r="C324" s="2">
        <v>0.3923611111111111</v>
      </c>
      <c r="D324">
        <v>136</v>
      </c>
      <c r="E324" t="s">
        <v>14</v>
      </c>
      <c r="F324">
        <v>64</v>
      </c>
      <c r="G324" t="s">
        <v>13</v>
      </c>
      <c r="H324">
        <v>2</v>
      </c>
      <c r="I324">
        <v>30</v>
      </c>
      <c r="J324">
        <v>12.9</v>
      </c>
      <c r="K324">
        <v>60</v>
      </c>
    </row>
    <row r="325" spans="1:11">
      <c r="A325">
        <v>500</v>
      </c>
      <c r="B325" s="1">
        <v>44848</v>
      </c>
      <c r="C325" s="2">
        <v>0.25763888888888886</v>
      </c>
      <c r="D325">
        <v>120</v>
      </c>
      <c r="E325" t="s">
        <v>14</v>
      </c>
      <c r="F325">
        <v>60</v>
      </c>
      <c r="G325" t="s">
        <v>13</v>
      </c>
      <c r="H325">
        <v>4</v>
      </c>
      <c r="I325">
        <v>25</v>
      </c>
      <c r="J325">
        <v>11.5</v>
      </c>
      <c r="K325">
        <v>100</v>
      </c>
    </row>
    <row r="326" spans="1:11">
      <c r="A326">
        <v>514</v>
      </c>
      <c r="B326" s="1">
        <v>44869</v>
      </c>
      <c r="C326" s="2">
        <v>0.3576388888888889</v>
      </c>
      <c r="D326">
        <v>139</v>
      </c>
      <c r="E326" t="s">
        <v>14</v>
      </c>
      <c r="F326">
        <v>18</v>
      </c>
      <c r="G326" t="s">
        <v>15</v>
      </c>
      <c r="H326">
        <v>1</v>
      </c>
      <c r="I326">
        <v>300</v>
      </c>
      <c r="J326">
        <v>96</v>
      </c>
      <c r="K326">
        <v>300</v>
      </c>
    </row>
    <row r="327" spans="1:11">
      <c r="A327">
        <v>1399</v>
      </c>
      <c r="B327" s="1">
        <v>44589</v>
      </c>
      <c r="C327" s="2">
        <v>0.3972222222222222</v>
      </c>
      <c r="D327">
        <v>15</v>
      </c>
      <c r="E327" t="s">
        <v>14</v>
      </c>
      <c r="F327">
        <v>64</v>
      </c>
      <c r="G327" t="s">
        <v>13</v>
      </c>
      <c r="H327">
        <v>2</v>
      </c>
      <c r="I327">
        <v>30</v>
      </c>
      <c r="J327">
        <v>16.2</v>
      </c>
      <c r="K327">
        <v>60</v>
      </c>
    </row>
    <row r="328" spans="1:11">
      <c r="A328">
        <v>1500</v>
      </c>
      <c r="B328" s="1">
        <v>44671</v>
      </c>
      <c r="C328" s="2">
        <v>0.35833333333333334</v>
      </c>
      <c r="D328">
        <v>53</v>
      </c>
      <c r="E328" t="s">
        <v>14</v>
      </c>
      <c r="F328">
        <v>60</v>
      </c>
      <c r="G328" t="s">
        <v>13</v>
      </c>
      <c r="H328">
        <v>4</v>
      </c>
      <c r="I328">
        <v>25</v>
      </c>
      <c r="J328">
        <v>8.5</v>
      </c>
      <c r="K328">
        <v>100</v>
      </c>
    </row>
    <row r="329" spans="1:11">
      <c r="A329">
        <v>1514</v>
      </c>
      <c r="B329" s="1">
        <v>44754</v>
      </c>
      <c r="C329" s="2">
        <v>0.4548611111111111</v>
      </c>
      <c r="D329">
        <v>59</v>
      </c>
      <c r="E329" t="s">
        <v>14</v>
      </c>
      <c r="F329">
        <v>18</v>
      </c>
      <c r="G329" t="s">
        <v>15</v>
      </c>
      <c r="H329">
        <v>1</v>
      </c>
      <c r="I329">
        <v>300</v>
      </c>
      <c r="J329">
        <v>75</v>
      </c>
      <c r="K329">
        <v>300</v>
      </c>
    </row>
    <row r="330" spans="1:11">
      <c r="A330">
        <v>947</v>
      </c>
      <c r="B330" s="1">
        <v>44773</v>
      </c>
      <c r="C330" s="2">
        <v>0.29791666666666666</v>
      </c>
      <c r="D330">
        <v>4</v>
      </c>
      <c r="E330" t="s">
        <v>11</v>
      </c>
      <c r="F330">
        <v>50</v>
      </c>
      <c r="G330" t="s">
        <v>13</v>
      </c>
      <c r="H330">
        <v>1</v>
      </c>
      <c r="I330">
        <v>300</v>
      </c>
      <c r="J330">
        <v>129</v>
      </c>
      <c r="K330">
        <v>300</v>
      </c>
    </row>
    <row r="331" spans="1:11">
      <c r="A331">
        <v>1947</v>
      </c>
      <c r="B331" s="1">
        <v>44625</v>
      </c>
      <c r="C331" s="2">
        <v>0.26874999999999999</v>
      </c>
      <c r="D331">
        <v>134</v>
      </c>
      <c r="E331" t="s">
        <v>11</v>
      </c>
      <c r="F331">
        <v>50</v>
      </c>
      <c r="G331" t="s">
        <v>13</v>
      </c>
      <c r="H331">
        <v>1</v>
      </c>
      <c r="I331">
        <v>300</v>
      </c>
      <c r="J331">
        <v>75</v>
      </c>
      <c r="K331">
        <v>300</v>
      </c>
    </row>
    <row r="332" spans="1:11">
      <c r="A332">
        <v>220</v>
      </c>
      <c r="B332" s="1">
        <v>44688</v>
      </c>
      <c r="C332" s="2">
        <v>0.28055555555555556</v>
      </c>
      <c r="D332">
        <v>138</v>
      </c>
      <c r="E332" t="s">
        <v>11</v>
      </c>
      <c r="F332">
        <v>64</v>
      </c>
      <c r="G332" t="s">
        <v>13</v>
      </c>
      <c r="H332">
        <v>1</v>
      </c>
      <c r="I332">
        <v>500</v>
      </c>
      <c r="J332">
        <v>140</v>
      </c>
      <c r="K332">
        <v>500</v>
      </c>
    </row>
    <row r="333" spans="1:11">
      <c r="A333">
        <v>339</v>
      </c>
      <c r="B333" s="1">
        <v>44791</v>
      </c>
      <c r="C333" s="2">
        <v>0.43541666666666667</v>
      </c>
      <c r="D333">
        <v>33</v>
      </c>
      <c r="E333" t="s">
        <v>14</v>
      </c>
      <c r="F333">
        <v>22</v>
      </c>
      <c r="G333" t="s">
        <v>15</v>
      </c>
      <c r="H333">
        <v>2</v>
      </c>
      <c r="I333">
        <v>25</v>
      </c>
      <c r="J333">
        <v>10.25</v>
      </c>
      <c r="K333">
        <v>50</v>
      </c>
    </row>
    <row r="334" spans="1:11">
      <c r="A334">
        <v>785</v>
      </c>
      <c r="B334" s="1">
        <v>44853</v>
      </c>
      <c r="C334" s="2">
        <v>0.25624999999999998</v>
      </c>
      <c r="D334">
        <v>88</v>
      </c>
      <c r="E334" t="s">
        <v>14</v>
      </c>
      <c r="F334">
        <v>31</v>
      </c>
      <c r="G334" t="s">
        <v>13</v>
      </c>
      <c r="H334">
        <v>4</v>
      </c>
      <c r="I334">
        <v>50</v>
      </c>
      <c r="J334">
        <v>13</v>
      </c>
      <c r="K334">
        <v>200</v>
      </c>
    </row>
    <row r="335" spans="1:11">
      <c r="A335">
        <v>885</v>
      </c>
      <c r="B335" s="1">
        <v>44821</v>
      </c>
      <c r="C335" s="2">
        <v>0.4236111111111111</v>
      </c>
      <c r="D335">
        <v>121</v>
      </c>
      <c r="E335" t="s">
        <v>14</v>
      </c>
      <c r="F335">
        <v>52</v>
      </c>
      <c r="G335" t="s">
        <v>12</v>
      </c>
      <c r="H335">
        <v>4</v>
      </c>
      <c r="I335">
        <v>30</v>
      </c>
      <c r="J335">
        <v>14.4</v>
      </c>
      <c r="K335">
        <v>120</v>
      </c>
    </row>
    <row r="336" spans="1:11">
      <c r="A336">
        <v>888</v>
      </c>
      <c r="B336" s="1">
        <v>44896</v>
      </c>
      <c r="C336" s="2">
        <v>0.25208333333333333</v>
      </c>
      <c r="D336">
        <v>63</v>
      </c>
      <c r="E336" t="s">
        <v>14</v>
      </c>
      <c r="F336">
        <v>52</v>
      </c>
      <c r="G336" t="s">
        <v>15</v>
      </c>
      <c r="H336">
        <v>4</v>
      </c>
      <c r="I336">
        <v>25</v>
      </c>
      <c r="J336">
        <v>12.75</v>
      </c>
      <c r="K336">
        <v>100</v>
      </c>
    </row>
    <row r="337" spans="1:11">
      <c r="A337">
        <v>1220</v>
      </c>
      <c r="B337" s="1">
        <v>44741</v>
      </c>
      <c r="C337" s="2">
        <v>0.46944444444444444</v>
      </c>
      <c r="D337">
        <v>47</v>
      </c>
      <c r="E337" t="s">
        <v>11</v>
      </c>
      <c r="F337">
        <v>64</v>
      </c>
      <c r="G337" t="s">
        <v>13</v>
      </c>
      <c r="H337">
        <v>1</v>
      </c>
      <c r="I337">
        <v>500</v>
      </c>
      <c r="J337">
        <v>240</v>
      </c>
      <c r="K337">
        <v>500</v>
      </c>
    </row>
    <row r="338" spans="1:11">
      <c r="A338">
        <v>1339</v>
      </c>
      <c r="B338" s="1">
        <v>44875</v>
      </c>
      <c r="C338" s="2">
        <v>0.44027777777777777</v>
      </c>
      <c r="D338">
        <v>132</v>
      </c>
      <c r="E338" t="s">
        <v>14</v>
      </c>
      <c r="F338">
        <v>22</v>
      </c>
      <c r="G338" t="s">
        <v>15</v>
      </c>
      <c r="H338">
        <v>2</v>
      </c>
      <c r="I338">
        <v>25</v>
      </c>
      <c r="J338">
        <v>7.5</v>
      </c>
      <c r="K338">
        <v>50</v>
      </c>
    </row>
    <row r="339" spans="1:11">
      <c r="A339">
        <v>1785</v>
      </c>
      <c r="B339" s="1">
        <v>44612</v>
      </c>
      <c r="C339" s="2">
        <v>0.47013888888888888</v>
      </c>
      <c r="D339">
        <v>144</v>
      </c>
      <c r="E339" t="s">
        <v>14</v>
      </c>
      <c r="F339">
        <v>31</v>
      </c>
      <c r="G339" t="s">
        <v>13</v>
      </c>
      <c r="H339">
        <v>4</v>
      </c>
      <c r="I339">
        <v>50</v>
      </c>
      <c r="J339">
        <v>17</v>
      </c>
      <c r="K339">
        <v>200</v>
      </c>
    </row>
    <row r="340" spans="1:11">
      <c r="A340">
        <v>1885</v>
      </c>
      <c r="B340" s="1">
        <v>44874</v>
      </c>
      <c r="C340" s="2">
        <v>0.31388888888888888</v>
      </c>
      <c r="D340">
        <v>148</v>
      </c>
      <c r="E340" t="s">
        <v>14</v>
      </c>
      <c r="F340">
        <v>52</v>
      </c>
      <c r="G340" t="s">
        <v>12</v>
      </c>
      <c r="H340">
        <v>4</v>
      </c>
      <c r="I340">
        <v>30</v>
      </c>
      <c r="J340">
        <v>10.8</v>
      </c>
      <c r="K340">
        <v>120</v>
      </c>
    </row>
    <row r="341" spans="1:11">
      <c r="A341">
        <v>1888</v>
      </c>
      <c r="B341" s="1">
        <v>44726</v>
      </c>
      <c r="C341" s="2">
        <v>0.34027777777777779</v>
      </c>
      <c r="D341">
        <v>49</v>
      </c>
      <c r="E341" t="s">
        <v>14</v>
      </c>
      <c r="F341">
        <v>52</v>
      </c>
      <c r="G341" t="s">
        <v>15</v>
      </c>
      <c r="H341">
        <v>4</v>
      </c>
      <c r="I341">
        <v>25</v>
      </c>
      <c r="J341">
        <v>12.5</v>
      </c>
      <c r="K341">
        <v>100</v>
      </c>
    </row>
    <row r="342" spans="1:11">
      <c r="A342">
        <v>621</v>
      </c>
      <c r="B342" s="1">
        <v>44664</v>
      </c>
      <c r="C342" s="2">
        <v>0.41319444444444442</v>
      </c>
      <c r="D342">
        <v>138</v>
      </c>
      <c r="E342" t="s">
        <v>14</v>
      </c>
      <c r="F342">
        <v>40</v>
      </c>
      <c r="G342" t="s">
        <v>13</v>
      </c>
      <c r="H342">
        <v>2</v>
      </c>
      <c r="I342">
        <v>500</v>
      </c>
      <c r="J342">
        <v>275</v>
      </c>
      <c r="K342">
        <v>1000</v>
      </c>
    </row>
    <row r="343" spans="1:11">
      <c r="A343">
        <v>1621</v>
      </c>
      <c r="B343" s="1">
        <v>44826</v>
      </c>
      <c r="C343" s="2">
        <v>0.45069444444444445</v>
      </c>
      <c r="D343">
        <v>2</v>
      </c>
      <c r="E343" t="s">
        <v>14</v>
      </c>
      <c r="F343">
        <v>40</v>
      </c>
      <c r="G343" t="s">
        <v>13</v>
      </c>
      <c r="H343">
        <v>2</v>
      </c>
      <c r="I343">
        <v>500</v>
      </c>
      <c r="J343">
        <v>160</v>
      </c>
      <c r="K343">
        <v>1000</v>
      </c>
    </row>
    <row r="344" spans="1:11">
      <c r="A344">
        <v>52</v>
      </c>
      <c r="B344" s="1">
        <v>44823</v>
      </c>
      <c r="C344" s="2">
        <v>0.40416666666666667</v>
      </c>
      <c r="D344">
        <v>55</v>
      </c>
      <c r="E344" t="s">
        <v>14</v>
      </c>
      <c r="F344">
        <v>36</v>
      </c>
      <c r="G344" t="s">
        <v>13</v>
      </c>
      <c r="H344">
        <v>1</v>
      </c>
      <c r="I344">
        <v>300</v>
      </c>
      <c r="J344">
        <v>111</v>
      </c>
      <c r="K344">
        <v>300</v>
      </c>
    </row>
    <row r="345" spans="1:11">
      <c r="A345">
        <v>536</v>
      </c>
      <c r="B345" s="1">
        <v>44793</v>
      </c>
      <c r="C345" s="2">
        <v>0.2673611111111111</v>
      </c>
      <c r="D345">
        <v>17</v>
      </c>
      <c r="E345" t="s">
        <v>14</v>
      </c>
      <c r="F345">
        <v>55</v>
      </c>
      <c r="G345" t="s">
        <v>13</v>
      </c>
      <c r="H345">
        <v>4</v>
      </c>
      <c r="I345">
        <v>30</v>
      </c>
      <c r="J345">
        <v>8.6999999999999993</v>
      </c>
      <c r="K345">
        <v>120</v>
      </c>
    </row>
    <row r="346" spans="1:11">
      <c r="A346">
        <v>1052</v>
      </c>
      <c r="B346" s="1">
        <v>44604</v>
      </c>
      <c r="C346" s="2">
        <v>0.25833333333333336</v>
      </c>
      <c r="D346">
        <v>94</v>
      </c>
      <c r="E346" t="s">
        <v>14</v>
      </c>
      <c r="F346">
        <v>36</v>
      </c>
      <c r="G346" t="s">
        <v>13</v>
      </c>
      <c r="H346">
        <v>1</v>
      </c>
      <c r="I346">
        <v>300</v>
      </c>
      <c r="J346">
        <v>120</v>
      </c>
      <c r="K346">
        <v>300</v>
      </c>
    </row>
    <row r="347" spans="1:11">
      <c r="A347">
        <v>1536</v>
      </c>
      <c r="B347" s="1">
        <v>44692</v>
      </c>
      <c r="C347" s="2">
        <v>0.30763888888888891</v>
      </c>
      <c r="D347">
        <v>14</v>
      </c>
      <c r="E347" t="s">
        <v>14</v>
      </c>
      <c r="F347">
        <v>55</v>
      </c>
      <c r="G347" t="s">
        <v>13</v>
      </c>
      <c r="H347">
        <v>4</v>
      </c>
      <c r="I347">
        <v>30</v>
      </c>
      <c r="J347">
        <v>13.5</v>
      </c>
      <c r="K347">
        <v>120</v>
      </c>
    </row>
    <row r="348" spans="1:11">
      <c r="A348">
        <v>197</v>
      </c>
      <c r="B348" s="1">
        <v>44654</v>
      </c>
      <c r="C348" s="2">
        <v>0.49791666666666667</v>
      </c>
      <c r="D348">
        <v>14</v>
      </c>
      <c r="E348" t="s">
        <v>14</v>
      </c>
      <c r="F348">
        <v>42</v>
      </c>
      <c r="G348" t="s">
        <v>12</v>
      </c>
      <c r="H348">
        <v>4</v>
      </c>
      <c r="I348">
        <v>50</v>
      </c>
      <c r="J348">
        <v>25.5</v>
      </c>
      <c r="K348">
        <v>200</v>
      </c>
    </row>
    <row r="349" spans="1:11">
      <c r="A349">
        <v>750</v>
      </c>
      <c r="B349" s="1">
        <v>44878</v>
      </c>
      <c r="C349" s="2">
        <v>0.31458333333333333</v>
      </c>
      <c r="D349">
        <v>69</v>
      </c>
      <c r="E349" t="s">
        <v>14</v>
      </c>
      <c r="F349">
        <v>35</v>
      </c>
      <c r="G349" t="s">
        <v>12</v>
      </c>
      <c r="H349">
        <v>3</v>
      </c>
      <c r="I349">
        <v>25</v>
      </c>
      <c r="J349">
        <v>8.75</v>
      </c>
      <c r="K349">
        <v>75</v>
      </c>
    </row>
    <row r="350" spans="1:11">
      <c r="A350">
        <v>910</v>
      </c>
      <c r="B350" s="1">
        <v>44794</v>
      </c>
      <c r="C350" s="2">
        <v>0.27013888888888887</v>
      </c>
      <c r="D350">
        <v>138</v>
      </c>
      <c r="E350" t="s">
        <v>14</v>
      </c>
      <c r="F350">
        <v>20</v>
      </c>
      <c r="G350" t="s">
        <v>13</v>
      </c>
      <c r="H350">
        <v>3</v>
      </c>
      <c r="I350">
        <v>50</v>
      </c>
      <c r="J350">
        <v>22.5</v>
      </c>
      <c r="K350">
        <v>150</v>
      </c>
    </row>
    <row r="351" spans="1:11">
      <c r="A351">
        <v>917</v>
      </c>
      <c r="B351" s="1">
        <v>44607</v>
      </c>
      <c r="C351" s="2">
        <v>0.49305555555555558</v>
      </c>
      <c r="D351">
        <v>120</v>
      </c>
      <c r="E351" t="s">
        <v>14</v>
      </c>
      <c r="F351">
        <v>57</v>
      </c>
      <c r="G351" t="s">
        <v>15</v>
      </c>
      <c r="H351">
        <v>4</v>
      </c>
      <c r="I351">
        <v>50</v>
      </c>
      <c r="J351">
        <v>16.5</v>
      </c>
      <c r="K351">
        <v>200</v>
      </c>
    </row>
    <row r="352" spans="1:11">
      <c r="A352">
        <v>1197</v>
      </c>
      <c r="B352" s="1">
        <v>44786</v>
      </c>
      <c r="C352" s="2">
        <v>0.42152777777777778</v>
      </c>
      <c r="D352">
        <v>77</v>
      </c>
      <c r="E352" t="s">
        <v>14</v>
      </c>
      <c r="F352">
        <v>42</v>
      </c>
      <c r="G352" t="s">
        <v>12</v>
      </c>
      <c r="H352">
        <v>4</v>
      </c>
      <c r="I352">
        <v>50</v>
      </c>
      <c r="J352">
        <v>19</v>
      </c>
      <c r="K352">
        <v>200</v>
      </c>
    </row>
    <row r="353" spans="1:11">
      <c r="A353">
        <v>1750</v>
      </c>
      <c r="B353" s="1">
        <v>44581</v>
      </c>
      <c r="C353" s="2">
        <v>0.4236111111111111</v>
      </c>
      <c r="D353">
        <v>138</v>
      </c>
      <c r="E353" t="s">
        <v>14</v>
      </c>
      <c r="F353">
        <v>35</v>
      </c>
      <c r="G353" t="s">
        <v>12</v>
      </c>
      <c r="H353">
        <v>3</v>
      </c>
      <c r="I353">
        <v>25</v>
      </c>
      <c r="J353">
        <v>7.25</v>
      </c>
      <c r="K353">
        <v>75</v>
      </c>
    </row>
    <row r="354" spans="1:11">
      <c r="A354">
        <v>1910</v>
      </c>
      <c r="B354" s="1">
        <v>44843</v>
      </c>
      <c r="C354" s="2">
        <v>0.26527777777777778</v>
      </c>
      <c r="D354">
        <v>141</v>
      </c>
      <c r="E354" t="s">
        <v>14</v>
      </c>
      <c r="F354">
        <v>20</v>
      </c>
      <c r="G354" t="s">
        <v>13</v>
      </c>
      <c r="H354">
        <v>3</v>
      </c>
      <c r="I354">
        <v>50</v>
      </c>
      <c r="J354">
        <v>18</v>
      </c>
      <c r="K354">
        <v>150</v>
      </c>
    </row>
    <row r="355" spans="1:11">
      <c r="A355">
        <v>1917</v>
      </c>
      <c r="B355" s="1">
        <v>44683</v>
      </c>
      <c r="C355" s="2">
        <v>0.3034722222222222</v>
      </c>
      <c r="D355">
        <v>52</v>
      </c>
      <c r="E355" t="s">
        <v>14</v>
      </c>
      <c r="F355">
        <v>57</v>
      </c>
      <c r="G355" t="s">
        <v>15</v>
      </c>
      <c r="H355">
        <v>4</v>
      </c>
      <c r="I355">
        <v>50</v>
      </c>
      <c r="J355">
        <v>24</v>
      </c>
      <c r="K355">
        <v>200</v>
      </c>
    </row>
    <row r="356" spans="1:11">
      <c r="A356">
        <v>198</v>
      </c>
      <c r="B356" s="1">
        <v>44702</v>
      </c>
      <c r="C356" s="2">
        <v>0.48749999999999999</v>
      </c>
      <c r="D356">
        <v>30</v>
      </c>
      <c r="E356" t="s">
        <v>14</v>
      </c>
      <c r="F356">
        <v>54</v>
      </c>
      <c r="G356" t="s">
        <v>13</v>
      </c>
      <c r="H356">
        <v>3</v>
      </c>
      <c r="I356">
        <v>300</v>
      </c>
      <c r="J356">
        <v>114</v>
      </c>
      <c r="K356">
        <v>900</v>
      </c>
    </row>
    <row r="357" spans="1:11">
      <c r="A357">
        <v>444</v>
      </c>
      <c r="B357" s="1">
        <v>44840</v>
      </c>
      <c r="C357" s="2">
        <v>0.29583333333333334</v>
      </c>
      <c r="D357">
        <v>51</v>
      </c>
      <c r="E357" t="s">
        <v>14</v>
      </c>
      <c r="F357">
        <v>61</v>
      </c>
      <c r="G357" t="s">
        <v>12</v>
      </c>
      <c r="H357">
        <v>3</v>
      </c>
      <c r="I357">
        <v>30</v>
      </c>
      <c r="J357">
        <v>15.9</v>
      </c>
      <c r="K357">
        <v>90</v>
      </c>
    </row>
    <row r="358" spans="1:11">
      <c r="A358">
        <v>547</v>
      </c>
      <c r="B358" s="1">
        <v>44879</v>
      </c>
      <c r="C358" s="2">
        <v>0.31666666666666665</v>
      </c>
      <c r="D358">
        <v>3</v>
      </c>
      <c r="E358" t="s">
        <v>11</v>
      </c>
      <c r="F358">
        <v>63</v>
      </c>
      <c r="G358" t="s">
        <v>12</v>
      </c>
      <c r="H358">
        <v>4</v>
      </c>
      <c r="I358">
        <v>500</v>
      </c>
      <c r="J358">
        <v>250</v>
      </c>
      <c r="K358">
        <v>2000</v>
      </c>
    </row>
    <row r="359" spans="1:11">
      <c r="A359">
        <v>705</v>
      </c>
      <c r="B359" s="1">
        <v>44834</v>
      </c>
      <c r="C359" s="2">
        <v>0.31111111111111112</v>
      </c>
      <c r="D359">
        <v>37</v>
      </c>
      <c r="E359" t="s">
        <v>11</v>
      </c>
      <c r="F359">
        <v>60</v>
      </c>
      <c r="G359" t="s">
        <v>15</v>
      </c>
      <c r="H359">
        <v>2</v>
      </c>
      <c r="I359">
        <v>25</v>
      </c>
      <c r="J359">
        <v>6.25</v>
      </c>
      <c r="K359">
        <v>50</v>
      </c>
    </row>
    <row r="360" spans="1:11">
      <c r="A360">
        <v>1198</v>
      </c>
      <c r="B360" s="1">
        <v>44780</v>
      </c>
      <c r="C360" s="2">
        <v>0.4465277777777778</v>
      </c>
      <c r="D360">
        <v>147</v>
      </c>
      <c r="E360" t="s">
        <v>14</v>
      </c>
      <c r="F360">
        <v>54</v>
      </c>
      <c r="G360" t="s">
        <v>13</v>
      </c>
      <c r="H360">
        <v>3</v>
      </c>
      <c r="I360">
        <v>300</v>
      </c>
      <c r="J360">
        <v>159</v>
      </c>
      <c r="K360">
        <v>900</v>
      </c>
    </row>
    <row r="361" spans="1:11">
      <c r="A361">
        <v>1444</v>
      </c>
      <c r="B361" s="1">
        <v>44680</v>
      </c>
      <c r="C361" s="2">
        <v>0.26250000000000001</v>
      </c>
      <c r="D361">
        <v>135</v>
      </c>
      <c r="E361" t="s">
        <v>14</v>
      </c>
      <c r="F361">
        <v>61</v>
      </c>
      <c r="G361" t="s">
        <v>12</v>
      </c>
      <c r="H361">
        <v>3</v>
      </c>
      <c r="I361">
        <v>30</v>
      </c>
      <c r="J361">
        <v>14.1</v>
      </c>
      <c r="K361">
        <v>90</v>
      </c>
    </row>
    <row r="362" spans="1:11">
      <c r="A362">
        <v>1547</v>
      </c>
      <c r="B362" s="1">
        <v>44784</v>
      </c>
      <c r="C362" s="2">
        <v>0.27708333333333335</v>
      </c>
      <c r="D362">
        <v>142</v>
      </c>
      <c r="E362" t="s">
        <v>11</v>
      </c>
      <c r="F362">
        <v>63</v>
      </c>
      <c r="G362" t="s">
        <v>12</v>
      </c>
      <c r="H362">
        <v>4</v>
      </c>
      <c r="I362">
        <v>500</v>
      </c>
      <c r="J362">
        <v>235</v>
      </c>
      <c r="K362">
        <v>2000</v>
      </c>
    </row>
    <row r="363" spans="1:11">
      <c r="A363">
        <v>1705</v>
      </c>
      <c r="B363" s="1">
        <v>44787</v>
      </c>
      <c r="C363" s="2">
        <v>0.35555555555555557</v>
      </c>
      <c r="D363">
        <v>94</v>
      </c>
      <c r="E363" t="s">
        <v>11</v>
      </c>
      <c r="F363">
        <v>60</v>
      </c>
      <c r="G363" t="s">
        <v>15</v>
      </c>
      <c r="H363">
        <v>2</v>
      </c>
      <c r="I363">
        <v>25</v>
      </c>
      <c r="J363">
        <v>8.75</v>
      </c>
      <c r="K363">
        <v>50</v>
      </c>
    </row>
    <row r="364" spans="1:11">
      <c r="A364">
        <v>423</v>
      </c>
      <c r="B364" s="1">
        <v>44760</v>
      </c>
      <c r="C364" s="2">
        <v>0.25416666666666665</v>
      </c>
      <c r="D364">
        <v>41</v>
      </c>
      <c r="E364" t="s">
        <v>14</v>
      </c>
      <c r="F364">
        <v>27</v>
      </c>
      <c r="G364" t="s">
        <v>12</v>
      </c>
      <c r="H364">
        <v>1</v>
      </c>
      <c r="I364">
        <v>25</v>
      </c>
      <c r="J364">
        <v>11.75</v>
      </c>
      <c r="K364">
        <v>25</v>
      </c>
    </row>
    <row r="365" spans="1:11">
      <c r="A365">
        <v>1423</v>
      </c>
      <c r="B365" s="1">
        <v>44727</v>
      </c>
      <c r="C365" s="2">
        <v>0.33055555555555555</v>
      </c>
      <c r="D365">
        <v>131</v>
      </c>
      <c r="E365" t="s">
        <v>14</v>
      </c>
      <c r="F365">
        <v>27</v>
      </c>
      <c r="G365" t="s">
        <v>12</v>
      </c>
      <c r="H365">
        <v>1</v>
      </c>
      <c r="I365">
        <v>25</v>
      </c>
      <c r="J365">
        <v>11</v>
      </c>
      <c r="K365">
        <v>25</v>
      </c>
    </row>
    <row r="366" spans="1:11">
      <c r="A366">
        <v>248</v>
      </c>
      <c r="B366" s="1">
        <v>44744</v>
      </c>
      <c r="C366" s="2">
        <v>0.29930555555555555</v>
      </c>
      <c r="D366">
        <v>5</v>
      </c>
      <c r="E366" t="s">
        <v>11</v>
      </c>
      <c r="F366">
        <v>26</v>
      </c>
      <c r="G366" t="s">
        <v>12</v>
      </c>
      <c r="H366">
        <v>3</v>
      </c>
      <c r="I366">
        <v>300</v>
      </c>
      <c r="J366">
        <v>126</v>
      </c>
      <c r="K366">
        <v>900</v>
      </c>
    </row>
    <row r="367" spans="1:11">
      <c r="A367">
        <v>360</v>
      </c>
      <c r="B367" s="1">
        <v>44813</v>
      </c>
      <c r="C367" s="2">
        <v>0.37777777777777777</v>
      </c>
      <c r="D367">
        <v>26</v>
      </c>
      <c r="E367" t="s">
        <v>11</v>
      </c>
      <c r="F367">
        <v>42</v>
      </c>
      <c r="G367" t="s">
        <v>12</v>
      </c>
      <c r="H367">
        <v>4</v>
      </c>
      <c r="I367">
        <v>25</v>
      </c>
      <c r="J367">
        <v>10.5</v>
      </c>
      <c r="K367">
        <v>100</v>
      </c>
    </row>
    <row r="368" spans="1:11">
      <c r="A368">
        <v>377</v>
      </c>
      <c r="B368" s="1">
        <v>44817</v>
      </c>
      <c r="C368" s="2">
        <v>0.35416666666666669</v>
      </c>
      <c r="D368">
        <v>141</v>
      </c>
      <c r="E368" t="s">
        <v>14</v>
      </c>
      <c r="F368">
        <v>46</v>
      </c>
      <c r="G368" t="s">
        <v>12</v>
      </c>
      <c r="H368">
        <v>4</v>
      </c>
      <c r="I368">
        <v>50</v>
      </c>
      <c r="J368">
        <v>18</v>
      </c>
      <c r="K368">
        <v>200</v>
      </c>
    </row>
    <row r="369" spans="1:11">
      <c r="A369">
        <v>1248</v>
      </c>
      <c r="B369" s="1">
        <v>44812</v>
      </c>
      <c r="C369" s="2">
        <v>0.34722222222222221</v>
      </c>
      <c r="D369">
        <v>68</v>
      </c>
      <c r="E369" t="s">
        <v>11</v>
      </c>
      <c r="F369">
        <v>26</v>
      </c>
      <c r="G369" t="s">
        <v>12</v>
      </c>
      <c r="H369">
        <v>3</v>
      </c>
      <c r="I369">
        <v>300</v>
      </c>
      <c r="J369">
        <v>111</v>
      </c>
      <c r="K369">
        <v>900</v>
      </c>
    </row>
    <row r="370" spans="1:11">
      <c r="A370">
        <v>1360</v>
      </c>
      <c r="B370" s="1">
        <v>44730</v>
      </c>
      <c r="C370" s="2">
        <v>0.39652777777777776</v>
      </c>
      <c r="D370">
        <v>93</v>
      </c>
      <c r="E370" t="s">
        <v>11</v>
      </c>
      <c r="F370">
        <v>42</v>
      </c>
      <c r="G370" t="s">
        <v>12</v>
      </c>
      <c r="H370">
        <v>4</v>
      </c>
      <c r="I370">
        <v>25</v>
      </c>
      <c r="J370">
        <v>6.25</v>
      </c>
      <c r="K370">
        <v>100</v>
      </c>
    </row>
    <row r="371" spans="1:11">
      <c r="A371">
        <v>1377</v>
      </c>
      <c r="B371" s="1">
        <v>44641</v>
      </c>
      <c r="C371" s="2">
        <v>0.32777777777777778</v>
      </c>
      <c r="D371">
        <v>71</v>
      </c>
      <c r="E371" t="s">
        <v>14</v>
      </c>
      <c r="F371">
        <v>46</v>
      </c>
      <c r="G371" t="s">
        <v>12</v>
      </c>
      <c r="H371">
        <v>4</v>
      </c>
      <c r="I371">
        <v>50</v>
      </c>
      <c r="J371">
        <v>14</v>
      </c>
      <c r="K371">
        <v>200</v>
      </c>
    </row>
    <row r="372" spans="1:11">
      <c r="A372">
        <v>397</v>
      </c>
      <c r="B372" s="1">
        <v>45225</v>
      </c>
      <c r="C372" s="2">
        <v>0.33750000000000002</v>
      </c>
      <c r="D372">
        <v>59</v>
      </c>
      <c r="E372" t="s">
        <v>14</v>
      </c>
      <c r="F372">
        <v>30</v>
      </c>
      <c r="G372" t="s">
        <v>13</v>
      </c>
      <c r="H372">
        <v>1</v>
      </c>
      <c r="I372">
        <v>25</v>
      </c>
      <c r="J372">
        <v>10.5</v>
      </c>
      <c r="K372">
        <v>25</v>
      </c>
    </row>
    <row r="373" spans="1:11">
      <c r="A373">
        <v>623</v>
      </c>
      <c r="B373" s="1">
        <v>45245</v>
      </c>
      <c r="C373" s="2">
        <v>0.41666666666666669</v>
      </c>
      <c r="D373">
        <v>39</v>
      </c>
      <c r="E373" t="s">
        <v>11</v>
      </c>
      <c r="F373">
        <v>34</v>
      </c>
      <c r="G373" t="s">
        <v>12</v>
      </c>
      <c r="H373">
        <v>3</v>
      </c>
      <c r="I373">
        <v>50</v>
      </c>
      <c r="J373">
        <v>26</v>
      </c>
      <c r="K373">
        <v>150</v>
      </c>
    </row>
    <row r="374" spans="1:11">
      <c r="A374">
        <v>1397</v>
      </c>
      <c r="B374" s="1">
        <v>44927</v>
      </c>
      <c r="C374" s="2">
        <v>0.46180555555555558</v>
      </c>
      <c r="D374">
        <v>6</v>
      </c>
      <c r="E374" t="s">
        <v>14</v>
      </c>
      <c r="F374">
        <v>30</v>
      </c>
      <c r="G374" t="s">
        <v>13</v>
      </c>
      <c r="H374">
        <v>1</v>
      </c>
      <c r="I374">
        <v>25</v>
      </c>
      <c r="J374">
        <v>11.75</v>
      </c>
      <c r="K374">
        <v>25</v>
      </c>
    </row>
    <row r="375" spans="1:11">
      <c r="A375">
        <v>1623</v>
      </c>
      <c r="B375" s="1">
        <v>44990</v>
      </c>
      <c r="C375" s="2">
        <v>0.25972222222222224</v>
      </c>
      <c r="D375">
        <v>76</v>
      </c>
      <c r="E375" t="s">
        <v>11</v>
      </c>
      <c r="F375">
        <v>34</v>
      </c>
      <c r="G375" t="s">
        <v>12</v>
      </c>
      <c r="H375">
        <v>3</v>
      </c>
      <c r="I375">
        <v>50</v>
      </c>
      <c r="J375">
        <v>22</v>
      </c>
      <c r="K375">
        <v>150</v>
      </c>
    </row>
    <row r="376" spans="1:11">
      <c r="A376">
        <v>717</v>
      </c>
      <c r="B376" s="1">
        <v>45260</v>
      </c>
      <c r="C376" s="2">
        <v>0.34375</v>
      </c>
      <c r="D376">
        <v>8</v>
      </c>
      <c r="E376" t="s">
        <v>11</v>
      </c>
      <c r="F376">
        <v>57</v>
      </c>
      <c r="G376" t="s">
        <v>12</v>
      </c>
      <c r="H376">
        <v>1</v>
      </c>
      <c r="I376">
        <v>500</v>
      </c>
      <c r="J376">
        <v>190</v>
      </c>
      <c r="K376">
        <v>500</v>
      </c>
    </row>
    <row r="377" spans="1:11">
      <c r="A377">
        <v>1717</v>
      </c>
      <c r="B377" s="1">
        <v>44938</v>
      </c>
      <c r="C377" s="2">
        <v>0.40277777777777779</v>
      </c>
      <c r="D377">
        <v>21</v>
      </c>
      <c r="E377" t="s">
        <v>11</v>
      </c>
      <c r="F377">
        <v>57</v>
      </c>
      <c r="G377" t="s">
        <v>12</v>
      </c>
      <c r="H377">
        <v>1</v>
      </c>
      <c r="I377">
        <v>500</v>
      </c>
      <c r="J377">
        <v>175</v>
      </c>
      <c r="K377">
        <v>500</v>
      </c>
    </row>
    <row r="378" spans="1:11">
      <c r="A378">
        <v>130</v>
      </c>
      <c r="B378" s="1">
        <v>45096</v>
      </c>
      <c r="C378" s="2">
        <v>0.26458333333333334</v>
      </c>
      <c r="D378">
        <v>114</v>
      </c>
      <c r="E378" t="s">
        <v>14</v>
      </c>
      <c r="F378">
        <v>57</v>
      </c>
      <c r="G378" t="s">
        <v>12</v>
      </c>
      <c r="H378">
        <v>1</v>
      </c>
      <c r="I378">
        <v>500</v>
      </c>
      <c r="J378">
        <v>125</v>
      </c>
      <c r="K378">
        <v>500</v>
      </c>
    </row>
    <row r="379" spans="1:11">
      <c r="A379">
        <v>658</v>
      </c>
      <c r="B379" s="1">
        <v>45229</v>
      </c>
      <c r="C379" s="2">
        <v>0.32430555555555557</v>
      </c>
      <c r="D379">
        <v>93</v>
      </c>
      <c r="E379" t="s">
        <v>11</v>
      </c>
      <c r="F379">
        <v>59</v>
      </c>
      <c r="G379" t="s">
        <v>12</v>
      </c>
      <c r="H379">
        <v>1</v>
      </c>
      <c r="I379">
        <v>25</v>
      </c>
      <c r="J379">
        <v>6.5</v>
      </c>
      <c r="K379">
        <v>25</v>
      </c>
    </row>
    <row r="380" spans="1:11">
      <c r="A380">
        <v>1130</v>
      </c>
      <c r="B380" s="1">
        <v>44977</v>
      </c>
      <c r="C380" s="2">
        <v>0.37708333333333333</v>
      </c>
      <c r="D380">
        <v>28</v>
      </c>
      <c r="E380" t="s">
        <v>14</v>
      </c>
      <c r="F380">
        <v>57</v>
      </c>
      <c r="G380" t="s">
        <v>12</v>
      </c>
      <c r="H380">
        <v>1</v>
      </c>
      <c r="I380">
        <v>500</v>
      </c>
      <c r="J380">
        <v>180</v>
      </c>
      <c r="K380">
        <v>500</v>
      </c>
    </row>
    <row r="381" spans="1:11">
      <c r="A381">
        <v>1658</v>
      </c>
      <c r="B381" s="1">
        <v>45026</v>
      </c>
      <c r="C381" s="2">
        <v>0.25555555555555554</v>
      </c>
      <c r="D381">
        <v>148</v>
      </c>
      <c r="E381" t="s">
        <v>11</v>
      </c>
      <c r="F381">
        <v>59</v>
      </c>
      <c r="G381" t="s">
        <v>12</v>
      </c>
      <c r="H381">
        <v>1</v>
      </c>
      <c r="I381">
        <v>25</v>
      </c>
      <c r="J381">
        <v>12.25</v>
      </c>
      <c r="K381">
        <v>25</v>
      </c>
    </row>
    <row r="382" spans="1:11">
      <c r="A382">
        <v>7</v>
      </c>
      <c r="B382" s="1">
        <v>45113</v>
      </c>
      <c r="C382" s="2">
        <v>0.26666666666666666</v>
      </c>
      <c r="D382">
        <v>38</v>
      </c>
      <c r="E382" t="s">
        <v>11</v>
      </c>
      <c r="F382">
        <v>46</v>
      </c>
      <c r="G382" t="s">
        <v>12</v>
      </c>
      <c r="H382">
        <v>2</v>
      </c>
      <c r="I382">
        <v>25</v>
      </c>
      <c r="J382">
        <v>13.25</v>
      </c>
      <c r="K382">
        <v>50</v>
      </c>
    </row>
    <row r="383" spans="1:11">
      <c r="A383">
        <v>119</v>
      </c>
      <c r="B383" s="1">
        <v>45170</v>
      </c>
      <c r="C383" s="2">
        <v>0.38263888888888886</v>
      </c>
      <c r="D383">
        <v>127</v>
      </c>
      <c r="E383" t="s">
        <v>14</v>
      </c>
      <c r="F383">
        <v>60</v>
      </c>
      <c r="G383" t="s">
        <v>12</v>
      </c>
      <c r="H383">
        <v>3</v>
      </c>
      <c r="I383">
        <v>50</v>
      </c>
      <c r="J383">
        <v>27.5</v>
      </c>
      <c r="K383">
        <v>150</v>
      </c>
    </row>
    <row r="384" spans="1:11">
      <c r="A384">
        <v>278</v>
      </c>
      <c r="B384" s="1">
        <v>45282</v>
      </c>
      <c r="C384" s="2">
        <v>0.48749999999999999</v>
      </c>
      <c r="D384">
        <v>71</v>
      </c>
      <c r="E384" t="s">
        <v>14</v>
      </c>
      <c r="F384">
        <v>37</v>
      </c>
      <c r="G384" t="s">
        <v>12</v>
      </c>
      <c r="H384">
        <v>4</v>
      </c>
      <c r="I384">
        <v>25</v>
      </c>
      <c r="J384">
        <v>13.5</v>
      </c>
      <c r="K384">
        <v>100</v>
      </c>
    </row>
    <row r="385" spans="1:11">
      <c r="A385">
        <v>1007</v>
      </c>
      <c r="B385" s="1">
        <v>45086</v>
      </c>
      <c r="C385" s="2">
        <v>0.42291666666666666</v>
      </c>
      <c r="D385">
        <v>15</v>
      </c>
      <c r="E385" t="s">
        <v>11</v>
      </c>
      <c r="F385">
        <v>46</v>
      </c>
      <c r="G385" t="s">
        <v>12</v>
      </c>
      <c r="H385">
        <v>2</v>
      </c>
      <c r="I385">
        <v>25</v>
      </c>
      <c r="J385">
        <v>11.5</v>
      </c>
      <c r="K385">
        <v>50</v>
      </c>
    </row>
    <row r="386" spans="1:11">
      <c r="A386">
        <v>1119</v>
      </c>
      <c r="B386" s="1">
        <v>45249</v>
      </c>
      <c r="C386" s="2">
        <v>0.4</v>
      </c>
      <c r="D386">
        <v>1</v>
      </c>
      <c r="E386" t="s">
        <v>14</v>
      </c>
      <c r="F386">
        <v>60</v>
      </c>
      <c r="G386" t="s">
        <v>12</v>
      </c>
      <c r="H386">
        <v>3</v>
      </c>
      <c r="I386">
        <v>50</v>
      </c>
      <c r="J386">
        <v>25.5</v>
      </c>
      <c r="K386">
        <v>150</v>
      </c>
    </row>
    <row r="387" spans="1:11">
      <c r="A387">
        <v>1278</v>
      </c>
      <c r="B387" s="1">
        <v>45126</v>
      </c>
      <c r="C387" s="2">
        <v>0.26319444444444445</v>
      </c>
      <c r="D387">
        <v>28</v>
      </c>
      <c r="E387" t="s">
        <v>14</v>
      </c>
      <c r="F387">
        <v>37</v>
      </c>
      <c r="G387" t="s">
        <v>12</v>
      </c>
      <c r="H387">
        <v>4</v>
      </c>
      <c r="I387">
        <v>25</v>
      </c>
      <c r="J387">
        <v>6.75</v>
      </c>
      <c r="K387">
        <v>100</v>
      </c>
    </row>
    <row r="388" spans="1:11">
      <c r="A388">
        <v>117</v>
      </c>
      <c r="B388" s="1">
        <v>45142</v>
      </c>
      <c r="C388" s="2">
        <v>0.48472222222222222</v>
      </c>
      <c r="D388">
        <v>8</v>
      </c>
      <c r="E388" t="s">
        <v>11</v>
      </c>
      <c r="F388">
        <v>19</v>
      </c>
      <c r="G388" t="s">
        <v>15</v>
      </c>
      <c r="H388">
        <v>2</v>
      </c>
      <c r="I388">
        <v>500</v>
      </c>
      <c r="J388">
        <v>230</v>
      </c>
      <c r="K388">
        <v>1000</v>
      </c>
    </row>
    <row r="389" spans="1:11">
      <c r="A389">
        <v>1117</v>
      </c>
      <c r="B389" s="1">
        <v>45180</v>
      </c>
      <c r="C389" s="2">
        <v>0.32500000000000001</v>
      </c>
      <c r="D389">
        <v>144</v>
      </c>
      <c r="E389" t="s">
        <v>11</v>
      </c>
      <c r="F389">
        <v>19</v>
      </c>
      <c r="G389" t="s">
        <v>15</v>
      </c>
      <c r="H389">
        <v>2</v>
      </c>
      <c r="I389">
        <v>500</v>
      </c>
      <c r="J389">
        <v>210</v>
      </c>
      <c r="K389">
        <v>1000</v>
      </c>
    </row>
    <row r="390" spans="1:11">
      <c r="A390">
        <v>442</v>
      </c>
      <c r="B390" s="1">
        <v>45107</v>
      </c>
      <c r="C390" s="2">
        <v>0.46319444444444446</v>
      </c>
      <c r="D390">
        <v>24</v>
      </c>
      <c r="E390" t="s">
        <v>14</v>
      </c>
      <c r="F390">
        <v>60</v>
      </c>
      <c r="G390" t="s">
        <v>12</v>
      </c>
      <c r="H390">
        <v>4</v>
      </c>
      <c r="I390">
        <v>25</v>
      </c>
      <c r="J390">
        <v>13.25</v>
      </c>
      <c r="K390">
        <v>100</v>
      </c>
    </row>
    <row r="391" spans="1:11">
      <c r="A391">
        <v>590</v>
      </c>
      <c r="B391" s="1">
        <v>45050</v>
      </c>
      <c r="C391" s="2">
        <v>0.49444444444444446</v>
      </c>
      <c r="D391">
        <v>151</v>
      </c>
      <c r="E391" t="s">
        <v>11</v>
      </c>
      <c r="F391">
        <v>36</v>
      </c>
      <c r="G391" t="s">
        <v>12</v>
      </c>
      <c r="H391">
        <v>3</v>
      </c>
      <c r="I391">
        <v>300</v>
      </c>
      <c r="J391">
        <v>135</v>
      </c>
      <c r="K391">
        <v>900</v>
      </c>
    </row>
    <row r="392" spans="1:11">
      <c r="A392">
        <v>607</v>
      </c>
      <c r="B392" s="1">
        <v>45051</v>
      </c>
      <c r="C392" s="2">
        <v>0.39791666666666664</v>
      </c>
      <c r="D392">
        <v>109</v>
      </c>
      <c r="E392" t="s">
        <v>11</v>
      </c>
      <c r="F392">
        <v>54</v>
      </c>
      <c r="G392" t="s">
        <v>12</v>
      </c>
      <c r="H392">
        <v>3</v>
      </c>
      <c r="I392">
        <v>25</v>
      </c>
      <c r="J392">
        <v>13.25</v>
      </c>
      <c r="K392">
        <v>75</v>
      </c>
    </row>
    <row r="393" spans="1:11">
      <c r="A393">
        <v>1442</v>
      </c>
      <c r="B393" s="1">
        <v>44973</v>
      </c>
      <c r="C393" s="2">
        <v>0.4597222222222222</v>
      </c>
      <c r="D393">
        <v>96</v>
      </c>
      <c r="E393" t="s">
        <v>14</v>
      </c>
      <c r="F393">
        <v>60</v>
      </c>
      <c r="G393" t="s">
        <v>12</v>
      </c>
      <c r="H393">
        <v>4</v>
      </c>
      <c r="I393">
        <v>25</v>
      </c>
      <c r="J393">
        <v>11.25</v>
      </c>
      <c r="K393">
        <v>100</v>
      </c>
    </row>
    <row r="394" spans="1:11">
      <c r="A394">
        <v>1590</v>
      </c>
      <c r="B394" s="1">
        <v>45148</v>
      </c>
      <c r="C394" s="2">
        <v>0.40208333333333335</v>
      </c>
      <c r="D394">
        <v>142</v>
      </c>
      <c r="E394" t="s">
        <v>11</v>
      </c>
      <c r="F394">
        <v>36</v>
      </c>
      <c r="G394" t="s">
        <v>12</v>
      </c>
      <c r="H394">
        <v>3</v>
      </c>
      <c r="I394">
        <v>300</v>
      </c>
      <c r="J394">
        <v>147</v>
      </c>
      <c r="K394">
        <v>900</v>
      </c>
    </row>
    <row r="395" spans="1:11">
      <c r="A395">
        <v>1607</v>
      </c>
      <c r="B395" s="1">
        <v>44942</v>
      </c>
      <c r="C395" s="2">
        <v>0.42916666666666664</v>
      </c>
      <c r="D395">
        <v>53</v>
      </c>
      <c r="E395" t="s">
        <v>11</v>
      </c>
      <c r="F395">
        <v>54</v>
      </c>
      <c r="G395" t="s">
        <v>12</v>
      </c>
      <c r="H395">
        <v>3</v>
      </c>
      <c r="I395">
        <v>25</v>
      </c>
      <c r="J395">
        <v>7.75</v>
      </c>
      <c r="K395">
        <v>75</v>
      </c>
    </row>
    <row r="396" spans="1:11">
      <c r="A396">
        <v>436</v>
      </c>
      <c r="B396" s="1">
        <v>45221</v>
      </c>
      <c r="C396" s="2">
        <v>0.49583333333333335</v>
      </c>
      <c r="D396">
        <v>21</v>
      </c>
      <c r="E396" t="s">
        <v>14</v>
      </c>
      <c r="F396">
        <v>57</v>
      </c>
      <c r="G396" t="s">
        <v>12</v>
      </c>
      <c r="H396">
        <v>4</v>
      </c>
      <c r="I396">
        <v>30</v>
      </c>
      <c r="J396">
        <v>13.5</v>
      </c>
      <c r="K396">
        <v>120</v>
      </c>
    </row>
    <row r="397" spans="1:11">
      <c r="A397">
        <v>942</v>
      </c>
      <c r="B397" s="1">
        <v>45261</v>
      </c>
      <c r="C397" s="2">
        <v>0.39027777777777778</v>
      </c>
      <c r="D397">
        <v>35</v>
      </c>
      <c r="E397" t="s">
        <v>11</v>
      </c>
      <c r="F397">
        <v>51</v>
      </c>
      <c r="G397" t="s">
        <v>12</v>
      </c>
      <c r="H397">
        <v>3</v>
      </c>
      <c r="I397">
        <v>500</v>
      </c>
      <c r="J397">
        <v>160</v>
      </c>
      <c r="K397">
        <v>1500</v>
      </c>
    </row>
    <row r="398" spans="1:11">
      <c r="A398">
        <v>1436</v>
      </c>
      <c r="B398" s="1">
        <v>44946</v>
      </c>
      <c r="C398" s="2">
        <v>0.47847222222222224</v>
      </c>
      <c r="D398">
        <v>1</v>
      </c>
      <c r="E398" t="s">
        <v>14</v>
      </c>
      <c r="F398">
        <v>57</v>
      </c>
      <c r="G398" t="s">
        <v>12</v>
      </c>
      <c r="H398">
        <v>4</v>
      </c>
      <c r="I398">
        <v>30</v>
      </c>
      <c r="J398">
        <v>9.9</v>
      </c>
      <c r="K398">
        <v>120</v>
      </c>
    </row>
    <row r="399" spans="1:11">
      <c r="A399">
        <v>1942</v>
      </c>
      <c r="B399" s="1">
        <v>45185</v>
      </c>
      <c r="C399" s="2">
        <v>0.49513888888888891</v>
      </c>
      <c r="D399">
        <v>112</v>
      </c>
      <c r="E399" t="s">
        <v>11</v>
      </c>
      <c r="F399">
        <v>51</v>
      </c>
      <c r="G399" t="s">
        <v>12</v>
      </c>
      <c r="H399">
        <v>3</v>
      </c>
      <c r="I399">
        <v>500</v>
      </c>
      <c r="J399">
        <v>265</v>
      </c>
      <c r="K399">
        <v>1500</v>
      </c>
    </row>
    <row r="400" spans="1:11">
      <c r="A400">
        <v>659</v>
      </c>
      <c r="B400" s="1">
        <v>45086</v>
      </c>
      <c r="C400" s="2">
        <v>0.25555555555555554</v>
      </c>
      <c r="D400">
        <v>75</v>
      </c>
      <c r="E400" t="s">
        <v>14</v>
      </c>
      <c r="F400">
        <v>39</v>
      </c>
      <c r="G400" t="s">
        <v>15</v>
      </c>
      <c r="H400">
        <v>1</v>
      </c>
      <c r="I400">
        <v>30</v>
      </c>
      <c r="J400">
        <v>8.1</v>
      </c>
      <c r="K400">
        <v>30</v>
      </c>
    </row>
    <row r="401" spans="1:11">
      <c r="A401">
        <v>941</v>
      </c>
      <c r="B401" s="1">
        <v>45044</v>
      </c>
      <c r="C401" s="2">
        <v>0.4152777777777778</v>
      </c>
      <c r="D401">
        <v>39</v>
      </c>
      <c r="E401" t="s">
        <v>14</v>
      </c>
      <c r="F401">
        <v>57</v>
      </c>
      <c r="G401" t="s">
        <v>12</v>
      </c>
      <c r="H401">
        <v>2</v>
      </c>
      <c r="I401">
        <v>25</v>
      </c>
      <c r="J401">
        <v>6.5</v>
      </c>
      <c r="K401">
        <v>50</v>
      </c>
    </row>
    <row r="402" spans="1:11">
      <c r="A402">
        <v>1659</v>
      </c>
      <c r="B402" s="1">
        <v>45134</v>
      </c>
      <c r="C402" s="2">
        <v>0.39513888888888887</v>
      </c>
      <c r="D402">
        <v>22</v>
      </c>
      <c r="E402" t="s">
        <v>14</v>
      </c>
      <c r="F402">
        <v>39</v>
      </c>
      <c r="G402" t="s">
        <v>15</v>
      </c>
      <c r="H402">
        <v>1</v>
      </c>
      <c r="I402">
        <v>30</v>
      </c>
      <c r="J402">
        <v>9</v>
      </c>
      <c r="K402">
        <v>30</v>
      </c>
    </row>
    <row r="403" spans="1:11">
      <c r="A403">
        <v>1941</v>
      </c>
      <c r="B403" s="1">
        <v>44932</v>
      </c>
      <c r="C403" s="2">
        <v>0.25972222222222224</v>
      </c>
      <c r="D403">
        <v>48</v>
      </c>
      <c r="E403" t="s">
        <v>14</v>
      </c>
      <c r="F403">
        <v>57</v>
      </c>
      <c r="G403" t="s">
        <v>12</v>
      </c>
      <c r="H403">
        <v>2</v>
      </c>
      <c r="I403">
        <v>25</v>
      </c>
      <c r="J403">
        <v>12</v>
      </c>
      <c r="K403">
        <v>50</v>
      </c>
    </row>
    <row r="404" spans="1:11">
      <c r="A404">
        <v>136</v>
      </c>
      <c r="B404" s="1">
        <v>45286</v>
      </c>
      <c r="C404" s="2">
        <v>0.37430555555555556</v>
      </c>
      <c r="D404">
        <v>25</v>
      </c>
      <c r="E404" t="s">
        <v>11</v>
      </c>
      <c r="F404">
        <v>44</v>
      </c>
      <c r="G404" t="s">
        <v>15</v>
      </c>
      <c r="H404">
        <v>2</v>
      </c>
      <c r="I404">
        <v>300</v>
      </c>
      <c r="J404">
        <v>141</v>
      </c>
      <c r="K404">
        <v>600</v>
      </c>
    </row>
    <row r="405" spans="1:11">
      <c r="A405">
        <v>175</v>
      </c>
      <c r="B405" s="1">
        <v>44951</v>
      </c>
      <c r="C405" s="2">
        <v>0.41805555555555557</v>
      </c>
      <c r="D405">
        <v>23</v>
      </c>
      <c r="E405" t="s">
        <v>14</v>
      </c>
      <c r="F405">
        <v>31</v>
      </c>
      <c r="G405" t="s">
        <v>15</v>
      </c>
      <c r="H405">
        <v>4</v>
      </c>
      <c r="I405">
        <v>25</v>
      </c>
      <c r="J405">
        <v>12.5</v>
      </c>
      <c r="K405">
        <v>100</v>
      </c>
    </row>
    <row r="406" spans="1:11">
      <c r="A406">
        <v>663</v>
      </c>
      <c r="B406" s="1">
        <v>45154</v>
      </c>
      <c r="C406" s="2">
        <v>0.2722222222222222</v>
      </c>
      <c r="D406">
        <v>133</v>
      </c>
      <c r="E406" t="s">
        <v>11</v>
      </c>
      <c r="F406">
        <v>23</v>
      </c>
      <c r="G406" t="s">
        <v>12</v>
      </c>
      <c r="H406">
        <v>4</v>
      </c>
      <c r="I406">
        <v>300</v>
      </c>
      <c r="J406">
        <v>87</v>
      </c>
      <c r="K406">
        <v>1200</v>
      </c>
    </row>
    <row r="407" spans="1:11">
      <c r="A407">
        <v>748</v>
      </c>
      <c r="B407" s="1">
        <v>44986</v>
      </c>
      <c r="C407" s="2">
        <v>0.39930555555555558</v>
      </c>
      <c r="D407">
        <v>132</v>
      </c>
      <c r="E407" t="s">
        <v>11</v>
      </c>
      <c r="F407">
        <v>25</v>
      </c>
      <c r="G407" t="s">
        <v>12</v>
      </c>
      <c r="H407">
        <v>3</v>
      </c>
      <c r="I407">
        <v>50</v>
      </c>
      <c r="J407">
        <v>24</v>
      </c>
      <c r="K407">
        <v>150</v>
      </c>
    </row>
    <row r="408" spans="1:11">
      <c r="A408">
        <v>806</v>
      </c>
      <c r="B408" s="1">
        <v>44948</v>
      </c>
      <c r="C408" s="2">
        <v>0.33888888888888891</v>
      </c>
      <c r="D408">
        <v>14</v>
      </c>
      <c r="E408" t="s">
        <v>14</v>
      </c>
      <c r="F408">
        <v>35</v>
      </c>
      <c r="G408" t="s">
        <v>13</v>
      </c>
      <c r="H408">
        <v>3</v>
      </c>
      <c r="I408">
        <v>300</v>
      </c>
      <c r="J408">
        <v>165</v>
      </c>
      <c r="K408">
        <v>900</v>
      </c>
    </row>
    <row r="409" spans="1:11">
      <c r="A409">
        <v>1136</v>
      </c>
      <c r="B409" s="1">
        <v>45109</v>
      </c>
      <c r="C409" s="2">
        <v>0.36180555555555555</v>
      </c>
      <c r="D409">
        <v>93</v>
      </c>
      <c r="E409" t="s">
        <v>11</v>
      </c>
      <c r="F409">
        <v>44</v>
      </c>
      <c r="G409" t="s">
        <v>15</v>
      </c>
      <c r="H409">
        <v>2</v>
      </c>
      <c r="I409">
        <v>300</v>
      </c>
      <c r="J409">
        <v>81</v>
      </c>
      <c r="K409">
        <v>600</v>
      </c>
    </row>
    <row r="410" spans="1:11">
      <c r="A410">
        <v>1175</v>
      </c>
      <c r="B410" s="1">
        <v>45079</v>
      </c>
      <c r="C410" s="2">
        <v>0.27638888888888891</v>
      </c>
      <c r="D410">
        <v>103</v>
      </c>
      <c r="E410" t="s">
        <v>14</v>
      </c>
      <c r="F410">
        <v>31</v>
      </c>
      <c r="G410" t="s">
        <v>15</v>
      </c>
      <c r="H410">
        <v>4</v>
      </c>
      <c r="I410">
        <v>25</v>
      </c>
      <c r="J410">
        <v>11.5</v>
      </c>
      <c r="K410">
        <v>100</v>
      </c>
    </row>
    <row r="411" spans="1:11">
      <c r="A411">
        <v>1663</v>
      </c>
      <c r="B411" s="1">
        <v>45267</v>
      </c>
      <c r="C411" s="2">
        <v>0.29444444444444445</v>
      </c>
      <c r="D411">
        <v>33</v>
      </c>
      <c r="E411" t="s">
        <v>11</v>
      </c>
      <c r="F411">
        <v>23</v>
      </c>
      <c r="G411" t="s">
        <v>12</v>
      </c>
      <c r="H411">
        <v>4</v>
      </c>
      <c r="I411">
        <v>300</v>
      </c>
      <c r="J411">
        <v>81</v>
      </c>
      <c r="K411">
        <v>1200</v>
      </c>
    </row>
    <row r="412" spans="1:11">
      <c r="A412">
        <v>1748</v>
      </c>
      <c r="B412" s="1">
        <v>44987</v>
      </c>
      <c r="C412" s="2">
        <v>0.43333333333333335</v>
      </c>
      <c r="D412">
        <v>119</v>
      </c>
      <c r="E412" t="s">
        <v>11</v>
      </c>
      <c r="F412">
        <v>25</v>
      </c>
      <c r="G412" t="s">
        <v>12</v>
      </c>
      <c r="H412">
        <v>3</v>
      </c>
      <c r="I412">
        <v>50</v>
      </c>
      <c r="J412">
        <v>15.5</v>
      </c>
      <c r="K412">
        <v>150</v>
      </c>
    </row>
    <row r="413" spans="1:11">
      <c r="A413">
        <v>1806</v>
      </c>
      <c r="B413" s="1">
        <v>45091</v>
      </c>
      <c r="C413" s="2">
        <v>0.42569444444444443</v>
      </c>
      <c r="D413">
        <v>61</v>
      </c>
      <c r="E413" t="s">
        <v>14</v>
      </c>
      <c r="F413">
        <v>35</v>
      </c>
      <c r="G413" t="s">
        <v>13</v>
      </c>
      <c r="H413">
        <v>3</v>
      </c>
      <c r="I413">
        <v>300</v>
      </c>
      <c r="J413">
        <v>102</v>
      </c>
      <c r="K413">
        <v>900</v>
      </c>
    </row>
    <row r="414" spans="1:11">
      <c r="A414">
        <v>38</v>
      </c>
      <c r="B414" s="1">
        <v>44982</v>
      </c>
      <c r="C414" s="2">
        <v>0.48541666666666666</v>
      </c>
      <c r="D414">
        <v>147</v>
      </c>
      <c r="E414" t="s">
        <v>11</v>
      </c>
      <c r="F414">
        <v>38</v>
      </c>
      <c r="G414" t="s">
        <v>13</v>
      </c>
      <c r="H414">
        <v>4</v>
      </c>
      <c r="I414">
        <v>50</v>
      </c>
      <c r="J414">
        <v>26</v>
      </c>
      <c r="K414">
        <v>200</v>
      </c>
    </row>
    <row r="415" spans="1:11">
      <c r="A415">
        <v>313</v>
      </c>
      <c r="B415" s="1">
        <v>45276</v>
      </c>
      <c r="C415" s="2">
        <v>0.41875000000000001</v>
      </c>
      <c r="D415">
        <v>11</v>
      </c>
      <c r="E415" t="s">
        <v>14</v>
      </c>
      <c r="F415">
        <v>55</v>
      </c>
      <c r="G415" t="s">
        <v>13</v>
      </c>
      <c r="H415">
        <v>3</v>
      </c>
      <c r="I415">
        <v>500</v>
      </c>
      <c r="J415">
        <v>140</v>
      </c>
      <c r="K415">
        <v>1500</v>
      </c>
    </row>
    <row r="416" spans="1:11">
      <c r="A416">
        <v>402</v>
      </c>
      <c r="B416" s="1">
        <v>45119</v>
      </c>
      <c r="C416" s="2">
        <v>0.36458333333333331</v>
      </c>
      <c r="D416">
        <v>63</v>
      </c>
      <c r="E416" t="s">
        <v>14</v>
      </c>
      <c r="F416">
        <v>41</v>
      </c>
      <c r="G416" t="s">
        <v>12</v>
      </c>
      <c r="H416">
        <v>2</v>
      </c>
      <c r="I416">
        <v>300</v>
      </c>
      <c r="J416">
        <v>135</v>
      </c>
      <c r="K416">
        <v>600</v>
      </c>
    </row>
    <row r="417" spans="1:11">
      <c r="A417">
        <v>459</v>
      </c>
      <c r="B417" s="1">
        <v>45069</v>
      </c>
      <c r="C417" s="2">
        <v>0.3</v>
      </c>
      <c r="D417">
        <v>122</v>
      </c>
      <c r="E417" t="s">
        <v>11</v>
      </c>
      <c r="F417">
        <v>28</v>
      </c>
      <c r="G417" t="s">
        <v>12</v>
      </c>
      <c r="H417">
        <v>4</v>
      </c>
      <c r="I417">
        <v>300</v>
      </c>
      <c r="J417">
        <v>75</v>
      </c>
      <c r="K417">
        <v>1200</v>
      </c>
    </row>
    <row r="418" spans="1:11">
      <c r="A418">
        <v>1038</v>
      </c>
      <c r="B418" s="1">
        <v>45290</v>
      </c>
      <c r="C418" s="2">
        <v>0.38124999999999998</v>
      </c>
      <c r="D418">
        <v>11</v>
      </c>
      <c r="E418" t="s">
        <v>11</v>
      </c>
      <c r="F418">
        <v>38</v>
      </c>
      <c r="G418" t="s">
        <v>13</v>
      </c>
      <c r="H418">
        <v>4</v>
      </c>
      <c r="I418">
        <v>50</v>
      </c>
      <c r="J418">
        <v>20.5</v>
      </c>
      <c r="K418">
        <v>200</v>
      </c>
    </row>
    <row r="419" spans="1:11">
      <c r="A419">
        <v>1313</v>
      </c>
      <c r="B419" s="1">
        <v>45081</v>
      </c>
      <c r="C419" s="2">
        <v>0.39027777777777778</v>
      </c>
      <c r="D419">
        <v>10</v>
      </c>
      <c r="E419" t="s">
        <v>14</v>
      </c>
      <c r="F419">
        <v>55</v>
      </c>
      <c r="G419" t="s">
        <v>13</v>
      </c>
      <c r="H419">
        <v>3</v>
      </c>
      <c r="I419">
        <v>500</v>
      </c>
      <c r="J419">
        <v>170</v>
      </c>
      <c r="K419">
        <v>1500</v>
      </c>
    </row>
    <row r="420" spans="1:11">
      <c r="A420">
        <v>1402</v>
      </c>
      <c r="B420" s="1">
        <v>45101</v>
      </c>
      <c r="C420" s="2">
        <v>0.28263888888888888</v>
      </c>
      <c r="D420">
        <v>110</v>
      </c>
      <c r="E420" t="s">
        <v>14</v>
      </c>
      <c r="F420">
        <v>41</v>
      </c>
      <c r="G420" t="s">
        <v>12</v>
      </c>
      <c r="H420">
        <v>2</v>
      </c>
      <c r="I420">
        <v>300</v>
      </c>
      <c r="J420">
        <v>156</v>
      </c>
      <c r="K420">
        <v>600</v>
      </c>
    </row>
    <row r="421" spans="1:11">
      <c r="A421">
        <v>1459</v>
      </c>
      <c r="B421" s="1">
        <v>45240</v>
      </c>
      <c r="C421" s="2">
        <v>0.28194444444444444</v>
      </c>
      <c r="D421">
        <v>13</v>
      </c>
      <c r="E421" t="s">
        <v>11</v>
      </c>
      <c r="F421">
        <v>28</v>
      </c>
      <c r="G421" t="s">
        <v>12</v>
      </c>
      <c r="H421">
        <v>4</v>
      </c>
      <c r="I421">
        <v>300</v>
      </c>
      <c r="J421">
        <v>144</v>
      </c>
      <c r="K421">
        <v>1200</v>
      </c>
    </row>
    <row r="422" spans="1:11">
      <c r="A422">
        <v>161</v>
      </c>
      <c r="B422" s="1">
        <v>45108</v>
      </c>
      <c r="C422" s="2">
        <v>0.2902777777777778</v>
      </c>
      <c r="D422">
        <v>104</v>
      </c>
      <c r="E422" t="s">
        <v>11</v>
      </c>
      <c r="F422">
        <v>64</v>
      </c>
      <c r="G422" t="s">
        <v>13</v>
      </c>
      <c r="H422">
        <v>2</v>
      </c>
      <c r="I422">
        <v>500</v>
      </c>
      <c r="J422">
        <v>195</v>
      </c>
      <c r="K422">
        <v>1000</v>
      </c>
    </row>
    <row r="423" spans="1:11">
      <c r="A423">
        <v>328</v>
      </c>
      <c r="B423" s="1">
        <v>45228</v>
      </c>
      <c r="C423" s="2">
        <v>0.28888888888888886</v>
      </c>
      <c r="D423">
        <v>9</v>
      </c>
      <c r="E423" t="s">
        <v>11</v>
      </c>
      <c r="F423">
        <v>39</v>
      </c>
      <c r="G423" t="s">
        <v>13</v>
      </c>
      <c r="H423">
        <v>2</v>
      </c>
      <c r="I423">
        <v>50</v>
      </c>
      <c r="J423">
        <v>27</v>
      </c>
      <c r="K423">
        <v>100</v>
      </c>
    </row>
    <row r="424" spans="1:11">
      <c r="A424">
        <v>383</v>
      </c>
      <c r="B424" s="1">
        <v>45009</v>
      </c>
      <c r="C424" s="2">
        <v>0.37013888888888891</v>
      </c>
      <c r="D424">
        <v>64</v>
      </c>
      <c r="E424" t="s">
        <v>14</v>
      </c>
      <c r="F424">
        <v>46</v>
      </c>
      <c r="G424" t="s">
        <v>13</v>
      </c>
      <c r="H424">
        <v>3</v>
      </c>
      <c r="I424">
        <v>30</v>
      </c>
      <c r="J424">
        <v>7.8</v>
      </c>
      <c r="K424">
        <v>90</v>
      </c>
    </row>
    <row r="425" spans="1:11">
      <c r="A425">
        <v>973</v>
      </c>
      <c r="B425" s="1">
        <v>45172</v>
      </c>
      <c r="C425" s="2">
        <v>0.36388888888888887</v>
      </c>
      <c r="D425">
        <v>51</v>
      </c>
      <c r="E425" t="s">
        <v>11</v>
      </c>
      <c r="F425">
        <v>60</v>
      </c>
      <c r="G425" t="s">
        <v>12</v>
      </c>
      <c r="H425">
        <v>1</v>
      </c>
      <c r="I425">
        <v>50</v>
      </c>
      <c r="J425">
        <v>13</v>
      </c>
      <c r="K425">
        <v>50</v>
      </c>
    </row>
    <row r="426" spans="1:11">
      <c r="A426">
        <v>978</v>
      </c>
      <c r="B426" s="1">
        <v>45134</v>
      </c>
      <c r="C426" s="2">
        <v>0.4152777777777778</v>
      </c>
      <c r="D426">
        <v>16</v>
      </c>
      <c r="E426" t="s">
        <v>14</v>
      </c>
      <c r="F426">
        <v>53</v>
      </c>
      <c r="G426" t="s">
        <v>12</v>
      </c>
      <c r="H426">
        <v>3</v>
      </c>
      <c r="I426">
        <v>50</v>
      </c>
      <c r="J426">
        <v>19</v>
      </c>
      <c r="K426">
        <v>150</v>
      </c>
    </row>
    <row r="427" spans="1:11">
      <c r="A427">
        <v>1161</v>
      </c>
      <c r="B427" s="1">
        <v>45106</v>
      </c>
      <c r="C427" s="2">
        <v>0.46250000000000002</v>
      </c>
      <c r="D427">
        <v>30</v>
      </c>
      <c r="E427" t="s">
        <v>11</v>
      </c>
      <c r="F427">
        <v>64</v>
      </c>
      <c r="G427" t="s">
        <v>13</v>
      </c>
      <c r="H427">
        <v>2</v>
      </c>
      <c r="I427">
        <v>500</v>
      </c>
      <c r="J427">
        <v>160</v>
      </c>
      <c r="K427">
        <v>1000</v>
      </c>
    </row>
    <row r="428" spans="1:11">
      <c r="A428">
        <v>1328</v>
      </c>
      <c r="B428" s="1">
        <v>45270</v>
      </c>
      <c r="C428" s="2">
        <v>0.32569444444444445</v>
      </c>
      <c r="D428">
        <v>60</v>
      </c>
      <c r="E428" t="s">
        <v>11</v>
      </c>
      <c r="F428">
        <v>39</v>
      </c>
      <c r="G428" t="s">
        <v>13</v>
      </c>
      <c r="H428">
        <v>2</v>
      </c>
      <c r="I428">
        <v>50</v>
      </c>
      <c r="J428">
        <v>24.5</v>
      </c>
      <c r="K428">
        <v>100</v>
      </c>
    </row>
    <row r="429" spans="1:11">
      <c r="A429">
        <v>1383</v>
      </c>
      <c r="B429" s="1">
        <v>45175</v>
      </c>
      <c r="C429" s="2">
        <v>0.3840277777777778</v>
      </c>
      <c r="D429">
        <v>68</v>
      </c>
      <c r="E429" t="s">
        <v>14</v>
      </c>
      <c r="F429">
        <v>46</v>
      </c>
      <c r="G429" t="s">
        <v>13</v>
      </c>
      <c r="H429">
        <v>3</v>
      </c>
      <c r="I429">
        <v>30</v>
      </c>
      <c r="J429">
        <v>14.1</v>
      </c>
      <c r="K429">
        <v>90</v>
      </c>
    </row>
    <row r="430" spans="1:11">
      <c r="A430">
        <v>1973</v>
      </c>
      <c r="B430" s="1">
        <v>45157</v>
      </c>
      <c r="C430" s="2">
        <v>0.4236111111111111</v>
      </c>
      <c r="D430">
        <v>22</v>
      </c>
      <c r="E430" t="s">
        <v>11</v>
      </c>
      <c r="F430">
        <v>60</v>
      </c>
      <c r="G430" t="s">
        <v>12</v>
      </c>
      <c r="H430">
        <v>1</v>
      </c>
      <c r="I430">
        <v>50</v>
      </c>
      <c r="J430">
        <v>21.5</v>
      </c>
      <c r="K430">
        <v>50</v>
      </c>
    </row>
    <row r="431" spans="1:11">
      <c r="A431">
        <v>1978</v>
      </c>
      <c r="B431" s="1">
        <v>45169</v>
      </c>
      <c r="C431" s="2">
        <v>0.49930555555555556</v>
      </c>
      <c r="D431">
        <v>41</v>
      </c>
      <c r="E431" t="s">
        <v>14</v>
      </c>
      <c r="F431">
        <v>53</v>
      </c>
      <c r="G431" t="s">
        <v>12</v>
      </c>
      <c r="H431">
        <v>3</v>
      </c>
      <c r="I431">
        <v>50</v>
      </c>
      <c r="J431">
        <v>15.5</v>
      </c>
      <c r="K431">
        <v>150</v>
      </c>
    </row>
    <row r="432" spans="1:11">
      <c r="A432">
        <v>33</v>
      </c>
      <c r="B432" s="1">
        <v>45284</v>
      </c>
      <c r="C432" s="2">
        <v>0.31944444444444442</v>
      </c>
      <c r="D432">
        <v>33</v>
      </c>
      <c r="E432" t="s">
        <v>14</v>
      </c>
      <c r="F432">
        <v>50</v>
      </c>
      <c r="G432" t="s">
        <v>15</v>
      </c>
      <c r="H432">
        <v>2</v>
      </c>
      <c r="I432">
        <v>50</v>
      </c>
      <c r="J432">
        <v>21</v>
      </c>
      <c r="K432">
        <v>100</v>
      </c>
    </row>
    <row r="433" spans="1:11">
      <c r="A433">
        <v>138</v>
      </c>
      <c r="B433" s="1">
        <v>45043</v>
      </c>
      <c r="C433" s="2">
        <v>0.45555555555555555</v>
      </c>
      <c r="D433">
        <v>127</v>
      </c>
      <c r="E433" t="s">
        <v>11</v>
      </c>
      <c r="F433">
        <v>49</v>
      </c>
      <c r="G433" t="s">
        <v>12</v>
      </c>
      <c r="H433">
        <v>4</v>
      </c>
      <c r="I433">
        <v>50</v>
      </c>
      <c r="J433">
        <v>26.5</v>
      </c>
      <c r="K433">
        <v>200</v>
      </c>
    </row>
    <row r="434" spans="1:11">
      <c r="A434">
        <v>471</v>
      </c>
      <c r="B434" s="1">
        <v>44993</v>
      </c>
      <c r="C434" s="2">
        <v>0.43125000000000002</v>
      </c>
      <c r="D434">
        <v>136</v>
      </c>
      <c r="E434" t="s">
        <v>11</v>
      </c>
      <c r="F434">
        <v>32</v>
      </c>
      <c r="G434" t="s">
        <v>12</v>
      </c>
      <c r="H434">
        <v>3</v>
      </c>
      <c r="I434">
        <v>50</v>
      </c>
      <c r="J434">
        <v>13</v>
      </c>
      <c r="K434">
        <v>150</v>
      </c>
    </row>
    <row r="435" spans="1:11">
      <c r="A435">
        <v>636</v>
      </c>
      <c r="B435" s="1">
        <v>45055</v>
      </c>
      <c r="C435" s="2">
        <v>0.26041666666666669</v>
      </c>
      <c r="D435">
        <v>60</v>
      </c>
      <c r="E435" t="s">
        <v>14</v>
      </c>
      <c r="F435">
        <v>21</v>
      </c>
      <c r="G435" t="s">
        <v>13</v>
      </c>
      <c r="H435">
        <v>3</v>
      </c>
      <c r="I435">
        <v>500</v>
      </c>
      <c r="J435">
        <v>230</v>
      </c>
      <c r="K435">
        <v>1500</v>
      </c>
    </row>
    <row r="436" spans="1:11">
      <c r="A436">
        <v>1033</v>
      </c>
      <c r="B436" s="1">
        <v>45028</v>
      </c>
      <c r="C436" s="2">
        <v>0.28611111111111109</v>
      </c>
      <c r="D436">
        <v>32</v>
      </c>
      <c r="E436" t="s">
        <v>14</v>
      </c>
      <c r="F436">
        <v>50</v>
      </c>
      <c r="G436" t="s">
        <v>15</v>
      </c>
      <c r="H436">
        <v>2</v>
      </c>
      <c r="I436">
        <v>50</v>
      </c>
      <c r="J436">
        <v>19</v>
      </c>
      <c r="K436">
        <v>100</v>
      </c>
    </row>
    <row r="437" spans="1:11">
      <c r="A437">
        <v>1138</v>
      </c>
      <c r="B437" s="1">
        <v>45215</v>
      </c>
      <c r="C437" s="2">
        <v>0.49930555555555556</v>
      </c>
      <c r="D437">
        <v>27</v>
      </c>
      <c r="E437" t="s">
        <v>11</v>
      </c>
      <c r="F437">
        <v>49</v>
      </c>
      <c r="G437" t="s">
        <v>12</v>
      </c>
      <c r="H437">
        <v>4</v>
      </c>
      <c r="I437">
        <v>50</v>
      </c>
      <c r="J437">
        <v>14.5</v>
      </c>
      <c r="K437">
        <v>200</v>
      </c>
    </row>
    <row r="438" spans="1:11">
      <c r="A438">
        <v>1471</v>
      </c>
      <c r="B438" s="1">
        <v>45102</v>
      </c>
      <c r="C438" s="2">
        <v>0.44027777777777777</v>
      </c>
      <c r="D438">
        <v>30</v>
      </c>
      <c r="E438" t="s">
        <v>11</v>
      </c>
      <c r="F438">
        <v>32</v>
      </c>
      <c r="G438" t="s">
        <v>12</v>
      </c>
      <c r="H438">
        <v>3</v>
      </c>
      <c r="I438">
        <v>50</v>
      </c>
      <c r="J438">
        <v>13</v>
      </c>
      <c r="K438">
        <v>150</v>
      </c>
    </row>
    <row r="439" spans="1:11">
      <c r="A439">
        <v>1636</v>
      </c>
      <c r="B439" s="1">
        <v>45129</v>
      </c>
      <c r="C439" s="2">
        <v>0.47638888888888886</v>
      </c>
      <c r="D439">
        <v>50</v>
      </c>
      <c r="E439" t="s">
        <v>14</v>
      </c>
      <c r="F439">
        <v>21</v>
      </c>
      <c r="G439" t="s">
        <v>13</v>
      </c>
      <c r="H439">
        <v>3</v>
      </c>
      <c r="I439">
        <v>500</v>
      </c>
      <c r="J439">
        <v>150</v>
      </c>
      <c r="K439">
        <v>1500</v>
      </c>
    </row>
    <row r="440" spans="1:11">
      <c r="A440">
        <v>177</v>
      </c>
      <c r="B440" s="1">
        <v>45009</v>
      </c>
      <c r="C440" s="2">
        <v>0.3611111111111111</v>
      </c>
      <c r="D440">
        <v>30</v>
      </c>
      <c r="E440" t="s">
        <v>11</v>
      </c>
      <c r="F440">
        <v>45</v>
      </c>
      <c r="G440" t="s">
        <v>13</v>
      </c>
      <c r="H440">
        <v>2</v>
      </c>
      <c r="I440">
        <v>50</v>
      </c>
      <c r="J440">
        <v>26.5</v>
      </c>
      <c r="K440">
        <v>100</v>
      </c>
    </row>
    <row r="441" spans="1:11">
      <c r="A441">
        <v>426</v>
      </c>
      <c r="B441" s="1">
        <v>45273</v>
      </c>
      <c r="C441" s="2">
        <v>0.34097222222222223</v>
      </c>
      <c r="D441">
        <v>137</v>
      </c>
      <c r="E441" t="s">
        <v>11</v>
      </c>
      <c r="F441">
        <v>23</v>
      </c>
      <c r="G441" t="s">
        <v>15</v>
      </c>
      <c r="H441">
        <v>3</v>
      </c>
      <c r="I441">
        <v>50</v>
      </c>
      <c r="J441">
        <v>12.5</v>
      </c>
      <c r="K441">
        <v>150</v>
      </c>
    </row>
    <row r="442" spans="1:11">
      <c r="A442">
        <v>1177</v>
      </c>
      <c r="B442" s="1">
        <v>44977</v>
      </c>
      <c r="C442" s="2">
        <v>0.38819444444444445</v>
      </c>
      <c r="D442">
        <v>89</v>
      </c>
      <c r="E442" t="s">
        <v>11</v>
      </c>
      <c r="F442">
        <v>45</v>
      </c>
      <c r="G442" t="s">
        <v>13</v>
      </c>
      <c r="H442">
        <v>2</v>
      </c>
      <c r="I442">
        <v>50</v>
      </c>
      <c r="J442">
        <v>15</v>
      </c>
      <c r="K442">
        <v>100</v>
      </c>
    </row>
    <row r="443" spans="1:11">
      <c r="A443">
        <v>1426</v>
      </c>
      <c r="B443" s="1">
        <v>45272</v>
      </c>
      <c r="C443" s="2">
        <v>0.48055555555555557</v>
      </c>
      <c r="D443">
        <v>114</v>
      </c>
      <c r="E443" t="s">
        <v>11</v>
      </c>
      <c r="F443">
        <v>23</v>
      </c>
      <c r="G443" t="s">
        <v>15</v>
      </c>
      <c r="H443">
        <v>3</v>
      </c>
      <c r="I443">
        <v>50</v>
      </c>
      <c r="J443">
        <v>25</v>
      </c>
      <c r="K443">
        <v>150</v>
      </c>
    </row>
    <row r="444" spans="1:11">
      <c r="A444">
        <v>76</v>
      </c>
      <c r="B444" s="1">
        <v>45178</v>
      </c>
      <c r="C444" s="2">
        <v>0.31458333333333333</v>
      </c>
      <c r="D444">
        <v>70</v>
      </c>
      <c r="E444" t="s">
        <v>14</v>
      </c>
      <c r="F444">
        <v>22</v>
      </c>
      <c r="G444" t="s">
        <v>15</v>
      </c>
      <c r="H444">
        <v>2</v>
      </c>
      <c r="I444">
        <v>50</v>
      </c>
      <c r="J444">
        <v>14.5</v>
      </c>
      <c r="K444">
        <v>100</v>
      </c>
    </row>
    <row r="445" spans="1:11">
      <c r="A445">
        <v>91</v>
      </c>
      <c r="B445" s="1">
        <v>45030</v>
      </c>
      <c r="C445" s="2">
        <v>0.27152777777777776</v>
      </c>
      <c r="D445">
        <v>152</v>
      </c>
      <c r="E445" t="s">
        <v>14</v>
      </c>
      <c r="F445">
        <v>55</v>
      </c>
      <c r="G445" t="s">
        <v>15</v>
      </c>
      <c r="H445">
        <v>1</v>
      </c>
      <c r="I445">
        <v>500</v>
      </c>
      <c r="J445">
        <v>235</v>
      </c>
      <c r="K445">
        <v>500</v>
      </c>
    </row>
    <row r="446" spans="1:11">
      <c r="A446">
        <v>461</v>
      </c>
      <c r="B446" s="1">
        <v>45125</v>
      </c>
      <c r="C446" s="2">
        <v>0.43958333333333333</v>
      </c>
      <c r="D446">
        <v>21</v>
      </c>
      <c r="E446" t="s">
        <v>14</v>
      </c>
      <c r="F446">
        <v>18</v>
      </c>
      <c r="G446" t="s">
        <v>13</v>
      </c>
      <c r="H446">
        <v>2</v>
      </c>
      <c r="I446">
        <v>500</v>
      </c>
      <c r="J446">
        <v>265</v>
      </c>
      <c r="K446">
        <v>1000</v>
      </c>
    </row>
    <row r="447" spans="1:11">
      <c r="A447">
        <v>764</v>
      </c>
      <c r="B447" s="1">
        <v>45237</v>
      </c>
      <c r="C447" s="2">
        <v>0.36527777777777776</v>
      </c>
      <c r="D447">
        <v>47</v>
      </c>
      <c r="E447" t="s">
        <v>14</v>
      </c>
      <c r="F447">
        <v>40</v>
      </c>
      <c r="G447" t="s">
        <v>12</v>
      </c>
      <c r="H447">
        <v>1</v>
      </c>
      <c r="I447">
        <v>25</v>
      </c>
      <c r="J447">
        <v>11.25</v>
      </c>
      <c r="K447">
        <v>25</v>
      </c>
    </row>
    <row r="448" spans="1:11">
      <c r="A448">
        <v>1076</v>
      </c>
      <c r="B448" s="1">
        <v>45121</v>
      </c>
      <c r="C448" s="2">
        <v>0.46458333333333335</v>
      </c>
      <c r="D448">
        <v>99</v>
      </c>
      <c r="E448" t="s">
        <v>14</v>
      </c>
      <c r="F448">
        <v>22</v>
      </c>
      <c r="G448" t="s">
        <v>15</v>
      </c>
      <c r="H448">
        <v>2</v>
      </c>
      <c r="I448">
        <v>50</v>
      </c>
      <c r="J448">
        <v>15</v>
      </c>
      <c r="K448">
        <v>100</v>
      </c>
    </row>
    <row r="449" spans="1:11">
      <c r="A449">
        <v>1091</v>
      </c>
      <c r="B449" s="1">
        <v>45122</v>
      </c>
      <c r="C449" s="2">
        <v>0.36527777777777776</v>
      </c>
      <c r="D449">
        <v>139</v>
      </c>
      <c r="E449" t="s">
        <v>14</v>
      </c>
      <c r="F449">
        <v>55</v>
      </c>
      <c r="G449" t="s">
        <v>15</v>
      </c>
      <c r="H449">
        <v>1</v>
      </c>
      <c r="I449">
        <v>500</v>
      </c>
      <c r="J449">
        <v>235</v>
      </c>
      <c r="K449">
        <v>500</v>
      </c>
    </row>
    <row r="450" spans="1:11">
      <c r="A450">
        <v>1461</v>
      </c>
      <c r="B450" s="1">
        <v>45047</v>
      </c>
      <c r="C450" s="2">
        <v>0.36319444444444443</v>
      </c>
      <c r="D450">
        <v>63</v>
      </c>
      <c r="E450" t="s">
        <v>14</v>
      </c>
      <c r="F450">
        <v>18</v>
      </c>
      <c r="G450" t="s">
        <v>13</v>
      </c>
      <c r="H450">
        <v>2</v>
      </c>
      <c r="I450">
        <v>500</v>
      </c>
      <c r="J450">
        <v>180</v>
      </c>
      <c r="K450">
        <v>1000</v>
      </c>
    </row>
    <row r="451" spans="1:11">
      <c r="A451">
        <v>1764</v>
      </c>
      <c r="B451" s="1">
        <v>45232</v>
      </c>
      <c r="C451" s="2">
        <v>0.46111111111111114</v>
      </c>
      <c r="D451">
        <v>13</v>
      </c>
      <c r="E451" t="s">
        <v>14</v>
      </c>
      <c r="F451">
        <v>40</v>
      </c>
      <c r="G451" t="s">
        <v>12</v>
      </c>
      <c r="H451">
        <v>1</v>
      </c>
      <c r="I451">
        <v>25</v>
      </c>
      <c r="J451">
        <v>11.75</v>
      </c>
      <c r="K451">
        <v>25</v>
      </c>
    </row>
    <row r="452" spans="1:11">
      <c r="A452">
        <v>202</v>
      </c>
      <c r="B452" s="1">
        <v>44951</v>
      </c>
      <c r="C452" s="2">
        <v>0.26666666666666666</v>
      </c>
      <c r="D452">
        <v>61</v>
      </c>
      <c r="E452" t="s">
        <v>14</v>
      </c>
      <c r="F452">
        <v>34</v>
      </c>
      <c r="G452" t="s">
        <v>12</v>
      </c>
      <c r="H452">
        <v>4</v>
      </c>
      <c r="I452">
        <v>300</v>
      </c>
      <c r="J452">
        <v>120</v>
      </c>
      <c r="K452">
        <v>1200</v>
      </c>
    </row>
    <row r="453" spans="1:11">
      <c r="A453">
        <v>301</v>
      </c>
      <c r="B453" s="1">
        <v>45137</v>
      </c>
      <c r="C453" s="2">
        <v>0.45694444444444443</v>
      </c>
      <c r="D453">
        <v>104</v>
      </c>
      <c r="E453" t="s">
        <v>11</v>
      </c>
      <c r="F453">
        <v>30</v>
      </c>
      <c r="G453" t="s">
        <v>12</v>
      </c>
      <c r="H453">
        <v>4</v>
      </c>
      <c r="I453">
        <v>30</v>
      </c>
      <c r="J453">
        <v>9.6</v>
      </c>
      <c r="K453">
        <v>120</v>
      </c>
    </row>
    <row r="454" spans="1:11">
      <c r="A454">
        <v>703</v>
      </c>
      <c r="B454" s="1">
        <v>45138</v>
      </c>
      <c r="C454" s="2">
        <v>0.41388888888888886</v>
      </c>
      <c r="D454">
        <v>140</v>
      </c>
      <c r="E454" t="s">
        <v>11</v>
      </c>
      <c r="F454">
        <v>34</v>
      </c>
      <c r="G454" t="s">
        <v>15</v>
      </c>
      <c r="H454">
        <v>2</v>
      </c>
      <c r="I454">
        <v>50</v>
      </c>
      <c r="J454">
        <v>18.5</v>
      </c>
      <c r="K454">
        <v>100</v>
      </c>
    </row>
    <row r="455" spans="1:11">
      <c r="A455">
        <v>1202</v>
      </c>
      <c r="B455" s="1">
        <v>45243</v>
      </c>
      <c r="C455" s="2">
        <v>0.28888888888888886</v>
      </c>
      <c r="D455">
        <v>89</v>
      </c>
      <c r="E455" t="s">
        <v>14</v>
      </c>
      <c r="F455">
        <v>34</v>
      </c>
      <c r="G455" t="s">
        <v>12</v>
      </c>
      <c r="H455">
        <v>4</v>
      </c>
      <c r="I455">
        <v>300</v>
      </c>
      <c r="J455">
        <v>144</v>
      </c>
      <c r="K455">
        <v>1200</v>
      </c>
    </row>
    <row r="456" spans="1:11">
      <c r="A456">
        <v>1301</v>
      </c>
      <c r="B456" s="1">
        <v>45193</v>
      </c>
      <c r="C456" s="2">
        <v>0.4152777777777778</v>
      </c>
      <c r="D456">
        <v>70</v>
      </c>
      <c r="E456" t="s">
        <v>11</v>
      </c>
      <c r="F456">
        <v>30</v>
      </c>
      <c r="G456" t="s">
        <v>12</v>
      </c>
      <c r="H456">
        <v>4</v>
      </c>
      <c r="I456">
        <v>30</v>
      </c>
      <c r="J456">
        <v>10.5</v>
      </c>
      <c r="K456">
        <v>120</v>
      </c>
    </row>
    <row r="457" spans="1:11">
      <c r="A457">
        <v>1703</v>
      </c>
      <c r="B457" s="1">
        <v>45087</v>
      </c>
      <c r="C457" s="2">
        <v>0.35833333333333334</v>
      </c>
      <c r="D457">
        <v>2</v>
      </c>
      <c r="E457" t="s">
        <v>11</v>
      </c>
      <c r="F457">
        <v>34</v>
      </c>
      <c r="G457" t="s">
        <v>15</v>
      </c>
      <c r="H457">
        <v>2</v>
      </c>
      <c r="I457">
        <v>50</v>
      </c>
      <c r="J457">
        <v>17</v>
      </c>
      <c r="K457">
        <v>100</v>
      </c>
    </row>
    <row r="458" spans="1:11">
      <c r="A458">
        <v>294</v>
      </c>
      <c r="B458" s="1">
        <v>45208</v>
      </c>
      <c r="C458" s="2">
        <v>0.39166666666666666</v>
      </c>
      <c r="D458">
        <v>89</v>
      </c>
      <c r="E458" t="s">
        <v>14</v>
      </c>
      <c r="F458">
        <v>23</v>
      </c>
      <c r="G458" t="s">
        <v>12</v>
      </c>
      <c r="H458">
        <v>3</v>
      </c>
      <c r="I458">
        <v>30</v>
      </c>
      <c r="J458">
        <v>15.3</v>
      </c>
      <c r="K458">
        <v>90</v>
      </c>
    </row>
    <row r="459" spans="1:11">
      <c r="A459">
        <v>760</v>
      </c>
      <c r="B459" s="1">
        <v>45103</v>
      </c>
      <c r="C459" s="2">
        <v>0.33263888888888887</v>
      </c>
      <c r="D459">
        <v>14</v>
      </c>
      <c r="E459" t="s">
        <v>11</v>
      </c>
      <c r="F459">
        <v>27</v>
      </c>
      <c r="G459" t="s">
        <v>13</v>
      </c>
      <c r="H459">
        <v>1</v>
      </c>
      <c r="I459">
        <v>500</v>
      </c>
      <c r="J459">
        <v>125</v>
      </c>
      <c r="K459">
        <v>500</v>
      </c>
    </row>
    <row r="460" spans="1:11">
      <c r="A460">
        <v>1294</v>
      </c>
      <c r="B460" s="1">
        <v>44950</v>
      </c>
      <c r="C460" s="2">
        <v>0.47499999999999998</v>
      </c>
      <c r="D460">
        <v>8</v>
      </c>
      <c r="E460" t="s">
        <v>14</v>
      </c>
      <c r="F460">
        <v>23</v>
      </c>
      <c r="G460" t="s">
        <v>12</v>
      </c>
      <c r="H460">
        <v>3</v>
      </c>
      <c r="I460">
        <v>30</v>
      </c>
      <c r="J460">
        <v>10.5</v>
      </c>
      <c r="K460">
        <v>90</v>
      </c>
    </row>
    <row r="461" spans="1:11">
      <c r="A461">
        <v>1760</v>
      </c>
      <c r="B461" s="1">
        <v>45161</v>
      </c>
      <c r="C461" s="2">
        <v>0.30972222222222223</v>
      </c>
      <c r="D461">
        <v>44</v>
      </c>
      <c r="E461" t="s">
        <v>11</v>
      </c>
      <c r="F461">
        <v>27</v>
      </c>
      <c r="G461" t="s">
        <v>13</v>
      </c>
      <c r="H461">
        <v>1</v>
      </c>
      <c r="I461">
        <v>500</v>
      </c>
      <c r="J461">
        <v>230</v>
      </c>
      <c r="K461">
        <v>500</v>
      </c>
    </row>
    <row r="462" spans="1:11">
      <c r="A462">
        <v>575</v>
      </c>
      <c r="B462" s="1">
        <v>45272</v>
      </c>
      <c r="C462" s="2">
        <v>0.43680555555555556</v>
      </c>
      <c r="D462">
        <v>14</v>
      </c>
      <c r="E462" t="s">
        <v>11</v>
      </c>
      <c r="F462">
        <v>60</v>
      </c>
      <c r="G462" t="s">
        <v>12</v>
      </c>
      <c r="H462">
        <v>2</v>
      </c>
      <c r="I462">
        <v>50</v>
      </c>
      <c r="J462">
        <v>23</v>
      </c>
      <c r="K462">
        <v>100</v>
      </c>
    </row>
    <row r="463" spans="1:11">
      <c r="A463">
        <v>1575</v>
      </c>
      <c r="B463" s="1">
        <v>45135</v>
      </c>
      <c r="C463" s="2">
        <v>0.49583333333333335</v>
      </c>
      <c r="D463">
        <v>26</v>
      </c>
      <c r="E463" t="s">
        <v>11</v>
      </c>
      <c r="F463">
        <v>60</v>
      </c>
      <c r="G463" t="s">
        <v>12</v>
      </c>
      <c r="H463">
        <v>2</v>
      </c>
      <c r="I463">
        <v>50</v>
      </c>
      <c r="J463">
        <v>22.5</v>
      </c>
      <c r="K463">
        <v>100</v>
      </c>
    </row>
    <row r="464" spans="1:11">
      <c r="A464">
        <v>88</v>
      </c>
      <c r="B464" s="1">
        <v>44973</v>
      </c>
      <c r="C464" s="2">
        <v>0.35486111111111113</v>
      </c>
      <c r="D464">
        <v>122</v>
      </c>
      <c r="E464" t="s">
        <v>11</v>
      </c>
      <c r="F464">
        <v>56</v>
      </c>
      <c r="G464" t="s">
        <v>12</v>
      </c>
      <c r="H464">
        <v>1</v>
      </c>
      <c r="I464">
        <v>500</v>
      </c>
      <c r="J464">
        <v>185</v>
      </c>
      <c r="K464">
        <v>500</v>
      </c>
    </row>
    <row r="465" spans="1:11">
      <c r="A465">
        <v>1088</v>
      </c>
      <c r="B465" s="1">
        <v>45183</v>
      </c>
      <c r="C465" s="2">
        <v>0.29166666666666669</v>
      </c>
      <c r="D465">
        <v>6</v>
      </c>
      <c r="E465" t="s">
        <v>11</v>
      </c>
      <c r="F465">
        <v>56</v>
      </c>
      <c r="G465" t="s">
        <v>12</v>
      </c>
      <c r="H465">
        <v>1</v>
      </c>
      <c r="I465">
        <v>500</v>
      </c>
      <c r="J465">
        <v>155</v>
      </c>
      <c r="K465">
        <v>500</v>
      </c>
    </row>
    <row r="466" spans="1:11">
      <c r="A466">
        <v>975</v>
      </c>
      <c r="B466" s="1">
        <v>44935</v>
      </c>
      <c r="C466" s="2">
        <v>0.32013888888888886</v>
      </c>
      <c r="D466">
        <v>145</v>
      </c>
      <c r="E466" t="s">
        <v>14</v>
      </c>
      <c r="F466">
        <v>56</v>
      </c>
      <c r="G466" t="s">
        <v>12</v>
      </c>
      <c r="H466">
        <v>4</v>
      </c>
      <c r="I466">
        <v>50</v>
      </c>
      <c r="J466">
        <v>19.5</v>
      </c>
      <c r="K466">
        <v>200</v>
      </c>
    </row>
    <row r="467" spans="1:11">
      <c r="A467">
        <v>1975</v>
      </c>
      <c r="B467" s="1">
        <v>45159</v>
      </c>
      <c r="C467" s="2">
        <v>0.45</v>
      </c>
      <c r="D467">
        <v>63</v>
      </c>
      <c r="E467" t="s">
        <v>14</v>
      </c>
      <c r="F467">
        <v>56</v>
      </c>
      <c r="G467" t="s">
        <v>12</v>
      </c>
      <c r="H467">
        <v>4</v>
      </c>
      <c r="I467">
        <v>50</v>
      </c>
      <c r="J467">
        <v>25.5</v>
      </c>
      <c r="K467">
        <v>200</v>
      </c>
    </row>
    <row r="468" spans="1:11">
      <c r="A468">
        <v>553</v>
      </c>
      <c r="B468" s="1">
        <v>45005</v>
      </c>
      <c r="C468" s="2">
        <v>0.26180555555555557</v>
      </c>
      <c r="D468">
        <v>106</v>
      </c>
      <c r="E468" t="s">
        <v>11</v>
      </c>
      <c r="F468">
        <v>24</v>
      </c>
      <c r="G468" t="s">
        <v>12</v>
      </c>
      <c r="H468">
        <v>4</v>
      </c>
      <c r="I468">
        <v>300</v>
      </c>
      <c r="J468">
        <v>81</v>
      </c>
      <c r="K468">
        <v>1200</v>
      </c>
    </row>
    <row r="469" spans="1:11">
      <c r="A469">
        <v>1553</v>
      </c>
      <c r="B469" s="1">
        <v>44955</v>
      </c>
      <c r="C469" s="2">
        <v>0.36527777777777776</v>
      </c>
      <c r="D469">
        <v>42</v>
      </c>
      <c r="E469" t="s">
        <v>11</v>
      </c>
      <c r="F469">
        <v>24</v>
      </c>
      <c r="G469" t="s">
        <v>12</v>
      </c>
      <c r="H469">
        <v>4</v>
      </c>
      <c r="I469">
        <v>300</v>
      </c>
      <c r="J469">
        <v>99</v>
      </c>
      <c r="K469">
        <v>1200</v>
      </c>
    </row>
    <row r="470" spans="1:11">
      <c r="A470">
        <v>462</v>
      </c>
      <c r="B470" s="1">
        <v>45164</v>
      </c>
      <c r="C470" s="2">
        <v>0.41944444444444445</v>
      </c>
      <c r="D470">
        <v>71</v>
      </c>
      <c r="E470" t="s">
        <v>11</v>
      </c>
      <c r="F470">
        <v>63</v>
      </c>
      <c r="G470" t="s">
        <v>15</v>
      </c>
      <c r="H470">
        <v>4</v>
      </c>
      <c r="I470">
        <v>300</v>
      </c>
      <c r="J470">
        <v>132</v>
      </c>
      <c r="K470">
        <v>1200</v>
      </c>
    </row>
    <row r="471" spans="1:11">
      <c r="A471">
        <v>614</v>
      </c>
      <c r="B471" s="1">
        <v>44970</v>
      </c>
      <c r="C471" s="2">
        <v>0.26944444444444443</v>
      </c>
      <c r="D471">
        <v>61</v>
      </c>
      <c r="E471" t="s">
        <v>14</v>
      </c>
      <c r="F471">
        <v>39</v>
      </c>
      <c r="G471" t="s">
        <v>13</v>
      </c>
      <c r="H471">
        <v>4</v>
      </c>
      <c r="I471">
        <v>300</v>
      </c>
      <c r="J471">
        <v>120</v>
      </c>
      <c r="K471">
        <v>1200</v>
      </c>
    </row>
    <row r="472" spans="1:11">
      <c r="A472">
        <v>808</v>
      </c>
      <c r="B472" s="1">
        <v>45252</v>
      </c>
      <c r="C472" s="2">
        <v>0.30416666666666664</v>
      </c>
      <c r="D472">
        <v>30</v>
      </c>
      <c r="E472" t="s">
        <v>11</v>
      </c>
      <c r="F472">
        <v>33</v>
      </c>
      <c r="G472" t="s">
        <v>13</v>
      </c>
      <c r="H472">
        <v>4</v>
      </c>
      <c r="I472">
        <v>500</v>
      </c>
      <c r="J472">
        <v>195</v>
      </c>
      <c r="K472">
        <v>2000</v>
      </c>
    </row>
    <row r="473" spans="1:11">
      <c r="A473">
        <v>1462</v>
      </c>
      <c r="B473" s="1">
        <v>45243</v>
      </c>
      <c r="C473" s="2">
        <v>0.44583333333333336</v>
      </c>
      <c r="D473">
        <v>124</v>
      </c>
      <c r="E473" t="s">
        <v>11</v>
      </c>
      <c r="F473">
        <v>63</v>
      </c>
      <c r="G473" t="s">
        <v>15</v>
      </c>
      <c r="H473">
        <v>4</v>
      </c>
      <c r="I473">
        <v>300</v>
      </c>
      <c r="J473">
        <v>114</v>
      </c>
      <c r="K473">
        <v>1200</v>
      </c>
    </row>
    <row r="474" spans="1:11">
      <c r="A474">
        <v>1614</v>
      </c>
      <c r="B474" s="1">
        <v>45161</v>
      </c>
      <c r="C474" s="2">
        <v>0.48402777777777778</v>
      </c>
      <c r="D474">
        <v>135</v>
      </c>
      <c r="E474" t="s">
        <v>14</v>
      </c>
      <c r="F474">
        <v>39</v>
      </c>
      <c r="G474" t="s">
        <v>13</v>
      </c>
      <c r="H474">
        <v>4</v>
      </c>
      <c r="I474">
        <v>300</v>
      </c>
      <c r="J474">
        <v>105</v>
      </c>
      <c r="K474">
        <v>1200</v>
      </c>
    </row>
    <row r="475" spans="1:11">
      <c r="A475">
        <v>1808</v>
      </c>
      <c r="B475" s="1">
        <v>44969</v>
      </c>
      <c r="C475" s="2">
        <v>0.45</v>
      </c>
      <c r="D475">
        <v>109</v>
      </c>
      <c r="E475" t="s">
        <v>11</v>
      </c>
      <c r="F475">
        <v>33</v>
      </c>
      <c r="G475" t="s">
        <v>13</v>
      </c>
      <c r="H475">
        <v>4</v>
      </c>
      <c r="I475">
        <v>500</v>
      </c>
      <c r="J475">
        <v>210</v>
      </c>
      <c r="K475">
        <v>2000</v>
      </c>
    </row>
    <row r="476" spans="1:11">
      <c r="A476">
        <v>166</v>
      </c>
      <c r="B476" s="1">
        <v>44954</v>
      </c>
      <c r="C476" s="2">
        <v>0.48749999999999999</v>
      </c>
      <c r="D476">
        <v>32</v>
      </c>
      <c r="E476" t="s">
        <v>11</v>
      </c>
      <c r="F476">
        <v>34</v>
      </c>
      <c r="G476" t="s">
        <v>12</v>
      </c>
      <c r="H476">
        <v>4</v>
      </c>
      <c r="I476">
        <v>500</v>
      </c>
      <c r="J476">
        <v>225</v>
      </c>
      <c r="K476">
        <v>2000</v>
      </c>
    </row>
    <row r="477" spans="1:11">
      <c r="A477">
        <v>465</v>
      </c>
      <c r="B477" s="1">
        <v>44979</v>
      </c>
      <c r="C477" s="2">
        <v>0.49444444444444446</v>
      </c>
      <c r="D477">
        <v>40</v>
      </c>
      <c r="E477" t="s">
        <v>14</v>
      </c>
      <c r="F477">
        <v>43</v>
      </c>
      <c r="G477" t="s">
        <v>15</v>
      </c>
      <c r="H477">
        <v>3</v>
      </c>
      <c r="I477">
        <v>50</v>
      </c>
      <c r="J477">
        <v>15.5</v>
      </c>
      <c r="K477">
        <v>150</v>
      </c>
    </row>
    <row r="478" spans="1:11">
      <c r="A478">
        <v>502</v>
      </c>
      <c r="B478" s="1">
        <v>45129</v>
      </c>
      <c r="C478" s="2">
        <v>0.45833333333333331</v>
      </c>
      <c r="D478">
        <v>31</v>
      </c>
      <c r="E478" t="s">
        <v>11</v>
      </c>
      <c r="F478">
        <v>43</v>
      </c>
      <c r="G478" t="s">
        <v>15</v>
      </c>
      <c r="H478">
        <v>3</v>
      </c>
      <c r="I478">
        <v>50</v>
      </c>
      <c r="J478">
        <v>22.5</v>
      </c>
      <c r="K478">
        <v>150</v>
      </c>
    </row>
    <row r="479" spans="1:11">
      <c r="A479">
        <v>905</v>
      </c>
      <c r="B479" s="1">
        <v>45200</v>
      </c>
      <c r="C479" s="2">
        <v>0.26874999999999999</v>
      </c>
      <c r="D479">
        <v>96</v>
      </c>
      <c r="E479" t="s">
        <v>11</v>
      </c>
      <c r="F479">
        <v>58</v>
      </c>
      <c r="G479" t="s">
        <v>13</v>
      </c>
      <c r="H479">
        <v>1</v>
      </c>
      <c r="I479">
        <v>300</v>
      </c>
      <c r="J479">
        <v>111</v>
      </c>
      <c r="K479">
        <v>300</v>
      </c>
    </row>
    <row r="480" spans="1:11">
      <c r="A480">
        <v>1166</v>
      </c>
      <c r="B480" s="1">
        <v>45126</v>
      </c>
      <c r="C480" s="2">
        <v>0.32291666666666669</v>
      </c>
      <c r="D480">
        <v>65</v>
      </c>
      <c r="E480" t="s">
        <v>11</v>
      </c>
      <c r="F480">
        <v>34</v>
      </c>
      <c r="G480" t="s">
        <v>12</v>
      </c>
      <c r="H480">
        <v>4</v>
      </c>
      <c r="I480">
        <v>500</v>
      </c>
      <c r="J480">
        <v>245</v>
      </c>
      <c r="K480">
        <v>2000</v>
      </c>
    </row>
    <row r="481" spans="1:11">
      <c r="A481">
        <v>1465</v>
      </c>
      <c r="B481" s="1">
        <v>45033</v>
      </c>
      <c r="C481" s="2">
        <v>0.4</v>
      </c>
      <c r="D481">
        <v>131</v>
      </c>
      <c r="E481" t="s">
        <v>14</v>
      </c>
      <c r="F481">
        <v>43</v>
      </c>
      <c r="G481" t="s">
        <v>15</v>
      </c>
      <c r="H481">
        <v>3</v>
      </c>
      <c r="I481">
        <v>50</v>
      </c>
      <c r="J481">
        <v>26</v>
      </c>
      <c r="K481">
        <v>150</v>
      </c>
    </row>
    <row r="482" spans="1:11">
      <c r="A482">
        <v>1502</v>
      </c>
      <c r="B482" s="1">
        <v>45024</v>
      </c>
      <c r="C482" s="2">
        <v>0.35416666666666669</v>
      </c>
      <c r="D482">
        <v>152</v>
      </c>
      <c r="E482" t="s">
        <v>11</v>
      </c>
      <c r="F482">
        <v>43</v>
      </c>
      <c r="G482" t="s">
        <v>15</v>
      </c>
      <c r="H482">
        <v>3</v>
      </c>
      <c r="I482">
        <v>50</v>
      </c>
      <c r="J482">
        <v>18</v>
      </c>
      <c r="K482">
        <v>150</v>
      </c>
    </row>
    <row r="483" spans="1:11">
      <c r="A483">
        <v>1905</v>
      </c>
      <c r="B483" s="1">
        <v>45167</v>
      </c>
      <c r="C483" s="2">
        <v>0.25486111111111109</v>
      </c>
      <c r="D483">
        <v>26</v>
      </c>
      <c r="E483" t="s">
        <v>11</v>
      </c>
      <c r="F483">
        <v>58</v>
      </c>
      <c r="G483" t="s">
        <v>13</v>
      </c>
      <c r="H483">
        <v>1</v>
      </c>
      <c r="I483">
        <v>300</v>
      </c>
      <c r="J483">
        <v>102</v>
      </c>
      <c r="K483">
        <v>300</v>
      </c>
    </row>
    <row r="484" spans="1:11">
      <c r="A484">
        <v>280</v>
      </c>
      <c r="B484" s="1">
        <v>45247</v>
      </c>
      <c r="C484" s="2">
        <v>0.39930555555555558</v>
      </c>
      <c r="D484">
        <v>76</v>
      </c>
      <c r="E484" t="s">
        <v>14</v>
      </c>
      <c r="F484">
        <v>37</v>
      </c>
      <c r="G484" t="s">
        <v>12</v>
      </c>
      <c r="H484">
        <v>3</v>
      </c>
      <c r="I484">
        <v>500</v>
      </c>
      <c r="J484">
        <v>240</v>
      </c>
      <c r="K484">
        <v>1500</v>
      </c>
    </row>
    <row r="485" spans="1:11">
      <c r="A485">
        <v>719</v>
      </c>
      <c r="B485" s="1">
        <v>45109</v>
      </c>
      <c r="C485" s="2">
        <v>0.30486111111111114</v>
      </c>
      <c r="D485">
        <v>37</v>
      </c>
      <c r="E485" t="s">
        <v>14</v>
      </c>
      <c r="F485">
        <v>42</v>
      </c>
      <c r="G485" t="s">
        <v>12</v>
      </c>
      <c r="H485">
        <v>2</v>
      </c>
      <c r="I485">
        <v>30</v>
      </c>
      <c r="J485">
        <v>12</v>
      </c>
      <c r="K485">
        <v>60</v>
      </c>
    </row>
    <row r="486" spans="1:11">
      <c r="A486">
        <v>834</v>
      </c>
      <c r="B486" s="1">
        <v>45256</v>
      </c>
      <c r="C486" s="2">
        <v>0.28819444444444442</v>
      </c>
      <c r="D486">
        <v>13</v>
      </c>
      <c r="E486" t="s">
        <v>14</v>
      </c>
      <c r="F486">
        <v>56</v>
      </c>
      <c r="G486" t="s">
        <v>13</v>
      </c>
      <c r="H486">
        <v>2</v>
      </c>
      <c r="I486">
        <v>30</v>
      </c>
      <c r="J486">
        <v>14.7</v>
      </c>
      <c r="K486">
        <v>60</v>
      </c>
    </row>
    <row r="487" spans="1:11">
      <c r="A487">
        <v>1280</v>
      </c>
      <c r="B487" s="1">
        <v>45162</v>
      </c>
      <c r="C487" s="2">
        <v>0.38541666666666669</v>
      </c>
      <c r="D487">
        <v>116</v>
      </c>
      <c r="E487" t="s">
        <v>14</v>
      </c>
      <c r="F487">
        <v>37</v>
      </c>
      <c r="G487" t="s">
        <v>12</v>
      </c>
      <c r="H487">
        <v>3</v>
      </c>
      <c r="I487">
        <v>500</v>
      </c>
      <c r="J487">
        <v>255</v>
      </c>
      <c r="K487">
        <v>1500</v>
      </c>
    </row>
    <row r="488" spans="1:11">
      <c r="A488">
        <v>1719</v>
      </c>
      <c r="B488" s="1">
        <v>45288</v>
      </c>
      <c r="C488" s="2">
        <v>0.31180555555555556</v>
      </c>
      <c r="D488">
        <v>4</v>
      </c>
      <c r="E488" t="s">
        <v>14</v>
      </c>
      <c r="F488">
        <v>42</v>
      </c>
      <c r="G488" t="s">
        <v>12</v>
      </c>
      <c r="H488">
        <v>2</v>
      </c>
      <c r="I488">
        <v>30</v>
      </c>
      <c r="J488">
        <v>10.8</v>
      </c>
      <c r="K488">
        <v>60</v>
      </c>
    </row>
    <row r="489" spans="1:11">
      <c r="A489">
        <v>1834</v>
      </c>
      <c r="B489" s="1">
        <v>45030</v>
      </c>
      <c r="C489" s="2">
        <v>0.28680555555555554</v>
      </c>
      <c r="D489">
        <v>102</v>
      </c>
      <c r="E489" t="s">
        <v>14</v>
      </c>
      <c r="F489">
        <v>56</v>
      </c>
      <c r="G489" t="s">
        <v>13</v>
      </c>
      <c r="H489">
        <v>2</v>
      </c>
      <c r="I489">
        <v>30</v>
      </c>
      <c r="J489">
        <v>12.9</v>
      </c>
      <c r="K489">
        <v>60</v>
      </c>
    </row>
    <row r="490" spans="1:11">
      <c r="A490">
        <v>891</v>
      </c>
      <c r="B490" s="1">
        <v>44935</v>
      </c>
      <c r="C490" s="2">
        <v>0.27986111111111112</v>
      </c>
      <c r="D490">
        <v>24</v>
      </c>
      <c r="E490" t="s">
        <v>11</v>
      </c>
      <c r="F490">
        <v>41</v>
      </c>
      <c r="G490" t="s">
        <v>15</v>
      </c>
      <c r="H490">
        <v>3</v>
      </c>
      <c r="I490">
        <v>300</v>
      </c>
      <c r="J490">
        <v>99</v>
      </c>
      <c r="K490">
        <v>900</v>
      </c>
    </row>
    <row r="491" spans="1:11">
      <c r="A491">
        <v>928</v>
      </c>
      <c r="B491" s="1">
        <v>45235</v>
      </c>
      <c r="C491" s="2">
        <v>0.43055555555555558</v>
      </c>
      <c r="D491">
        <v>54</v>
      </c>
      <c r="E491" t="s">
        <v>14</v>
      </c>
      <c r="F491">
        <v>35</v>
      </c>
      <c r="G491" t="s">
        <v>12</v>
      </c>
      <c r="H491">
        <v>4</v>
      </c>
      <c r="I491">
        <v>300</v>
      </c>
      <c r="J491">
        <v>90</v>
      </c>
      <c r="K491">
        <v>1200</v>
      </c>
    </row>
    <row r="492" spans="1:11">
      <c r="A492">
        <v>1891</v>
      </c>
      <c r="B492" s="1">
        <v>45282</v>
      </c>
      <c r="C492" s="2">
        <v>0.25763888888888886</v>
      </c>
      <c r="D492">
        <v>81</v>
      </c>
      <c r="E492" t="s">
        <v>11</v>
      </c>
      <c r="F492">
        <v>41</v>
      </c>
      <c r="G492" t="s">
        <v>15</v>
      </c>
      <c r="H492">
        <v>3</v>
      </c>
      <c r="I492">
        <v>300</v>
      </c>
      <c r="J492">
        <v>105</v>
      </c>
      <c r="K492">
        <v>900</v>
      </c>
    </row>
    <row r="493" spans="1:11">
      <c r="A493">
        <v>1928</v>
      </c>
      <c r="B493" s="1">
        <v>45136</v>
      </c>
      <c r="C493" s="2">
        <v>0.27708333333333335</v>
      </c>
      <c r="D493">
        <v>93</v>
      </c>
      <c r="E493" t="s">
        <v>14</v>
      </c>
      <c r="F493">
        <v>35</v>
      </c>
      <c r="G493" t="s">
        <v>12</v>
      </c>
      <c r="H493">
        <v>4</v>
      </c>
      <c r="I493">
        <v>300</v>
      </c>
      <c r="J493">
        <v>75</v>
      </c>
      <c r="K493">
        <v>1200</v>
      </c>
    </row>
    <row r="494" spans="1:11">
      <c r="A494">
        <v>332</v>
      </c>
      <c r="B494" s="1">
        <v>45040</v>
      </c>
      <c r="C494" s="2">
        <v>0.4777777777777778</v>
      </c>
      <c r="D494">
        <v>138</v>
      </c>
      <c r="E494" t="s">
        <v>11</v>
      </c>
      <c r="F494">
        <v>58</v>
      </c>
      <c r="G494" t="s">
        <v>15</v>
      </c>
      <c r="H494">
        <v>4</v>
      </c>
      <c r="I494">
        <v>300</v>
      </c>
      <c r="J494">
        <v>105</v>
      </c>
      <c r="K494">
        <v>1200</v>
      </c>
    </row>
    <row r="495" spans="1:11">
      <c r="A495">
        <v>1332</v>
      </c>
      <c r="B495" s="1">
        <v>45264</v>
      </c>
      <c r="C495" s="2">
        <v>0.41805555555555557</v>
      </c>
      <c r="D495">
        <v>146</v>
      </c>
      <c r="E495" t="s">
        <v>11</v>
      </c>
      <c r="F495">
        <v>58</v>
      </c>
      <c r="G495" t="s">
        <v>15</v>
      </c>
      <c r="H495">
        <v>4</v>
      </c>
      <c r="I495">
        <v>300</v>
      </c>
      <c r="J495">
        <v>123</v>
      </c>
      <c r="K495">
        <v>1200</v>
      </c>
    </row>
    <row r="496" spans="1:11">
      <c r="A496">
        <v>255</v>
      </c>
      <c r="B496" s="1">
        <v>45214</v>
      </c>
      <c r="C496" s="2">
        <v>0.48888888888888887</v>
      </c>
      <c r="D496">
        <v>19</v>
      </c>
      <c r="E496" t="s">
        <v>11</v>
      </c>
      <c r="F496">
        <v>48</v>
      </c>
      <c r="G496" t="s">
        <v>12</v>
      </c>
      <c r="H496">
        <v>1</v>
      </c>
      <c r="I496">
        <v>30</v>
      </c>
      <c r="J496">
        <v>14.7</v>
      </c>
      <c r="K496">
        <v>30</v>
      </c>
    </row>
    <row r="497" spans="1:11">
      <c r="A497">
        <v>275</v>
      </c>
      <c r="B497" s="1">
        <v>44990</v>
      </c>
      <c r="C497" s="2">
        <v>0.48194444444444445</v>
      </c>
      <c r="D497">
        <v>2</v>
      </c>
      <c r="E497" t="s">
        <v>11</v>
      </c>
      <c r="F497">
        <v>43</v>
      </c>
      <c r="G497" t="s">
        <v>12</v>
      </c>
      <c r="H497">
        <v>2</v>
      </c>
      <c r="I497">
        <v>500</v>
      </c>
      <c r="J497">
        <v>260</v>
      </c>
      <c r="K497">
        <v>1000</v>
      </c>
    </row>
    <row r="498" spans="1:11">
      <c r="A498">
        <v>314</v>
      </c>
      <c r="B498" s="1">
        <v>45214</v>
      </c>
      <c r="C498" s="2">
        <v>0.31736111111111109</v>
      </c>
      <c r="D498">
        <v>1</v>
      </c>
      <c r="E498" t="s">
        <v>11</v>
      </c>
      <c r="F498">
        <v>52</v>
      </c>
      <c r="G498" t="s">
        <v>12</v>
      </c>
      <c r="H498">
        <v>4</v>
      </c>
      <c r="I498">
        <v>30</v>
      </c>
      <c r="J498">
        <v>7.8</v>
      </c>
      <c r="K498">
        <v>120</v>
      </c>
    </row>
    <row r="499" spans="1:11">
      <c r="A499">
        <v>517</v>
      </c>
      <c r="B499" s="1">
        <v>45158</v>
      </c>
      <c r="C499" s="2">
        <v>0.37083333333333335</v>
      </c>
      <c r="D499">
        <v>3</v>
      </c>
      <c r="E499" t="s">
        <v>14</v>
      </c>
      <c r="F499">
        <v>47</v>
      </c>
      <c r="G499" t="s">
        <v>12</v>
      </c>
      <c r="H499">
        <v>4</v>
      </c>
      <c r="I499">
        <v>25</v>
      </c>
      <c r="J499">
        <v>9.25</v>
      </c>
      <c r="K499">
        <v>100</v>
      </c>
    </row>
    <row r="500" spans="1:11">
      <c r="A500">
        <v>847</v>
      </c>
      <c r="B500" s="1">
        <v>44936</v>
      </c>
      <c r="C500" s="2">
        <v>0.36249999999999999</v>
      </c>
      <c r="D500">
        <v>2</v>
      </c>
      <c r="E500" t="s">
        <v>14</v>
      </c>
      <c r="F500">
        <v>18</v>
      </c>
      <c r="G500" t="s">
        <v>15</v>
      </c>
      <c r="H500">
        <v>4</v>
      </c>
      <c r="I500">
        <v>300</v>
      </c>
      <c r="J500">
        <v>162</v>
      </c>
      <c r="K500">
        <v>1200</v>
      </c>
    </row>
    <row r="501" spans="1:11">
      <c r="A501">
        <v>1255</v>
      </c>
      <c r="B501" s="1">
        <v>44946</v>
      </c>
      <c r="C501" s="2">
        <v>0.29722222222222222</v>
      </c>
      <c r="D501">
        <v>4</v>
      </c>
      <c r="E501" t="s">
        <v>11</v>
      </c>
      <c r="F501">
        <v>48</v>
      </c>
      <c r="G501" t="s">
        <v>12</v>
      </c>
      <c r="H501">
        <v>1</v>
      </c>
      <c r="I501">
        <v>30</v>
      </c>
      <c r="J501">
        <v>7.8</v>
      </c>
      <c r="K501">
        <v>30</v>
      </c>
    </row>
    <row r="502" spans="1:11">
      <c r="A502">
        <v>1275</v>
      </c>
      <c r="B502" s="1">
        <v>44987</v>
      </c>
      <c r="C502" s="2">
        <v>0.36666666666666664</v>
      </c>
      <c r="D502">
        <v>5</v>
      </c>
      <c r="E502" t="s">
        <v>11</v>
      </c>
      <c r="F502">
        <v>43</v>
      </c>
      <c r="G502" t="s">
        <v>12</v>
      </c>
      <c r="H502">
        <v>2</v>
      </c>
      <c r="I502">
        <v>500</v>
      </c>
      <c r="J502">
        <v>250</v>
      </c>
      <c r="K502">
        <v>1000</v>
      </c>
    </row>
    <row r="503" spans="1:11">
      <c r="A503">
        <v>1314</v>
      </c>
      <c r="B503" s="1">
        <v>45069</v>
      </c>
      <c r="C503" s="2">
        <v>0.43472222222222223</v>
      </c>
      <c r="D503">
        <v>2</v>
      </c>
      <c r="E503" t="s">
        <v>11</v>
      </c>
      <c r="F503">
        <v>52</v>
      </c>
      <c r="G503" t="s">
        <v>12</v>
      </c>
      <c r="H503">
        <v>4</v>
      </c>
      <c r="I503">
        <v>30</v>
      </c>
      <c r="J503">
        <v>16.2</v>
      </c>
      <c r="K503">
        <v>120</v>
      </c>
    </row>
    <row r="504" spans="1:11">
      <c r="A504">
        <v>1517</v>
      </c>
      <c r="B504" s="1">
        <v>44978</v>
      </c>
      <c r="C504" s="2">
        <v>0.36527777777777776</v>
      </c>
      <c r="D504">
        <v>2</v>
      </c>
      <c r="E504" t="s">
        <v>14</v>
      </c>
      <c r="F504">
        <v>47</v>
      </c>
      <c r="G504" t="s">
        <v>12</v>
      </c>
      <c r="H504">
        <v>4</v>
      </c>
      <c r="I504">
        <v>25</v>
      </c>
      <c r="J504">
        <v>6.75</v>
      </c>
      <c r="K504">
        <v>100</v>
      </c>
    </row>
    <row r="505" spans="1:11">
      <c r="A505">
        <v>1847</v>
      </c>
      <c r="B505" s="1">
        <v>45135</v>
      </c>
      <c r="C505" s="2">
        <v>0.30138888888888887</v>
      </c>
      <c r="D505">
        <v>5</v>
      </c>
      <c r="E505" t="s">
        <v>14</v>
      </c>
      <c r="F505">
        <v>18</v>
      </c>
      <c r="G505" t="s">
        <v>15</v>
      </c>
      <c r="H505">
        <v>4</v>
      </c>
      <c r="I505">
        <v>300</v>
      </c>
      <c r="J505">
        <v>123</v>
      </c>
      <c r="K505">
        <v>1200</v>
      </c>
    </row>
    <row r="506" spans="1:11">
      <c r="A506">
        <v>61</v>
      </c>
      <c r="B506" s="1">
        <v>45114</v>
      </c>
      <c r="C506" s="2">
        <v>0.4909722222222222</v>
      </c>
      <c r="D506">
        <v>4</v>
      </c>
      <c r="E506" t="s">
        <v>11</v>
      </c>
      <c r="F506">
        <v>21</v>
      </c>
      <c r="G506" t="s">
        <v>13</v>
      </c>
      <c r="H506">
        <v>4</v>
      </c>
      <c r="I506">
        <v>50</v>
      </c>
      <c r="J506">
        <v>20</v>
      </c>
      <c r="K506">
        <v>200</v>
      </c>
    </row>
    <row r="507" spans="1:11">
      <c r="A507">
        <v>274</v>
      </c>
      <c r="B507" s="1">
        <v>45030</v>
      </c>
      <c r="C507" s="2">
        <v>0.3</v>
      </c>
      <c r="D507">
        <v>4</v>
      </c>
      <c r="E507" t="s">
        <v>14</v>
      </c>
      <c r="F507">
        <v>23</v>
      </c>
      <c r="G507" t="s">
        <v>12</v>
      </c>
      <c r="H507">
        <v>2</v>
      </c>
      <c r="I507">
        <v>500</v>
      </c>
      <c r="J507">
        <v>150</v>
      </c>
      <c r="K507">
        <v>1000</v>
      </c>
    </row>
    <row r="508" spans="1:11">
      <c r="A508">
        <v>486</v>
      </c>
      <c r="B508" s="1">
        <v>45262</v>
      </c>
      <c r="C508" s="2">
        <v>0.40763888888888888</v>
      </c>
      <c r="D508">
        <v>4</v>
      </c>
      <c r="E508" t="s">
        <v>14</v>
      </c>
      <c r="F508">
        <v>35</v>
      </c>
      <c r="G508" t="s">
        <v>15</v>
      </c>
      <c r="H508">
        <v>1</v>
      </c>
      <c r="I508">
        <v>25</v>
      </c>
      <c r="J508">
        <v>6.5</v>
      </c>
      <c r="K508">
        <v>25</v>
      </c>
    </row>
    <row r="509" spans="1:11">
      <c r="A509">
        <v>548</v>
      </c>
      <c r="B509" s="1">
        <v>45030</v>
      </c>
      <c r="C509" s="2">
        <v>0.29166666666666669</v>
      </c>
      <c r="D509">
        <v>4</v>
      </c>
      <c r="E509" t="s">
        <v>14</v>
      </c>
      <c r="F509">
        <v>51</v>
      </c>
      <c r="G509" t="s">
        <v>12</v>
      </c>
      <c r="H509">
        <v>2</v>
      </c>
      <c r="I509">
        <v>30</v>
      </c>
      <c r="J509">
        <v>15.6</v>
      </c>
      <c r="K509">
        <v>60</v>
      </c>
    </row>
    <row r="510" spans="1:11">
      <c r="A510">
        <v>886</v>
      </c>
      <c r="B510" s="1">
        <v>45271</v>
      </c>
      <c r="C510" s="2">
        <v>0.47569444444444442</v>
      </c>
      <c r="D510">
        <v>4</v>
      </c>
      <c r="E510" t="s">
        <v>11</v>
      </c>
      <c r="F510">
        <v>37</v>
      </c>
      <c r="G510" t="s">
        <v>15</v>
      </c>
      <c r="H510">
        <v>3</v>
      </c>
      <c r="I510">
        <v>300</v>
      </c>
      <c r="J510">
        <v>165</v>
      </c>
      <c r="K510">
        <v>900</v>
      </c>
    </row>
    <row r="511" spans="1:11">
      <c r="A511">
        <v>892</v>
      </c>
      <c r="B511" s="1">
        <v>45182</v>
      </c>
      <c r="C511" s="2">
        <v>0.48541666666666666</v>
      </c>
      <c r="D511">
        <v>1</v>
      </c>
      <c r="E511" t="s">
        <v>11</v>
      </c>
      <c r="F511">
        <v>20</v>
      </c>
      <c r="G511" t="s">
        <v>15</v>
      </c>
      <c r="H511">
        <v>1</v>
      </c>
      <c r="I511">
        <v>50</v>
      </c>
      <c r="J511">
        <v>24</v>
      </c>
      <c r="K511">
        <v>50</v>
      </c>
    </row>
    <row r="512" spans="1:11">
      <c r="A512">
        <v>1061</v>
      </c>
      <c r="B512" s="1">
        <v>45187</v>
      </c>
      <c r="C512" s="2">
        <v>0.33055555555555555</v>
      </c>
      <c r="D512">
        <v>3</v>
      </c>
      <c r="E512" t="s">
        <v>11</v>
      </c>
      <c r="F512">
        <v>21</v>
      </c>
      <c r="G512" t="s">
        <v>13</v>
      </c>
      <c r="H512">
        <v>4</v>
      </c>
      <c r="I512">
        <v>50</v>
      </c>
      <c r="J512">
        <v>12.5</v>
      </c>
      <c r="K512">
        <v>200</v>
      </c>
    </row>
    <row r="513" spans="1:11">
      <c r="A513">
        <v>1274</v>
      </c>
      <c r="B513" s="1">
        <v>45205</v>
      </c>
      <c r="C513" s="2">
        <v>0.37569444444444444</v>
      </c>
      <c r="D513">
        <v>2</v>
      </c>
      <c r="E513" t="s">
        <v>14</v>
      </c>
      <c r="F513">
        <v>23</v>
      </c>
      <c r="G513" t="s">
        <v>12</v>
      </c>
      <c r="H513">
        <v>2</v>
      </c>
      <c r="I513">
        <v>500</v>
      </c>
      <c r="J513">
        <v>185</v>
      </c>
      <c r="K513">
        <v>1000</v>
      </c>
    </row>
    <row r="514" spans="1:11">
      <c r="A514">
        <v>1486</v>
      </c>
      <c r="B514" s="1">
        <v>45252</v>
      </c>
      <c r="C514" s="2">
        <v>0.37361111111111112</v>
      </c>
      <c r="D514">
        <v>4</v>
      </c>
      <c r="E514" t="s">
        <v>14</v>
      </c>
      <c r="F514">
        <v>35</v>
      </c>
      <c r="G514" t="s">
        <v>15</v>
      </c>
      <c r="H514">
        <v>1</v>
      </c>
      <c r="I514">
        <v>25</v>
      </c>
      <c r="J514">
        <v>8.75</v>
      </c>
      <c r="K514">
        <v>25</v>
      </c>
    </row>
    <row r="515" spans="1:11">
      <c r="A515">
        <v>1548</v>
      </c>
      <c r="B515" s="1">
        <v>44939</v>
      </c>
      <c r="C515" s="2">
        <v>0.34375</v>
      </c>
      <c r="D515">
        <v>1</v>
      </c>
      <c r="E515" t="s">
        <v>14</v>
      </c>
      <c r="F515">
        <v>51</v>
      </c>
      <c r="G515" t="s">
        <v>12</v>
      </c>
      <c r="H515">
        <v>2</v>
      </c>
      <c r="I515">
        <v>30</v>
      </c>
      <c r="J515">
        <v>12.6</v>
      </c>
      <c r="K515">
        <v>60</v>
      </c>
    </row>
    <row r="516" spans="1:11">
      <c r="A516">
        <v>1886</v>
      </c>
      <c r="B516" s="1">
        <v>45133</v>
      </c>
      <c r="C516" s="2">
        <v>0.49375000000000002</v>
      </c>
      <c r="D516">
        <v>1</v>
      </c>
      <c r="E516" t="s">
        <v>11</v>
      </c>
      <c r="F516">
        <v>37</v>
      </c>
      <c r="G516" t="s">
        <v>15</v>
      </c>
      <c r="H516">
        <v>3</v>
      </c>
      <c r="I516">
        <v>300</v>
      </c>
      <c r="J516">
        <v>147</v>
      </c>
      <c r="K516">
        <v>900</v>
      </c>
    </row>
    <row r="517" spans="1:11">
      <c r="A517">
        <v>1892</v>
      </c>
      <c r="B517" s="1">
        <v>45200</v>
      </c>
      <c r="C517" s="2">
        <v>0.30694444444444446</v>
      </c>
      <c r="D517">
        <v>3</v>
      </c>
      <c r="E517" t="s">
        <v>11</v>
      </c>
      <c r="F517">
        <v>20</v>
      </c>
      <c r="G517" t="s">
        <v>15</v>
      </c>
      <c r="H517">
        <v>1</v>
      </c>
      <c r="I517">
        <v>50</v>
      </c>
      <c r="J517">
        <v>23.5</v>
      </c>
      <c r="K517">
        <v>50</v>
      </c>
    </row>
    <row r="518" spans="1:11">
      <c r="A518">
        <v>601</v>
      </c>
      <c r="B518" s="1">
        <v>45082</v>
      </c>
      <c r="C518" s="2">
        <v>0.39097222222222222</v>
      </c>
      <c r="D518">
        <v>5</v>
      </c>
      <c r="E518" t="s">
        <v>11</v>
      </c>
      <c r="F518">
        <v>19</v>
      </c>
      <c r="G518" t="s">
        <v>12</v>
      </c>
      <c r="H518">
        <v>1</v>
      </c>
      <c r="I518">
        <v>30</v>
      </c>
      <c r="J518">
        <v>13.2</v>
      </c>
      <c r="K518">
        <v>30</v>
      </c>
    </row>
    <row r="519" spans="1:11">
      <c r="A519">
        <v>901</v>
      </c>
      <c r="B519" s="1">
        <v>45140</v>
      </c>
      <c r="C519" s="2">
        <v>0.27638888888888891</v>
      </c>
      <c r="D519">
        <v>2</v>
      </c>
      <c r="E519" t="s">
        <v>11</v>
      </c>
      <c r="F519">
        <v>31</v>
      </c>
      <c r="G519" t="s">
        <v>15</v>
      </c>
      <c r="H519">
        <v>1</v>
      </c>
      <c r="I519">
        <v>30</v>
      </c>
      <c r="J519">
        <v>12</v>
      </c>
      <c r="K519">
        <v>30</v>
      </c>
    </row>
    <row r="520" spans="1:11">
      <c r="A520">
        <v>1601</v>
      </c>
      <c r="B520" s="1">
        <v>45183</v>
      </c>
      <c r="C520" s="2">
        <v>0.49166666666666664</v>
      </c>
      <c r="D520">
        <v>1</v>
      </c>
      <c r="E520" t="s">
        <v>11</v>
      </c>
      <c r="F520">
        <v>19</v>
      </c>
      <c r="G520" t="s">
        <v>12</v>
      </c>
      <c r="H520">
        <v>1</v>
      </c>
      <c r="I520">
        <v>30</v>
      </c>
      <c r="J520">
        <v>13.5</v>
      </c>
      <c r="K520">
        <v>30</v>
      </c>
    </row>
    <row r="521" spans="1:11">
      <c r="A521">
        <v>1901</v>
      </c>
      <c r="B521" s="1">
        <v>45259</v>
      </c>
      <c r="C521" s="2">
        <v>0.46180555555555558</v>
      </c>
      <c r="D521">
        <v>4</v>
      </c>
      <c r="E521" t="s">
        <v>11</v>
      </c>
      <c r="F521">
        <v>31</v>
      </c>
      <c r="G521" t="s">
        <v>15</v>
      </c>
      <c r="H521">
        <v>1</v>
      </c>
      <c r="I521">
        <v>30</v>
      </c>
      <c r="J521">
        <v>8.4</v>
      </c>
      <c r="K521">
        <v>30</v>
      </c>
    </row>
    <row r="522" spans="1:11">
      <c r="A522">
        <v>527</v>
      </c>
      <c r="B522" s="1">
        <v>45037</v>
      </c>
      <c r="C522" s="2">
        <v>0.4826388888888889</v>
      </c>
      <c r="D522">
        <v>1</v>
      </c>
      <c r="E522" t="s">
        <v>11</v>
      </c>
      <c r="F522">
        <v>57</v>
      </c>
      <c r="G522" t="s">
        <v>12</v>
      </c>
      <c r="H522">
        <v>2</v>
      </c>
      <c r="I522">
        <v>25</v>
      </c>
      <c r="J522">
        <v>11.5</v>
      </c>
      <c r="K522">
        <v>50</v>
      </c>
    </row>
    <row r="523" spans="1:11">
      <c r="A523">
        <v>1527</v>
      </c>
      <c r="B523" s="1">
        <v>45198</v>
      </c>
      <c r="C523" s="2">
        <v>0.35416666666666669</v>
      </c>
      <c r="D523">
        <v>1</v>
      </c>
      <c r="E523" t="s">
        <v>11</v>
      </c>
      <c r="F523">
        <v>57</v>
      </c>
      <c r="G523" t="s">
        <v>12</v>
      </c>
      <c r="H523">
        <v>2</v>
      </c>
      <c r="I523">
        <v>25</v>
      </c>
      <c r="J523">
        <v>11.75</v>
      </c>
      <c r="K523">
        <v>50</v>
      </c>
    </row>
    <row r="524" spans="1:11">
      <c r="A524">
        <v>23</v>
      </c>
      <c r="B524" s="1">
        <v>45197</v>
      </c>
      <c r="C524" s="2">
        <v>0.2951388888888889</v>
      </c>
      <c r="D524">
        <v>4</v>
      </c>
      <c r="E524" t="s">
        <v>14</v>
      </c>
      <c r="F524">
        <v>35</v>
      </c>
      <c r="G524" t="s">
        <v>12</v>
      </c>
      <c r="H524">
        <v>4</v>
      </c>
      <c r="I524">
        <v>30</v>
      </c>
      <c r="J524">
        <v>14.7</v>
      </c>
      <c r="K524">
        <v>120</v>
      </c>
    </row>
    <row r="525" spans="1:11">
      <c r="A525">
        <v>174</v>
      </c>
      <c r="B525" s="1">
        <v>45245</v>
      </c>
      <c r="C525" s="2">
        <v>0.25486111111111109</v>
      </c>
      <c r="D525">
        <v>2</v>
      </c>
      <c r="E525" t="s">
        <v>14</v>
      </c>
      <c r="F525">
        <v>39</v>
      </c>
      <c r="G525" t="s">
        <v>13</v>
      </c>
      <c r="H525">
        <v>1</v>
      </c>
      <c r="I525">
        <v>300</v>
      </c>
      <c r="J525">
        <v>126</v>
      </c>
      <c r="K525">
        <v>300</v>
      </c>
    </row>
    <row r="526" spans="1:11">
      <c r="A526">
        <v>589</v>
      </c>
      <c r="B526" s="1">
        <v>45115</v>
      </c>
      <c r="C526" s="2">
        <v>0.29930555555555555</v>
      </c>
      <c r="D526">
        <v>5</v>
      </c>
      <c r="E526" t="s">
        <v>14</v>
      </c>
      <c r="F526">
        <v>36</v>
      </c>
      <c r="G526" t="s">
        <v>13</v>
      </c>
      <c r="H526">
        <v>2</v>
      </c>
      <c r="I526">
        <v>500</v>
      </c>
      <c r="J526">
        <v>145</v>
      </c>
      <c r="K526">
        <v>1000</v>
      </c>
    </row>
    <row r="527" spans="1:11">
      <c r="A527">
        <v>774</v>
      </c>
      <c r="B527" s="1">
        <v>45236</v>
      </c>
      <c r="C527" s="2">
        <v>0.37777777777777777</v>
      </c>
      <c r="D527">
        <v>2</v>
      </c>
      <c r="E527" t="s">
        <v>14</v>
      </c>
      <c r="F527">
        <v>40</v>
      </c>
      <c r="G527" t="s">
        <v>12</v>
      </c>
      <c r="H527">
        <v>2</v>
      </c>
      <c r="I527">
        <v>25</v>
      </c>
      <c r="J527">
        <v>6.5</v>
      </c>
      <c r="K527">
        <v>50</v>
      </c>
    </row>
    <row r="528" spans="1:11">
      <c r="A528">
        <v>1000</v>
      </c>
      <c r="B528" s="1">
        <v>45017</v>
      </c>
      <c r="C528" s="2">
        <v>0.43194444444444446</v>
      </c>
      <c r="D528">
        <v>1</v>
      </c>
      <c r="E528" t="s">
        <v>11</v>
      </c>
      <c r="F528">
        <v>47</v>
      </c>
      <c r="G528" t="s">
        <v>15</v>
      </c>
      <c r="H528">
        <v>4</v>
      </c>
      <c r="I528">
        <v>30</v>
      </c>
      <c r="J528">
        <v>8.4</v>
      </c>
      <c r="K528">
        <v>120</v>
      </c>
    </row>
    <row r="529" spans="1:11">
      <c r="A529">
        <v>1023</v>
      </c>
      <c r="B529" s="1">
        <v>45069</v>
      </c>
      <c r="C529" s="2">
        <v>0.3611111111111111</v>
      </c>
      <c r="D529">
        <v>5</v>
      </c>
      <c r="E529" t="s">
        <v>14</v>
      </c>
      <c r="F529">
        <v>35</v>
      </c>
      <c r="G529" t="s">
        <v>12</v>
      </c>
      <c r="H529">
        <v>4</v>
      </c>
      <c r="I529">
        <v>30</v>
      </c>
      <c r="J529">
        <v>8.1</v>
      </c>
      <c r="K529">
        <v>120</v>
      </c>
    </row>
    <row r="530" spans="1:11">
      <c r="A530">
        <v>1174</v>
      </c>
      <c r="B530" s="1">
        <v>45063</v>
      </c>
      <c r="C530" s="2">
        <v>0.28819444444444442</v>
      </c>
      <c r="D530">
        <v>2</v>
      </c>
      <c r="E530" t="s">
        <v>14</v>
      </c>
      <c r="F530">
        <v>39</v>
      </c>
      <c r="G530" t="s">
        <v>13</v>
      </c>
      <c r="H530">
        <v>1</v>
      </c>
      <c r="I530">
        <v>300</v>
      </c>
      <c r="J530">
        <v>132</v>
      </c>
      <c r="K530">
        <v>300</v>
      </c>
    </row>
    <row r="531" spans="1:11">
      <c r="A531">
        <v>1589</v>
      </c>
      <c r="B531" s="1">
        <v>45108</v>
      </c>
      <c r="C531" s="2">
        <v>0.27083333333333331</v>
      </c>
      <c r="D531">
        <v>5</v>
      </c>
      <c r="E531" t="s">
        <v>14</v>
      </c>
      <c r="F531">
        <v>36</v>
      </c>
      <c r="G531" t="s">
        <v>13</v>
      </c>
      <c r="H531">
        <v>2</v>
      </c>
      <c r="I531">
        <v>500</v>
      </c>
      <c r="J531">
        <v>145</v>
      </c>
      <c r="K531">
        <v>1000</v>
      </c>
    </row>
    <row r="532" spans="1:11">
      <c r="A532">
        <v>1774</v>
      </c>
      <c r="B532" s="1">
        <v>44994</v>
      </c>
      <c r="C532" s="2">
        <v>0.28333333333333333</v>
      </c>
      <c r="D532">
        <v>2</v>
      </c>
      <c r="E532" t="s">
        <v>14</v>
      </c>
      <c r="F532">
        <v>40</v>
      </c>
      <c r="G532" t="s">
        <v>12</v>
      </c>
      <c r="H532">
        <v>2</v>
      </c>
      <c r="I532">
        <v>25</v>
      </c>
      <c r="J532">
        <v>8</v>
      </c>
      <c r="K532">
        <v>50</v>
      </c>
    </row>
    <row r="533" spans="1:11">
      <c r="A533">
        <v>2000</v>
      </c>
      <c r="B533" s="1">
        <v>45016</v>
      </c>
      <c r="C533" s="2">
        <v>0.27638888888888891</v>
      </c>
      <c r="D533">
        <v>4</v>
      </c>
      <c r="E533" t="s">
        <v>11</v>
      </c>
      <c r="F533">
        <v>47</v>
      </c>
      <c r="G533" t="s">
        <v>15</v>
      </c>
      <c r="H533">
        <v>4</v>
      </c>
      <c r="I533">
        <v>30</v>
      </c>
      <c r="J533">
        <v>10.8</v>
      </c>
      <c r="K533">
        <v>120</v>
      </c>
    </row>
    <row r="534" spans="1:11">
      <c r="A534">
        <v>210</v>
      </c>
      <c r="B534" s="1">
        <v>45206</v>
      </c>
      <c r="C534" s="2">
        <v>0.36805555555555558</v>
      </c>
      <c r="D534">
        <v>2</v>
      </c>
      <c r="E534" t="s">
        <v>11</v>
      </c>
      <c r="F534">
        <v>37</v>
      </c>
      <c r="G534" t="s">
        <v>15</v>
      </c>
      <c r="H534">
        <v>4</v>
      </c>
      <c r="I534">
        <v>50</v>
      </c>
      <c r="J534">
        <v>19</v>
      </c>
      <c r="K534">
        <v>200</v>
      </c>
    </row>
    <row r="535" spans="1:11">
      <c r="A535">
        <v>478</v>
      </c>
      <c r="B535" s="1">
        <v>45131</v>
      </c>
      <c r="C535" s="2">
        <v>0.46736111111111112</v>
      </c>
      <c r="D535">
        <v>3</v>
      </c>
      <c r="E535" t="s">
        <v>14</v>
      </c>
      <c r="F535">
        <v>58</v>
      </c>
      <c r="G535" t="s">
        <v>12</v>
      </c>
      <c r="H535">
        <v>2</v>
      </c>
      <c r="I535">
        <v>30</v>
      </c>
      <c r="J535">
        <v>8.1</v>
      </c>
      <c r="K535">
        <v>60</v>
      </c>
    </row>
    <row r="536" spans="1:11">
      <c r="A536">
        <v>745</v>
      </c>
      <c r="B536" s="1">
        <v>45152</v>
      </c>
      <c r="C536" s="2">
        <v>0.3125</v>
      </c>
      <c r="D536">
        <v>3</v>
      </c>
      <c r="E536" t="s">
        <v>11</v>
      </c>
      <c r="F536">
        <v>54</v>
      </c>
      <c r="G536" t="s">
        <v>13</v>
      </c>
      <c r="H536">
        <v>2</v>
      </c>
      <c r="I536">
        <v>50</v>
      </c>
      <c r="J536">
        <v>17</v>
      </c>
      <c r="K536">
        <v>100</v>
      </c>
    </row>
    <row r="537" spans="1:11">
      <c r="A537">
        <v>1210</v>
      </c>
      <c r="B537" s="1">
        <v>44995</v>
      </c>
      <c r="C537" s="2">
        <v>0.41805555555555557</v>
      </c>
      <c r="D537">
        <v>5</v>
      </c>
      <c r="E537" t="s">
        <v>11</v>
      </c>
      <c r="F537">
        <v>37</v>
      </c>
      <c r="G537" t="s">
        <v>15</v>
      </c>
      <c r="H537">
        <v>4</v>
      </c>
      <c r="I537">
        <v>50</v>
      </c>
      <c r="J537">
        <v>12.5</v>
      </c>
      <c r="K537">
        <v>200</v>
      </c>
    </row>
    <row r="538" spans="1:11">
      <c r="A538">
        <v>1478</v>
      </c>
      <c r="B538" s="1">
        <v>45169</v>
      </c>
      <c r="C538" s="2">
        <v>0.38750000000000001</v>
      </c>
      <c r="D538">
        <v>1</v>
      </c>
      <c r="E538" t="s">
        <v>14</v>
      </c>
      <c r="F538">
        <v>58</v>
      </c>
      <c r="G538" t="s">
        <v>12</v>
      </c>
      <c r="H538">
        <v>2</v>
      </c>
      <c r="I538">
        <v>30</v>
      </c>
      <c r="J538">
        <v>13.5</v>
      </c>
      <c r="K538">
        <v>60</v>
      </c>
    </row>
    <row r="539" spans="1:11">
      <c r="A539">
        <v>1745</v>
      </c>
      <c r="B539" s="1">
        <v>45197</v>
      </c>
      <c r="C539" s="2">
        <v>0.44305555555555554</v>
      </c>
      <c r="D539">
        <v>4</v>
      </c>
      <c r="E539" t="s">
        <v>11</v>
      </c>
      <c r="F539">
        <v>54</v>
      </c>
      <c r="G539" t="s">
        <v>13</v>
      </c>
      <c r="H539">
        <v>2</v>
      </c>
      <c r="I539">
        <v>50</v>
      </c>
      <c r="J539">
        <v>21</v>
      </c>
      <c r="K539">
        <v>100</v>
      </c>
    </row>
    <row r="540" spans="1:11">
      <c r="A540">
        <v>354</v>
      </c>
      <c r="B540" s="1">
        <v>45276</v>
      </c>
      <c r="C540" s="2">
        <v>0.33194444444444443</v>
      </c>
      <c r="D540">
        <v>5</v>
      </c>
      <c r="E540" t="s">
        <v>14</v>
      </c>
      <c r="F540">
        <v>49</v>
      </c>
      <c r="G540" t="s">
        <v>13</v>
      </c>
      <c r="H540">
        <v>4</v>
      </c>
      <c r="I540">
        <v>50</v>
      </c>
      <c r="J540">
        <v>24.5</v>
      </c>
      <c r="K540">
        <v>200</v>
      </c>
    </row>
    <row r="541" spans="1:11">
      <c r="A541">
        <v>408</v>
      </c>
      <c r="B541" s="1">
        <v>45282</v>
      </c>
      <c r="C541" s="2">
        <v>0.34583333333333333</v>
      </c>
      <c r="D541">
        <v>4</v>
      </c>
      <c r="E541" t="s">
        <v>14</v>
      </c>
      <c r="F541">
        <v>64</v>
      </c>
      <c r="G541" t="s">
        <v>13</v>
      </c>
      <c r="H541">
        <v>1</v>
      </c>
      <c r="I541">
        <v>500</v>
      </c>
      <c r="J541">
        <v>140</v>
      </c>
      <c r="K541">
        <v>500</v>
      </c>
    </row>
    <row r="542" spans="1:11">
      <c r="A542">
        <v>1354</v>
      </c>
      <c r="B542" s="1">
        <v>45186</v>
      </c>
      <c r="C542" s="2">
        <v>0.39861111111111114</v>
      </c>
      <c r="D542">
        <v>5</v>
      </c>
      <c r="E542" t="s">
        <v>14</v>
      </c>
      <c r="F542">
        <v>49</v>
      </c>
      <c r="G542" t="s">
        <v>13</v>
      </c>
      <c r="H542">
        <v>4</v>
      </c>
      <c r="I542">
        <v>50</v>
      </c>
      <c r="J542">
        <v>26.5</v>
      </c>
      <c r="K542">
        <v>200</v>
      </c>
    </row>
    <row r="543" spans="1:11">
      <c r="A543">
        <v>1408</v>
      </c>
      <c r="B543" s="1">
        <v>45166</v>
      </c>
      <c r="C543" s="2">
        <v>0.34513888888888888</v>
      </c>
      <c r="D543">
        <v>2</v>
      </c>
      <c r="E543" t="s">
        <v>14</v>
      </c>
      <c r="F543">
        <v>64</v>
      </c>
      <c r="G543" t="s">
        <v>13</v>
      </c>
      <c r="H543">
        <v>1</v>
      </c>
      <c r="I543">
        <v>500</v>
      </c>
      <c r="J543">
        <v>250</v>
      </c>
      <c r="K543">
        <v>500</v>
      </c>
    </row>
    <row r="544" spans="1:11">
      <c r="A544">
        <v>674</v>
      </c>
      <c r="B544" s="1">
        <v>45015</v>
      </c>
      <c r="C544" s="2">
        <v>0.46527777777777779</v>
      </c>
      <c r="D544">
        <v>2</v>
      </c>
      <c r="E544" t="s">
        <v>14</v>
      </c>
      <c r="F544">
        <v>38</v>
      </c>
      <c r="G544" t="s">
        <v>12</v>
      </c>
      <c r="H544">
        <v>1</v>
      </c>
      <c r="I544">
        <v>300</v>
      </c>
      <c r="J544">
        <v>84</v>
      </c>
      <c r="K544">
        <v>300</v>
      </c>
    </row>
    <row r="545" spans="1:11">
      <c r="A545">
        <v>1674</v>
      </c>
      <c r="B545" s="1">
        <v>45252</v>
      </c>
      <c r="C545" s="2">
        <v>0.38958333333333334</v>
      </c>
      <c r="D545">
        <v>1</v>
      </c>
      <c r="E545" t="s">
        <v>14</v>
      </c>
      <c r="F545">
        <v>38</v>
      </c>
      <c r="G545" t="s">
        <v>12</v>
      </c>
      <c r="H545">
        <v>1</v>
      </c>
      <c r="I545">
        <v>300</v>
      </c>
      <c r="J545">
        <v>123</v>
      </c>
      <c r="K545">
        <v>300</v>
      </c>
    </row>
    <row r="546" spans="1:11">
      <c r="A546">
        <v>967</v>
      </c>
      <c r="B546" s="1">
        <v>45142</v>
      </c>
      <c r="C546" s="2">
        <v>0.42569444444444443</v>
      </c>
      <c r="D546">
        <v>4</v>
      </c>
      <c r="E546" t="s">
        <v>11</v>
      </c>
      <c r="F546">
        <v>62</v>
      </c>
      <c r="G546" t="s">
        <v>13</v>
      </c>
      <c r="H546">
        <v>1</v>
      </c>
      <c r="I546">
        <v>25</v>
      </c>
      <c r="J546">
        <v>13.25</v>
      </c>
      <c r="K546">
        <v>25</v>
      </c>
    </row>
    <row r="547" spans="1:11">
      <c r="A547">
        <v>1967</v>
      </c>
      <c r="B547" s="1">
        <v>44980</v>
      </c>
      <c r="C547" s="2">
        <v>0.3527777777777778</v>
      </c>
      <c r="D547">
        <v>4</v>
      </c>
      <c r="E547" t="s">
        <v>11</v>
      </c>
      <c r="F547">
        <v>62</v>
      </c>
      <c r="G547" t="s">
        <v>13</v>
      </c>
      <c r="H547">
        <v>1</v>
      </c>
      <c r="I547">
        <v>25</v>
      </c>
      <c r="J547">
        <v>12.25</v>
      </c>
      <c r="K547">
        <v>25</v>
      </c>
    </row>
    <row r="548" spans="1:11">
      <c r="A548">
        <v>79</v>
      </c>
      <c r="B548" s="1">
        <v>45029</v>
      </c>
      <c r="C548" s="2">
        <v>0.42708333333333331</v>
      </c>
      <c r="D548">
        <v>1</v>
      </c>
      <c r="E548" t="s">
        <v>11</v>
      </c>
      <c r="F548">
        <v>34</v>
      </c>
      <c r="G548" t="s">
        <v>13</v>
      </c>
      <c r="H548">
        <v>1</v>
      </c>
      <c r="I548">
        <v>300</v>
      </c>
      <c r="J548">
        <v>96</v>
      </c>
      <c r="K548">
        <v>300</v>
      </c>
    </row>
    <row r="549" spans="1:11">
      <c r="A549">
        <v>406</v>
      </c>
      <c r="B549" s="1">
        <v>45017</v>
      </c>
      <c r="C549" s="2">
        <v>0.49305555555555558</v>
      </c>
      <c r="D549">
        <v>3</v>
      </c>
      <c r="E549" t="s">
        <v>14</v>
      </c>
      <c r="F549">
        <v>22</v>
      </c>
      <c r="G549" t="s">
        <v>13</v>
      </c>
      <c r="H549">
        <v>4</v>
      </c>
      <c r="I549">
        <v>25</v>
      </c>
      <c r="J549">
        <v>11</v>
      </c>
      <c r="K549">
        <v>100</v>
      </c>
    </row>
    <row r="550" spans="1:11">
      <c r="A550">
        <v>450</v>
      </c>
      <c r="B550" s="1">
        <v>45261</v>
      </c>
      <c r="C550" s="2">
        <v>0.27430555555555558</v>
      </c>
      <c r="D550">
        <v>2</v>
      </c>
      <c r="E550" t="s">
        <v>14</v>
      </c>
      <c r="F550">
        <v>59</v>
      </c>
      <c r="G550" t="s">
        <v>13</v>
      </c>
      <c r="H550">
        <v>2</v>
      </c>
      <c r="I550">
        <v>25</v>
      </c>
      <c r="J550">
        <v>11</v>
      </c>
      <c r="K550">
        <v>50</v>
      </c>
    </row>
    <row r="551" spans="1:11">
      <c r="A551">
        <v>562</v>
      </c>
      <c r="B551" s="1">
        <v>45239</v>
      </c>
      <c r="C551" s="2">
        <v>0.39305555555555555</v>
      </c>
      <c r="D551">
        <v>3</v>
      </c>
      <c r="E551" t="s">
        <v>11</v>
      </c>
      <c r="F551">
        <v>54</v>
      </c>
      <c r="G551" t="s">
        <v>15</v>
      </c>
      <c r="H551">
        <v>2</v>
      </c>
      <c r="I551">
        <v>25</v>
      </c>
      <c r="J551">
        <v>7.25</v>
      </c>
      <c r="K551">
        <v>50</v>
      </c>
    </row>
    <row r="552" spans="1:11">
      <c r="A552">
        <v>1079</v>
      </c>
      <c r="B552" s="1">
        <v>45159</v>
      </c>
      <c r="C552" s="2">
        <v>0.28125</v>
      </c>
      <c r="D552">
        <v>1</v>
      </c>
      <c r="E552" t="s">
        <v>11</v>
      </c>
      <c r="F552">
        <v>34</v>
      </c>
      <c r="G552" t="s">
        <v>13</v>
      </c>
      <c r="H552">
        <v>1</v>
      </c>
      <c r="I552">
        <v>300</v>
      </c>
      <c r="J552">
        <v>117</v>
      </c>
      <c r="K552">
        <v>300</v>
      </c>
    </row>
    <row r="553" spans="1:11">
      <c r="A553">
        <v>1406</v>
      </c>
      <c r="B553" s="1">
        <v>45099</v>
      </c>
      <c r="C553" s="2">
        <v>0.36458333333333331</v>
      </c>
      <c r="D553">
        <v>2</v>
      </c>
      <c r="E553" t="s">
        <v>14</v>
      </c>
      <c r="F553">
        <v>22</v>
      </c>
      <c r="G553" t="s">
        <v>13</v>
      </c>
      <c r="H553">
        <v>4</v>
      </c>
      <c r="I553">
        <v>25</v>
      </c>
      <c r="J553">
        <v>10</v>
      </c>
      <c r="K553">
        <v>100</v>
      </c>
    </row>
    <row r="554" spans="1:11">
      <c r="A554">
        <v>1450</v>
      </c>
      <c r="B554" s="1">
        <v>45123</v>
      </c>
      <c r="C554" s="2">
        <v>0.36944444444444446</v>
      </c>
      <c r="D554">
        <v>1</v>
      </c>
      <c r="E554" t="s">
        <v>14</v>
      </c>
      <c r="F554">
        <v>59</v>
      </c>
      <c r="G554" t="s">
        <v>13</v>
      </c>
      <c r="H554">
        <v>2</v>
      </c>
      <c r="I554">
        <v>25</v>
      </c>
      <c r="J554">
        <v>10.25</v>
      </c>
      <c r="K554">
        <v>50</v>
      </c>
    </row>
    <row r="555" spans="1:11">
      <c r="A555">
        <v>1562</v>
      </c>
      <c r="B555" s="1">
        <v>45256</v>
      </c>
      <c r="C555" s="2">
        <v>0.43125000000000002</v>
      </c>
      <c r="D555">
        <v>5</v>
      </c>
      <c r="E555" t="s">
        <v>11</v>
      </c>
      <c r="F555">
        <v>54</v>
      </c>
      <c r="G555" t="s">
        <v>15</v>
      </c>
      <c r="H555">
        <v>2</v>
      </c>
      <c r="I555">
        <v>25</v>
      </c>
      <c r="J555">
        <v>12.75</v>
      </c>
      <c r="K555">
        <v>50</v>
      </c>
    </row>
    <row r="556" spans="1:11">
      <c r="A556">
        <v>108</v>
      </c>
      <c r="B556" s="1">
        <v>44950</v>
      </c>
      <c r="C556" s="2">
        <v>0.40138888888888891</v>
      </c>
      <c r="D556">
        <v>5</v>
      </c>
      <c r="E556" t="s">
        <v>14</v>
      </c>
      <c r="F556">
        <v>27</v>
      </c>
      <c r="G556" t="s">
        <v>13</v>
      </c>
      <c r="H556">
        <v>3</v>
      </c>
      <c r="I556">
        <v>25</v>
      </c>
      <c r="J556">
        <v>13.5</v>
      </c>
      <c r="K556">
        <v>75</v>
      </c>
    </row>
    <row r="557" spans="1:11">
      <c r="A557">
        <v>111</v>
      </c>
      <c r="B557" s="1">
        <v>45031</v>
      </c>
      <c r="C557" s="2">
        <v>0.40625</v>
      </c>
      <c r="D557">
        <v>5</v>
      </c>
      <c r="E557" t="s">
        <v>14</v>
      </c>
      <c r="F557">
        <v>34</v>
      </c>
      <c r="G557" t="s">
        <v>15</v>
      </c>
      <c r="H557">
        <v>3</v>
      </c>
      <c r="I557">
        <v>500</v>
      </c>
      <c r="J557">
        <v>130</v>
      </c>
      <c r="K557">
        <v>1500</v>
      </c>
    </row>
    <row r="558" spans="1:11">
      <c r="A558">
        <v>207</v>
      </c>
      <c r="B558" s="1">
        <v>45144</v>
      </c>
      <c r="C558" s="2">
        <v>0.35694444444444445</v>
      </c>
      <c r="D558">
        <v>3</v>
      </c>
      <c r="E558" t="s">
        <v>14</v>
      </c>
      <c r="F558">
        <v>42</v>
      </c>
      <c r="G558" t="s">
        <v>13</v>
      </c>
      <c r="H558">
        <v>2</v>
      </c>
      <c r="I558">
        <v>25</v>
      </c>
      <c r="J558">
        <v>10.25</v>
      </c>
      <c r="K558">
        <v>50</v>
      </c>
    </row>
    <row r="559" spans="1:11">
      <c r="A559">
        <v>724</v>
      </c>
      <c r="B559" s="1">
        <v>45091</v>
      </c>
      <c r="C559" s="2">
        <v>0.28888888888888886</v>
      </c>
      <c r="D559">
        <v>3</v>
      </c>
      <c r="E559" t="s">
        <v>11</v>
      </c>
      <c r="F559">
        <v>61</v>
      </c>
      <c r="G559" t="s">
        <v>12</v>
      </c>
      <c r="H559">
        <v>3</v>
      </c>
      <c r="I559">
        <v>50</v>
      </c>
      <c r="J559">
        <v>20</v>
      </c>
      <c r="K559">
        <v>150</v>
      </c>
    </row>
    <row r="560" spans="1:11">
      <c r="A560">
        <v>836</v>
      </c>
      <c r="B560" s="1">
        <v>45098</v>
      </c>
      <c r="C560" s="2">
        <v>0.2722222222222222</v>
      </c>
      <c r="D560">
        <v>2</v>
      </c>
      <c r="E560" t="s">
        <v>14</v>
      </c>
      <c r="F560">
        <v>22</v>
      </c>
      <c r="G560" t="s">
        <v>12</v>
      </c>
      <c r="H560">
        <v>1</v>
      </c>
      <c r="I560">
        <v>50</v>
      </c>
      <c r="J560">
        <v>27.5</v>
      </c>
      <c r="K560">
        <v>50</v>
      </c>
    </row>
    <row r="561" spans="1:11">
      <c r="A561">
        <v>969</v>
      </c>
      <c r="B561" s="1">
        <v>45257</v>
      </c>
      <c r="C561" s="2">
        <v>0.4909722222222222</v>
      </c>
      <c r="D561">
        <v>2</v>
      </c>
      <c r="E561" t="s">
        <v>14</v>
      </c>
      <c r="F561">
        <v>40</v>
      </c>
      <c r="G561" t="s">
        <v>12</v>
      </c>
      <c r="H561">
        <v>3</v>
      </c>
      <c r="I561">
        <v>300</v>
      </c>
      <c r="J561">
        <v>84</v>
      </c>
      <c r="K561">
        <v>900</v>
      </c>
    </row>
    <row r="562" spans="1:11">
      <c r="A562">
        <v>1108</v>
      </c>
      <c r="B562" s="1">
        <v>45115</v>
      </c>
      <c r="C562" s="2">
        <v>0.43541666666666667</v>
      </c>
      <c r="D562">
        <v>1</v>
      </c>
      <c r="E562" t="s">
        <v>14</v>
      </c>
      <c r="F562">
        <v>27</v>
      </c>
      <c r="G562" t="s">
        <v>13</v>
      </c>
      <c r="H562">
        <v>3</v>
      </c>
      <c r="I562">
        <v>25</v>
      </c>
      <c r="J562">
        <v>10</v>
      </c>
      <c r="K562">
        <v>75</v>
      </c>
    </row>
    <row r="563" spans="1:11">
      <c r="A563">
        <v>1111</v>
      </c>
      <c r="B563" s="1">
        <v>45046</v>
      </c>
      <c r="C563" s="2">
        <v>0.89861111111111114</v>
      </c>
      <c r="D563">
        <v>2</v>
      </c>
      <c r="E563" t="s">
        <v>14</v>
      </c>
      <c r="F563">
        <v>34</v>
      </c>
      <c r="G563" t="s">
        <v>15</v>
      </c>
      <c r="H563">
        <v>3</v>
      </c>
      <c r="I563">
        <v>500</v>
      </c>
      <c r="J563">
        <v>185</v>
      </c>
      <c r="K563">
        <v>1500</v>
      </c>
    </row>
    <row r="564" spans="1:11">
      <c r="A564">
        <v>1207</v>
      </c>
      <c r="B564" s="1">
        <v>45107</v>
      </c>
      <c r="C564" s="2">
        <v>0.90833333333333333</v>
      </c>
      <c r="D564">
        <v>3</v>
      </c>
      <c r="E564" t="s">
        <v>14</v>
      </c>
      <c r="F564">
        <v>42</v>
      </c>
      <c r="G564" t="s">
        <v>13</v>
      </c>
      <c r="H564">
        <v>2</v>
      </c>
      <c r="I564">
        <v>25</v>
      </c>
      <c r="J564">
        <v>10</v>
      </c>
      <c r="K564">
        <v>50</v>
      </c>
    </row>
    <row r="565" spans="1:11">
      <c r="A565">
        <v>1724</v>
      </c>
      <c r="B565" s="1">
        <v>45184</v>
      </c>
      <c r="C565" s="2">
        <v>0.87013888888888891</v>
      </c>
      <c r="D565">
        <v>4</v>
      </c>
      <c r="E565" t="s">
        <v>11</v>
      </c>
      <c r="F565">
        <v>61</v>
      </c>
      <c r="G565" t="s">
        <v>12</v>
      </c>
      <c r="H565">
        <v>3</v>
      </c>
      <c r="I565">
        <v>50</v>
      </c>
      <c r="J565">
        <v>17</v>
      </c>
      <c r="K565">
        <v>150</v>
      </c>
    </row>
    <row r="566" spans="1:11">
      <c r="A566">
        <v>1836</v>
      </c>
      <c r="B566" s="1">
        <v>44970</v>
      </c>
      <c r="C566" s="2">
        <v>0.72152777777777777</v>
      </c>
      <c r="D566">
        <v>3</v>
      </c>
      <c r="E566" t="s">
        <v>14</v>
      </c>
      <c r="F566">
        <v>22</v>
      </c>
      <c r="G566" t="s">
        <v>12</v>
      </c>
      <c r="H566">
        <v>1</v>
      </c>
      <c r="I566">
        <v>50</v>
      </c>
      <c r="J566">
        <v>23.5</v>
      </c>
      <c r="K566">
        <v>50</v>
      </c>
    </row>
    <row r="567" spans="1:11">
      <c r="A567">
        <v>1969</v>
      </c>
      <c r="B567" s="1">
        <v>44990</v>
      </c>
      <c r="C567" s="2">
        <v>0.81527777777777777</v>
      </c>
      <c r="D567">
        <v>4</v>
      </c>
      <c r="E567" t="s">
        <v>14</v>
      </c>
      <c r="F567">
        <v>40</v>
      </c>
      <c r="G567" t="s">
        <v>12</v>
      </c>
      <c r="H567">
        <v>3</v>
      </c>
      <c r="I567">
        <v>300</v>
      </c>
      <c r="J567">
        <v>126</v>
      </c>
      <c r="K567">
        <v>900</v>
      </c>
    </row>
    <row r="568" spans="1:11">
      <c r="A568">
        <v>246</v>
      </c>
      <c r="B568" s="1">
        <v>45267</v>
      </c>
      <c r="C568" s="2">
        <v>0.83680555555555558</v>
      </c>
      <c r="D568">
        <v>4</v>
      </c>
      <c r="E568" t="s">
        <v>14</v>
      </c>
      <c r="F568">
        <v>48</v>
      </c>
      <c r="G568" t="s">
        <v>15</v>
      </c>
      <c r="H568">
        <v>2</v>
      </c>
      <c r="I568">
        <v>25</v>
      </c>
      <c r="J568">
        <v>13.25</v>
      </c>
      <c r="K568">
        <v>50</v>
      </c>
    </row>
    <row r="569" spans="1:11">
      <c r="A569">
        <v>298</v>
      </c>
      <c r="B569" s="1">
        <v>45204</v>
      </c>
      <c r="C569" s="2">
        <v>0.79513888888888884</v>
      </c>
      <c r="D569">
        <v>3</v>
      </c>
      <c r="E569" t="s">
        <v>11</v>
      </c>
      <c r="F569">
        <v>27</v>
      </c>
      <c r="G569" t="s">
        <v>13</v>
      </c>
      <c r="H569">
        <v>4</v>
      </c>
      <c r="I569">
        <v>300</v>
      </c>
      <c r="J569">
        <v>84</v>
      </c>
      <c r="K569">
        <v>1200</v>
      </c>
    </row>
    <row r="570" spans="1:11">
      <c r="A570">
        <v>374</v>
      </c>
      <c r="B570" s="1">
        <v>45226</v>
      </c>
      <c r="C570" s="2">
        <v>0.73958333333333337</v>
      </c>
      <c r="D570">
        <v>4</v>
      </c>
      <c r="E570" t="s">
        <v>14</v>
      </c>
      <c r="F570">
        <v>59</v>
      </c>
      <c r="G570" t="s">
        <v>13</v>
      </c>
      <c r="H570">
        <v>3</v>
      </c>
      <c r="I570">
        <v>25</v>
      </c>
      <c r="J570">
        <v>7.75</v>
      </c>
      <c r="K570">
        <v>75</v>
      </c>
    </row>
    <row r="571" spans="1:11">
      <c r="A571">
        <v>572</v>
      </c>
      <c r="B571" s="1">
        <v>45273</v>
      </c>
      <c r="C571" s="2">
        <v>0.7729166666666667</v>
      </c>
      <c r="D571">
        <v>5</v>
      </c>
      <c r="E571" t="s">
        <v>11</v>
      </c>
      <c r="F571">
        <v>31</v>
      </c>
      <c r="G571" t="s">
        <v>12</v>
      </c>
      <c r="H571">
        <v>4</v>
      </c>
      <c r="I571">
        <v>500</v>
      </c>
      <c r="J571">
        <v>185</v>
      </c>
      <c r="K571">
        <v>2000</v>
      </c>
    </row>
    <row r="572" spans="1:11">
      <c r="A572">
        <v>665</v>
      </c>
      <c r="B572" s="1">
        <v>45202</v>
      </c>
      <c r="C572" s="2">
        <v>0.9506944444444444</v>
      </c>
      <c r="D572">
        <v>1</v>
      </c>
      <c r="E572" t="s">
        <v>11</v>
      </c>
      <c r="F572">
        <v>57</v>
      </c>
      <c r="G572" t="s">
        <v>12</v>
      </c>
      <c r="H572">
        <v>1</v>
      </c>
      <c r="I572">
        <v>50</v>
      </c>
      <c r="J572">
        <v>19</v>
      </c>
      <c r="K572">
        <v>50</v>
      </c>
    </row>
    <row r="573" spans="1:11">
      <c r="A573">
        <v>1246</v>
      </c>
      <c r="B573" s="1">
        <v>45042</v>
      </c>
      <c r="C573" s="2">
        <v>0.95416666666666672</v>
      </c>
      <c r="D573">
        <v>3</v>
      </c>
      <c r="E573" t="s">
        <v>14</v>
      </c>
      <c r="F573">
        <v>48</v>
      </c>
      <c r="G573" t="s">
        <v>15</v>
      </c>
      <c r="H573">
        <v>2</v>
      </c>
      <c r="I573">
        <v>25</v>
      </c>
      <c r="J573">
        <v>11.5</v>
      </c>
      <c r="K573">
        <v>50</v>
      </c>
    </row>
    <row r="574" spans="1:11">
      <c r="A574">
        <v>1298</v>
      </c>
      <c r="B574" s="1">
        <v>45048</v>
      </c>
      <c r="C574" s="2">
        <v>0.82708333333333328</v>
      </c>
      <c r="D574">
        <v>1</v>
      </c>
      <c r="E574" t="s">
        <v>11</v>
      </c>
      <c r="F574">
        <v>27</v>
      </c>
      <c r="G574" t="s">
        <v>13</v>
      </c>
      <c r="H574">
        <v>4</v>
      </c>
      <c r="I574">
        <v>300</v>
      </c>
      <c r="J574">
        <v>120</v>
      </c>
      <c r="K574">
        <v>1200</v>
      </c>
    </row>
    <row r="575" spans="1:11">
      <c r="A575">
        <v>1374</v>
      </c>
      <c r="B575" s="1">
        <v>45008</v>
      </c>
      <c r="C575" s="2">
        <v>0.91874999999999996</v>
      </c>
      <c r="D575">
        <v>3</v>
      </c>
      <c r="E575" t="s">
        <v>14</v>
      </c>
      <c r="F575">
        <v>59</v>
      </c>
      <c r="G575" t="s">
        <v>13</v>
      </c>
      <c r="H575">
        <v>3</v>
      </c>
      <c r="I575">
        <v>25</v>
      </c>
      <c r="J575">
        <v>8.25</v>
      </c>
      <c r="K575">
        <v>75</v>
      </c>
    </row>
    <row r="576" spans="1:11">
      <c r="A576">
        <v>1572</v>
      </c>
      <c r="B576" s="1">
        <v>45095</v>
      </c>
      <c r="C576" s="2">
        <v>0.93055555555555558</v>
      </c>
      <c r="D576">
        <v>1</v>
      </c>
      <c r="E576" t="s">
        <v>11</v>
      </c>
      <c r="F576">
        <v>31</v>
      </c>
      <c r="G576" t="s">
        <v>12</v>
      </c>
      <c r="H576">
        <v>4</v>
      </c>
      <c r="I576">
        <v>500</v>
      </c>
      <c r="J576">
        <v>175</v>
      </c>
      <c r="K576">
        <v>2000</v>
      </c>
    </row>
    <row r="577" spans="1:11">
      <c r="A577">
        <v>1665</v>
      </c>
      <c r="B577" s="1">
        <v>45231</v>
      </c>
      <c r="C577" s="2">
        <v>0.81805555555555554</v>
      </c>
      <c r="D577">
        <v>4</v>
      </c>
      <c r="E577" t="s">
        <v>11</v>
      </c>
      <c r="F577">
        <v>57</v>
      </c>
      <c r="G577" t="s">
        <v>12</v>
      </c>
      <c r="H577">
        <v>1</v>
      </c>
      <c r="I577">
        <v>50</v>
      </c>
      <c r="J577">
        <v>14</v>
      </c>
      <c r="K577">
        <v>50</v>
      </c>
    </row>
    <row r="578" spans="1:11">
      <c r="A578">
        <v>39</v>
      </c>
      <c r="B578" s="1">
        <v>45118</v>
      </c>
      <c r="C578" s="2">
        <v>0.94722222222222219</v>
      </c>
      <c r="D578">
        <v>5</v>
      </c>
      <c r="E578" t="s">
        <v>11</v>
      </c>
      <c r="F578">
        <v>23</v>
      </c>
      <c r="G578" t="s">
        <v>12</v>
      </c>
      <c r="H578">
        <v>4</v>
      </c>
      <c r="I578">
        <v>30</v>
      </c>
      <c r="J578">
        <v>8.6999999999999993</v>
      </c>
      <c r="K578">
        <v>120</v>
      </c>
    </row>
    <row r="579" spans="1:11">
      <c r="A579">
        <v>893</v>
      </c>
      <c r="B579" s="1">
        <v>45045</v>
      </c>
      <c r="C579" s="2">
        <v>0.78611111111111109</v>
      </c>
      <c r="D579">
        <v>1</v>
      </c>
      <c r="E579" t="s">
        <v>11</v>
      </c>
      <c r="F579">
        <v>49</v>
      </c>
      <c r="G579" t="s">
        <v>15</v>
      </c>
      <c r="H579">
        <v>1</v>
      </c>
      <c r="I579">
        <v>50</v>
      </c>
      <c r="J579">
        <v>17</v>
      </c>
      <c r="K579">
        <v>50</v>
      </c>
    </row>
    <row r="580" spans="1:11">
      <c r="A580">
        <v>1039</v>
      </c>
      <c r="B580" s="1">
        <v>45263</v>
      </c>
      <c r="C580" s="2">
        <v>0.83402777777777781</v>
      </c>
      <c r="D580">
        <v>1</v>
      </c>
      <c r="E580" t="s">
        <v>11</v>
      </c>
      <c r="F580">
        <v>23</v>
      </c>
      <c r="G580" t="s">
        <v>12</v>
      </c>
      <c r="H580">
        <v>4</v>
      </c>
      <c r="I580">
        <v>30</v>
      </c>
      <c r="J580">
        <v>13.8</v>
      </c>
      <c r="K580">
        <v>120</v>
      </c>
    </row>
    <row r="581" spans="1:11">
      <c r="A581">
        <v>1893</v>
      </c>
      <c r="B581" s="1">
        <v>44982</v>
      </c>
      <c r="C581" s="2">
        <v>0.71111111111111114</v>
      </c>
      <c r="D581">
        <v>3</v>
      </c>
      <c r="E581" t="s">
        <v>11</v>
      </c>
      <c r="F581">
        <v>49</v>
      </c>
      <c r="G581" t="s">
        <v>15</v>
      </c>
      <c r="H581">
        <v>1</v>
      </c>
      <c r="I581">
        <v>50</v>
      </c>
      <c r="J581">
        <v>22.5</v>
      </c>
      <c r="K581">
        <v>50</v>
      </c>
    </row>
    <row r="582" spans="1:11">
      <c r="A582">
        <v>17</v>
      </c>
      <c r="B582" s="1">
        <v>44982</v>
      </c>
      <c r="C582" s="2">
        <v>0.88055555555555554</v>
      </c>
      <c r="D582">
        <v>3</v>
      </c>
      <c r="E582" t="s">
        <v>14</v>
      </c>
      <c r="F582">
        <v>27</v>
      </c>
      <c r="G582" t="s">
        <v>12</v>
      </c>
      <c r="H582">
        <v>4</v>
      </c>
      <c r="I582">
        <v>25</v>
      </c>
      <c r="J582">
        <v>13</v>
      </c>
      <c r="K582">
        <v>100</v>
      </c>
    </row>
    <row r="583" spans="1:11">
      <c r="A583">
        <v>316</v>
      </c>
      <c r="B583" s="1">
        <v>44958</v>
      </c>
      <c r="C583" s="2">
        <v>0.72569444444444442</v>
      </c>
      <c r="D583">
        <v>3</v>
      </c>
      <c r="E583" t="s">
        <v>14</v>
      </c>
      <c r="F583">
        <v>48</v>
      </c>
      <c r="G583" t="s">
        <v>12</v>
      </c>
      <c r="H583">
        <v>2</v>
      </c>
      <c r="I583">
        <v>25</v>
      </c>
      <c r="J583">
        <v>13.75</v>
      </c>
      <c r="K583">
        <v>50</v>
      </c>
    </row>
    <row r="584" spans="1:11">
      <c r="A584">
        <v>755</v>
      </c>
      <c r="B584" s="1">
        <v>45257</v>
      </c>
      <c r="C584" s="2">
        <v>0.83819444444444446</v>
      </c>
      <c r="D584">
        <v>1</v>
      </c>
      <c r="E584" t="s">
        <v>14</v>
      </c>
      <c r="F584">
        <v>58</v>
      </c>
      <c r="G584" t="s">
        <v>12</v>
      </c>
      <c r="H584">
        <v>3</v>
      </c>
      <c r="I584">
        <v>25</v>
      </c>
      <c r="J584">
        <v>6.75</v>
      </c>
      <c r="K584">
        <v>75</v>
      </c>
    </row>
    <row r="585" spans="1:11">
      <c r="A585">
        <v>1017</v>
      </c>
      <c r="B585" s="1">
        <v>45174</v>
      </c>
      <c r="C585" s="2">
        <v>0.77847222222222223</v>
      </c>
      <c r="D585">
        <v>2</v>
      </c>
      <c r="E585" t="s">
        <v>14</v>
      </c>
      <c r="F585">
        <v>27</v>
      </c>
      <c r="G585" t="s">
        <v>12</v>
      </c>
      <c r="H585">
        <v>4</v>
      </c>
      <c r="I585">
        <v>25</v>
      </c>
      <c r="J585">
        <v>12</v>
      </c>
      <c r="K585">
        <v>100</v>
      </c>
    </row>
    <row r="586" spans="1:11">
      <c r="A586">
        <v>1316</v>
      </c>
      <c r="B586" s="1">
        <v>45128</v>
      </c>
      <c r="C586" s="2">
        <v>0.71597222222222223</v>
      </c>
      <c r="D586">
        <v>1</v>
      </c>
      <c r="E586" t="s">
        <v>14</v>
      </c>
      <c r="F586">
        <v>48</v>
      </c>
      <c r="G586" t="s">
        <v>12</v>
      </c>
      <c r="H586">
        <v>2</v>
      </c>
      <c r="I586">
        <v>25</v>
      </c>
      <c r="J586">
        <v>11.75</v>
      </c>
      <c r="K586">
        <v>50</v>
      </c>
    </row>
    <row r="587" spans="1:11">
      <c r="A587">
        <v>1755</v>
      </c>
      <c r="B587" s="1">
        <v>45069</v>
      </c>
      <c r="C587" s="2">
        <v>0.90763888888888888</v>
      </c>
      <c r="D587">
        <v>2</v>
      </c>
      <c r="E587" t="s">
        <v>14</v>
      </c>
      <c r="F587">
        <v>58</v>
      </c>
      <c r="G587" t="s">
        <v>12</v>
      </c>
      <c r="H587">
        <v>3</v>
      </c>
      <c r="I587">
        <v>25</v>
      </c>
      <c r="J587">
        <v>8</v>
      </c>
      <c r="K587">
        <v>75</v>
      </c>
    </row>
    <row r="588" spans="1:11">
      <c r="A588">
        <v>28</v>
      </c>
      <c r="B588" s="1">
        <v>45271</v>
      </c>
      <c r="C588" s="2">
        <v>0.94027777777777777</v>
      </c>
      <c r="D588">
        <v>3</v>
      </c>
      <c r="E588" t="s">
        <v>14</v>
      </c>
      <c r="F588">
        <v>43</v>
      </c>
      <c r="G588" t="s">
        <v>13</v>
      </c>
      <c r="H588">
        <v>1</v>
      </c>
      <c r="I588">
        <v>500</v>
      </c>
      <c r="J588">
        <v>150</v>
      </c>
      <c r="K588">
        <v>500</v>
      </c>
    </row>
    <row r="589" spans="1:11">
      <c r="A589">
        <v>98</v>
      </c>
      <c r="B589" s="1">
        <v>45025</v>
      </c>
      <c r="C589" s="2">
        <v>0.82013888888888886</v>
      </c>
      <c r="D589">
        <v>1</v>
      </c>
      <c r="E589" t="s">
        <v>14</v>
      </c>
      <c r="F589">
        <v>55</v>
      </c>
      <c r="G589" t="s">
        <v>13</v>
      </c>
      <c r="H589">
        <v>2</v>
      </c>
      <c r="I589">
        <v>50</v>
      </c>
      <c r="J589">
        <v>19.5</v>
      </c>
      <c r="K589">
        <v>100</v>
      </c>
    </row>
    <row r="590" spans="1:11">
      <c r="A590">
        <v>129</v>
      </c>
      <c r="B590" s="1">
        <v>45033</v>
      </c>
      <c r="C590" s="2">
        <v>0.73750000000000004</v>
      </c>
      <c r="D590">
        <v>1</v>
      </c>
      <c r="E590" t="s">
        <v>14</v>
      </c>
      <c r="F590">
        <v>21</v>
      </c>
      <c r="G590" t="s">
        <v>13</v>
      </c>
      <c r="H590">
        <v>2</v>
      </c>
      <c r="I590">
        <v>300</v>
      </c>
      <c r="J590">
        <v>75</v>
      </c>
      <c r="K590">
        <v>600</v>
      </c>
    </row>
    <row r="591" spans="1:11">
      <c r="A591">
        <v>230</v>
      </c>
      <c r="B591" s="1">
        <v>45011</v>
      </c>
      <c r="C591" s="2">
        <v>0.73888888888888893</v>
      </c>
      <c r="D591">
        <v>5</v>
      </c>
      <c r="E591" t="s">
        <v>11</v>
      </c>
      <c r="F591">
        <v>54</v>
      </c>
      <c r="G591" t="s">
        <v>13</v>
      </c>
      <c r="H591">
        <v>1</v>
      </c>
      <c r="I591">
        <v>25</v>
      </c>
      <c r="J591">
        <v>12.5</v>
      </c>
      <c r="K591">
        <v>25</v>
      </c>
    </row>
    <row r="592" spans="1:11">
      <c r="A592">
        <v>613</v>
      </c>
      <c r="B592" s="1">
        <v>45054</v>
      </c>
      <c r="C592" s="2">
        <v>0.72430555555555554</v>
      </c>
      <c r="D592">
        <v>2</v>
      </c>
      <c r="E592" t="s">
        <v>14</v>
      </c>
      <c r="F592">
        <v>52</v>
      </c>
      <c r="G592" t="s">
        <v>12</v>
      </c>
      <c r="H592">
        <v>3</v>
      </c>
      <c r="I592">
        <v>30</v>
      </c>
      <c r="J592">
        <v>11.4</v>
      </c>
      <c r="K592">
        <v>90</v>
      </c>
    </row>
    <row r="593" spans="1:11">
      <c r="A593">
        <v>691</v>
      </c>
      <c r="B593" s="1">
        <v>45058</v>
      </c>
      <c r="C593" s="2">
        <v>0.88124999999999998</v>
      </c>
      <c r="D593">
        <v>5</v>
      </c>
      <c r="E593" t="s">
        <v>14</v>
      </c>
      <c r="F593">
        <v>51</v>
      </c>
      <c r="G593" t="s">
        <v>12</v>
      </c>
      <c r="H593">
        <v>3</v>
      </c>
      <c r="I593">
        <v>30</v>
      </c>
      <c r="J593">
        <v>14.7</v>
      </c>
      <c r="K593">
        <v>90</v>
      </c>
    </row>
    <row r="594" spans="1:11">
      <c r="A594">
        <v>693</v>
      </c>
      <c r="B594" s="1">
        <v>45085</v>
      </c>
      <c r="C594" s="2">
        <v>0.71666666666666667</v>
      </c>
      <c r="D594">
        <v>1</v>
      </c>
      <c r="E594" t="s">
        <v>11</v>
      </c>
      <c r="F594">
        <v>41</v>
      </c>
      <c r="G594" t="s">
        <v>13</v>
      </c>
      <c r="H594">
        <v>3</v>
      </c>
      <c r="I594">
        <v>500</v>
      </c>
      <c r="J594">
        <v>270</v>
      </c>
      <c r="K594">
        <v>1500</v>
      </c>
    </row>
    <row r="595" spans="1:11">
      <c r="A595">
        <v>1028</v>
      </c>
      <c r="B595" s="1">
        <v>44994</v>
      </c>
      <c r="C595" s="2">
        <v>0.75624999999999998</v>
      </c>
      <c r="D595">
        <v>1</v>
      </c>
      <c r="E595" t="s">
        <v>14</v>
      </c>
      <c r="F595">
        <v>43</v>
      </c>
      <c r="G595" t="s">
        <v>13</v>
      </c>
      <c r="H595">
        <v>1</v>
      </c>
      <c r="I595">
        <v>500</v>
      </c>
      <c r="J595">
        <v>250</v>
      </c>
      <c r="K595">
        <v>500</v>
      </c>
    </row>
    <row r="596" spans="1:11">
      <c r="A596">
        <v>1098</v>
      </c>
      <c r="B596" s="1">
        <v>45113</v>
      </c>
      <c r="C596" s="2">
        <v>0.94027777777777777</v>
      </c>
      <c r="D596">
        <v>3</v>
      </c>
      <c r="E596" t="s">
        <v>14</v>
      </c>
      <c r="F596">
        <v>55</v>
      </c>
      <c r="G596" t="s">
        <v>13</v>
      </c>
      <c r="H596">
        <v>2</v>
      </c>
      <c r="I596">
        <v>50</v>
      </c>
      <c r="J596">
        <v>19.5</v>
      </c>
      <c r="K596">
        <v>100</v>
      </c>
    </row>
    <row r="597" spans="1:11">
      <c r="A597">
        <v>1129</v>
      </c>
      <c r="B597" s="1">
        <v>45177</v>
      </c>
      <c r="C597" s="2">
        <v>0.90694444444444444</v>
      </c>
      <c r="D597">
        <v>1</v>
      </c>
      <c r="E597" t="s">
        <v>14</v>
      </c>
      <c r="F597">
        <v>21</v>
      </c>
      <c r="G597" t="s">
        <v>13</v>
      </c>
      <c r="H597">
        <v>2</v>
      </c>
      <c r="I597">
        <v>300</v>
      </c>
      <c r="J597">
        <v>156</v>
      </c>
      <c r="K597">
        <v>600</v>
      </c>
    </row>
    <row r="598" spans="1:11">
      <c r="A598">
        <v>1230</v>
      </c>
      <c r="B598" s="1">
        <v>45264</v>
      </c>
      <c r="C598" s="2">
        <v>0.89166666666666672</v>
      </c>
      <c r="D598">
        <v>1</v>
      </c>
      <c r="E598" t="s">
        <v>11</v>
      </c>
      <c r="F598">
        <v>54</v>
      </c>
      <c r="G598" t="s">
        <v>13</v>
      </c>
      <c r="H598">
        <v>1</v>
      </c>
      <c r="I598">
        <v>25</v>
      </c>
      <c r="J598">
        <v>13.25</v>
      </c>
      <c r="K598">
        <v>25</v>
      </c>
    </row>
    <row r="599" spans="1:11">
      <c r="A599">
        <v>1613</v>
      </c>
      <c r="B599" s="1">
        <v>45274</v>
      </c>
      <c r="C599" s="2">
        <v>0.91527777777777775</v>
      </c>
      <c r="D599">
        <v>4</v>
      </c>
      <c r="E599" t="s">
        <v>14</v>
      </c>
      <c r="F599">
        <v>52</v>
      </c>
      <c r="G599" t="s">
        <v>12</v>
      </c>
      <c r="H599">
        <v>3</v>
      </c>
      <c r="I599">
        <v>30</v>
      </c>
      <c r="J599">
        <v>9.9</v>
      </c>
      <c r="K599">
        <v>90</v>
      </c>
    </row>
    <row r="600" spans="1:11">
      <c r="A600">
        <v>1691</v>
      </c>
      <c r="B600" s="1">
        <v>44933</v>
      </c>
      <c r="C600" s="2">
        <v>0.83402777777777781</v>
      </c>
      <c r="D600">
        <v>1</v>
      </c>
      <c r="E600" t="s">
        <v>14</v>
      </c>
      <c r="F600">
        <v>51</v>
      </c>
      <c r="G600" t="s">
        <v>12</v>
      </c>
      <c r="H600">
        <v>3</v>
      </c>
      <c r="I600">
        <v>30</v>
      </c>
      <c r="J600">
        <v>13.5</v>
      </c>
      <c r="K600">
        <v>90</v>
      </c>
    </row>
    <row r="601" spans="1:11">
      <c r="A601">
        <v>1693</v>
      </c>
      <c r="B601" s="1">
        <v>44977</v>
      </c>
      <c r="C601" s="2">
        <v>0.76458333333333328</v>
      </c>
      <c r="D601">
        <v>1</v>
      </c>
      <c r="E601" t="s">
        <v>11</v>
      </c>
      <c r="F601">
        <v>41</v>
      </c>
      <c r="G601" t="s">
        <v>13</v>
      </c>
      <c r="H601">
        <v>3</v>
      </c>
      <c r="I601">
        <v>500</v>
      </c>
      <c r="J601">
        <v>130</v>
      </c>
      <c r="K601">
        <v>1500</v>
      </c>
    </row>
    <row r="602" spans="1:11">
      <c r="A602">
        <v>477</v>
      </c>
      <c r="B602" s="1">
        <v>45263</v>
      </c>
      <c r="C602" s="2">
        <v>0.72499999999999998</v>
      </c>
      <c r="D602">
        <v>3</v>
      </c>
      <c r="E602" t="s">
        <v>11</v>
      </c>
      <c r="F602">
        <v>43</v>
      </c>
      <c r="G602" t="s">
        <v>12</v>
      </c>
      <c r="H602">
        <v>4</v>
      </c>
      <c r="I602">
        <v>30</v>
      </c>
      <c r="J602">
        <v>16.2</v>
      </c>
      <c r="K602">
        <v>120</v>
      </c>
    </row>
    <row r="603" spans="1:11">
      <c r="A603">
        <v>863</v>
      </c>
      <c r="B603" s="1">
        <v>45242</v>
      </c>
      <c r="C603" s="2">
        <v>0.94444444444444442</v>
      </c>
      <c r="D603">
        <v>4</v>
      </c>
      <c r="E603" t="s">
        <v>14</v>
      </c>
      <c r="F603">
        <v>30</v>
      </c>
      <c r="G603" t="s">
        <v>15</v>
      </c>
      <c r="H603">
        <v>2</v>
      </c>
      <c r="I603">
        <v>25</v>
      </c>
      <c r="J603">
        <v>11.25</v>
      </c>
      <c r="K603">
        <v>50</v>
      </c>
    </row>
    <row r="604" spans="1:11">
      <c r="A604">
        <v>1477</v>
      </c>
      <c r="B604" s="1">
        <v>44934</v>
      </c>
      <c r="C604" s="2">
        <v>0.91597222222222219</v>
      </c>
      <c r="D604">
        <v>3</v>
      </c>
      <c r="E604" t="s">
        <v>11</v>
      </c>
      <c r="F604">
        <v>43</v>
      </c>
      <c r="G604" t="s">
        <v>12</v>
      </c>
      <c r="H604">
        <v>4</v>
      </c>
      <c r="I604">
        <v>30</v>
      </c>
      <c r="J604">
        <v>15.6</v>
      </c>
      <c r="K604">
        <v>120</v>
      </c>
    </row>
    <row r="605" spans="1:11">
      <c r="A605">
        <v>1863</v>
      </c>
      <c r="B605" s="1">
        <v>45072</v>
      </c>
      <c r="C605" s="2">
        <v>0.93958333333333333</v>
      </c>
      <c r="D605">
        <v>4</v>
      </c>
      <c r="E605" t="s">
        <v>14</v>
      </c>
      <c r="F605">
        <v>30</v>
      </c>
      <c r="G605" t="s">
        <v>15</v>
      </c>
      <c r="H605">
        <v>2</v>
      </c>
      <c r="I605">
        <v>25</v>
      </c>
      <c r="J605">
        <v>10</v>
      </c>
      <c r="K605">
        <v>50</v>
      </c>
    </row>
    <row r="606" spans="1:11">
      <c r="A606">
        <v>6</v>
      </c>
      <c r="B606" s="1">
        <v>45245</v>
      </c>
      <c r="C606" s="2">
        <v>0.92777777777777781</v>
      </c>
      <c r="D606">
        <v>2</v>
      </c>
      <c r="E606" t="s">
        <v>14</v>
      </c>
      <c r="F606">
        <v>45</v>
      </c>
      <c r="G606" t="s">
        <v>13</v>
      </c>
      <c r="H606">
        <v>1</v>
      </c>
      <c r="I606">
        <v>30</v>
      </c>
      <c r="J606">
        <v>15</v>
      </c>
      <c r="K606">
        <v>30</v>
      </c>
    </row>
    <row r="607" spans="1:11">
      <c r="A607">
        <v>483</v>
      </c>
      <c r="B607" s="1">
        <v>44963</v>
      </c>
      <c r="C607" s="2">
        <v>0.72569444444444442</v>
      </c>
      <c r="D607">
        <v>2</v>
      </c>
      <c r="E607" t="s">
        <v>11</v>
      </c>
      <c r="F607">
        <v>55</v>
      </c>
      <c r="G607" t="s">
        <v>12</v>
      </c>
      <c r="H607">
        <v>1</v>
      </c>
      <c r="I607">
        <v>30</v>
      </c>
      <c r="J607">
        <v>8.4</v>
      </c>
      <c r="K607">
        <v>30</v>
      </c>
    </row>
    <row r="608" spans="1:11">
      <c r="A608">
        <v>738</v>
      </c>
      <c r="B608" s="1">
        <v>44962</v>
      </c>
      <c r="C608" s="2">
        <v>0.76666666666666672</v>
      </c>
      <c r="D608">
        <v>5</v>
      </c>
      <c r="E608" t="s">
        <v>11</v>
      </c>
      <c r="F608">
        <v>41</v>
      </c>
      <c r="G608" t="s">
        <v>12</v>
      </c>
      <c r="H608">
        <v>2</v>
      </c>
      <c r="I608">
        <v>50</v>
      </c>
      <c r="J608">
        <v>26</v>
      </c>
      <c r="K608">
        <v>100</v>
      </c>
    </row>
    <row r="609" spans="1:11">
      <c r="A609">
        <v>1006</v>
      </c>
      <c r="B609" s="1">
        <v>45228</v>
      </c>
      <c r="C609" s="2">
        <v>0.80763888888888891</v>
      </c>
      <c r="D609">
        <v>2</v>
      </c>
      <c r="E609" t="s">
        <v>14</v>
      </c>
      <c r="F609">
        <v>45</v>
      </c>
      <c r="G609" t="s">
        <v>13</v>
      </c>
      <c r="H609">
        <v>1</v>
      </c>
      <c r="I609">
        <v>30</v>
      </c>
      <c r="J609">
        <v>14.1</v>
      </c>
      <c r="K609">
        <v>30</v>
      </c>
    </row>
    <row r="610" spans="1:11">
      <c r="A610">
        <v>1483</v>
      </c>
      <c r="B610" s="1">
        <v>44990</v>
      </c>
      <c r="C610" s="2">
        <v>0.82847222222222228</v>
      </c>
      <c r="D610">
        <v>1</v>
      </c>
      <c r="E610" t="s">
        <v>11</v>
      </c>
      <c r="F610">
        <v>55</v>
      </c>
      <c r="G610" t="s">
        <v>12</v>
      </c>
      <c r="H610">
        <v>1</v>
      </c>
      <c r="I610">
        <v>30</v>
      </c>
      <c r="J610">
        <v>8.6999999999999993</v>
      </c>
      <c r="K610">
        <v>30</v>
      </c>
    </row>
    <row r="611" spans="1:11">
      <c r="A611">
        <v>1738</v>
      </c>
      <c r="B611" s="1">
        <v>45242</v>
      </c>
      <c r="C611" s="2">
        <v>0.8979166666666667</v>
      </c>
      <c r="D611">
        <v>1</v>
      </c>
      <c r="E611" t="s">
        <v>11</v>
      </c>
      <c r="F611">
        <v>41</v>
      </c>
      <c r="G611" t="s">
        <v>12</v>
      </c>
      <c r="H611">
        <v>2</v>
      </c>
      <c r="I611">
        <v>50</v>
      </c>
      <c r="J611">
        <v>16</v>
      </c>
      <c r="K611">
        <v>100</v>
      </c>
    </row>
    <row r="612" spans="1:11">
      <c r="A612">
        <v>222</v>
      </c>
      <c r="B612" s="1">
        <v>44933</v>
      </c>
      <c r="C612" s="2">
        <v>0.78888888888888886</v>
      </c>
      <c r="D612">
        <v>4</v>
      </c>
      <c r="E612" t="s">
        <v>11</v>
      </c>
      <c r="F612">
        <v>51</v>
      </c>
      <c r="G612" t="s">
        <v>12</v>
      </c>
      <c r="H612">
        <v>4</v>
      </c>
      <c r="I612">
        <v>30</v>
      </c>
      <c r="J612">
        <v>10.5</v>
      </c>
      <c r="K612">
        <v>120</v>
      </c>
    </row>
    <row r="613" spans="1:11">
      <c r="A613">
        <v>588</v>
      </c>
      <c r="B613" s="1">
        <v>45217</v>
      </c>
      <c r="C613" s="2">
        <v>0.74583333333333335</v>
      </c>
      <c r="D613">
        <v>5</v>
      </c>
      <c r="E613" t="s">
        <v>11</v>
      </c>
      <c r="F613">
        <v>38</v>
      </c>
      <c r="G613" t="s">
        <v>15</v>
      </c>
      <c r="H613">
        <v>2</v>
      </c>
      <c r="I613">
        <v>30</v>
      </c>
      <c r="J613">
        <v>13.8</v>
      </c>
      <c r="K613">
        <v>60</v>
      </c>
    </row>
    <row r="614" spans="1:11">
      <c r="A614">
        <v>953</v>
      </c>
      <c r="B614" s="1">
        <v>45109</v>
      </c>
      <c r="C614" s="2">
        <v>0.74861111111111112</v>
      </c>
      <c r="D614">
        <v>1</v>
      </c>
      <c r="E614" t="s">
        <v>11</v>
      </c>
      <c r="F614">
        <v>45</v>
      </c>
      <c r="G614" t="s">
        <v>13</v>
      </c>
      <c r="H614">
        <v>3</v>
      </c>
      <c r="I614">
        <v>30</v>
      </c>
      <c r="J614">
        <v>12.6</v>
      </c>
      <c r="K614">
        <v>90</v>
      </c>
    </row>
    <row r="615" spans="1:11">
      <c r="A615">
        <v>1222</v>
      </c>
      <c r="B615" s="1">
        <v>45186</v>
      </c>
      <c r="C615" s="2">
        <v>0.76041666666666663</v>
      </c>
      <c r="D615">
        <v>3</v>
      </c>
      <c r="E615" t="s">
        <v>11</v>
      </c>
      <c r="F615">
        <v>51</v>
      </c>
      <c r="G615" t="s">
        <v>12</v>
      </c>
      <c r="H615">
        <v>4</v>
      </c>
      <c r="I615">
        <v>30</v>
      </c>
      <c r="J615">
        <v>11.1</v>
      </c>
      <c r="K615">
        <v>120</v>
      </c>
    </row>
    <row r="616" spans="1:11">
      <c r="A616">
        <v>1588</v>
      </c>
      <c r="B616" s="1">
        <v>45102</v>
      </c>
      <c r="C616" s="2">
        <v>0.89513888888888893</v>
      </c>
      <c r="D616">
        <v>4</v>
      </c>
      <c r="E616" t="s">
        <v>11</v>
      </c>
      <c r="F616">
        <v>38</v>
      </c>
      <c r="G616" t="s">
        <v>15</v>
      </c>
      <c r="H616">
        <v>2</v>
      </c>
      <c r="I616">
        <v>30</v>
      </c>
      <c r="J616">
        <v>13.2</v>
      </c>
      <c r="K616">
        <v>60</v>
      </c>
    </row>
    <row r="617" spans="1:11">
      <c r="A617">
        <v>1953</v>
      </c>
      <c r="B617" s="1">
        <v>45061</v>
      </c>
      <c r="C617" s="2">
        <v>0.7319444444444444</v>
      </c>
      <c r="D617">
        <v>3</v>
      </c>
      <c r="E617" t="s">
        <v>11</v>
      </c>
      <c r="F617">
        <v>45</v>
      </c>
      <c r="G617" t="s">
        <v>13</v>
      </c>
      <c r="H617">
        <v>3</v>
      </c>
      <c r="I617">
        <v>30</v>
      </c>
      <c r="J617">
        <v>10.199999999999999</v>
      </c>
      <c r="K617">
        <v>90</v>
      </c>
    </row>
    <row r="618" spans="1:11">
      <c r="A618">
        <v>66</v>
      </c>
      <c r="B618" s="1">
        <v>45095</v>
      </c>
      <c r="C618" s="2">
        <v>0.9506944444444444</v>
      </c>
      <c r="D618">
        <v>3</v>
      </c>
      <c r="E618" t="s">
        <v>14</v>
      </c>
      <c r="F618">
        <v>45</v>
      </c>
      <c r="G618" t="s">
        <v>15</v>
      </c>
      <c r="H618">
        <v>1</v>
      </c>
      <c r="I618">
        <v>30</v>
      </c>
      <c r="J618">
        <v>9</v>
      </c>
      <c r="K618">
        <v>30</v>
      </c>
    </row>
    <row r="619" spans="1:11">
      <c r="A619">
        <v>482</v>
      </c>
      <c r="B619" s="1">
        <v>45150</v>
      </c>
      <c r="C619" s="2">
        <v>0.7895833333333333</v>
      </c>
      <c r="D619">
        <v>3</v>
      </c>
      <c r="E619" t="s">
        <v>14</v>
      </c>
      <c r="F619">
        <v>28</v>
      </c>
      <c r="G619" t="s">
        <v>12</v>
      </c>
      <c r="H619">
        <v>4</v>
      </c>
      <c r="I619">
        <v>300</v>
      </c>
      <c r="J619">
        <v>141</v>
      </c>
      <c r="K619">
        <v>1200</v>
      </c>
    </row>
    <row r="620" spans="1:11">
      <c r="A620">
        <v>903</v>
      </c>
      <c r="B620" s="1">
        <v>45134</v>
      </c>
      <c r="C620" s="2">
        <v>0.92638888888888893</v>
      </c>
      <c r="D620">
        <v>3</v>
      </c>
      <c r="E620" t="s">
        <v>14</v>
      </c>
      <c r="F620">
        <v>51</v>
      </c>
      <c r="G620" t="s">
        <v>13</v>
      </c>
      <c r="H620">
        <v>4</v>
      </c>
      <c r="I620">
        <v>50</v>
      </c>
      <c r="J620">
        <v>14</v>
      </c>
      <c r="K620">
        <v>200</v>
      </c>
    </row>
    <row r="621" spans="1:11">
      <c r="A621">
        <v>1066</v>
      </c>
      <c r="B621" s="1">
        <v>45205</v>
      </c>
      <c r="C621" s="2">
        <v>0.75763888888888886</v>
      </c>
      <c r="D621">
        <v>4</v>
      </c>
      <c r="E621" t="s">
        <v>14</v>
      </c>
      <c r="F621">
        <v>45</v>
      </c>
      <c r="G621" t="s">
        <v>15</v>
      </c>
      <c r="H621">
        <v>1</v>
      </c>
      <c r="I621">
        <v>30</v>
      </c>
      <c r="J621">
        <v>8.4</v>
      </c>
      <c r="K621">
        <v>30</v>
      </c>
    </row>
    <row r="622" spans="1:11">
      <c r="A622">
        <v>1482</v>
      </c>
      <c r="B622" s="1">
        <v>44967</v>
      </c>
      <c r="C622" s="2">
        <v>0.93194444444444446</v>
      </c>
      <c r="D622">
        <v>1</v>
      </c>
      <c r="E622" t="s">
        <v>14</v>
      </c>
      <c r="F622">
        <v>28</v>
      </c>
      <c r="G622" t="s">
        <v>12</v>
      </c>
      <c r="H622">
        <v>4</v>
      </c>
      <c r="I622">
        <v>300</v>
      </c>
      <c r="J622">
        <v>114</v>
      </c>
      <c r="K622">
        <v>1200</v>
      </c>
    </row>
    <row r="623" spans="1:11">
      <c r="A623">
        <v>1903</v>
      </c>
      <c r="B623" s="1">
        <v>45134</v>
      </c>
      <c r="C623" s="2">
        <v>0.90555555555555556</v>
      </c>
      <c r="D623">
        <v>5</v>
      </c>
      <c r="E623" t="s">
        <v>14</v>
      </c>
      <c r="F623">
        <v>51</v>
      </c>
      <c r="G623" t="s">
        <v>13</v>
      </c>
      <c r="H623">
        <v>4</v>
      </c>
      <c r="I623">
        <v>50</v>
      </c>
      <c r="J623">
        <v>19</v>
      </c>
      <c r="K623">
        <v>200</v>
      </c>
    </row>
    <row r="624" spans="1:11">
      <c r="A624">
        <v>102</v>
      </c>
      <c r="B624" s="1">
        <v>45033</v>
      </c>
      <c r="C624" s="2">
        <v>0.89861111111111114</v>
      </c>
      <c r="D624">
        <v>5</v>
      </c>
      <c r="E624" t="s">
        <v>14</v>
      </c>
      <c r="F624">
        <v>47</v>
      </c>
      <c r="G624" t="s">
        <v>13</v>
      </c>
      <c r="H624">
        <v>2</v>
      </c>
      <c r="I624">
        <v>25</v>
      </c>
      <c r="J624">
        <v>7.25</v>
      </c>
      <c r="K624">
        <v>50</v>
      </c>
    </row>
    <row r="625" spans="1:11">
      <c r="A625">
        <v>228</v>
      </c>
      <c r="B625" s="1">
        <v>45019</v>
      </c>
      <c r="C625" s="2">
        <v>0.85138888888888886</v>
      </c>
      <c r="D625">
        <v>4</v>
      </c>
      <c r="E625" t="s">
        <v>14</v>
      </c>
      <c r="F625">
        <v>59</v>
      </c>
      <c r="G625" t="s">
        <v>15</v>
      </c>
      <c r="H625">
        <v>2</v>
      </c>
      <c r="I625">
        <v>30</v>
      </c>
      <c r="J625">
        <v>10.8</v>
      </c>
      <c r="K625">
        <v>60</v>
      </c>
    </row>
    <row r="626" spans="1:11">
      <c r="A626">
        <v>236</v>
      </c>
      <c r="B626" s="1">
        <v>45017</v>
      </c>
      <c r="C626" s="2">
        <v>0.9291666666666667</v>
      </c>
      <c r="D626">
        <v>5</v>
      </c>
      <c r="E626" t="s">
        <v>14</v>
      </c>
      <c r="F626">
        <v>54</v>
      </c>
      <c r="G626" t="s">
        <v>12</v>
      </c>
      <c r="H626">
        <v>1</v>
      </c>
      <c r="I626">
        <v>25</v>
      </c>
      <c r="J626">
        <v>6.5</v>
      </c>
      <c r="K626">
        <v>25</v>
      </c>
    </row>
    <row r="627" spans="1:11">
      <c r="A627">
        <v>1102</v>
      </c>
      <c r="B627" s="1">
        <v>45159</v>
      </c>
      <c r="C627" s="2">
        <v>0.75277777777777777</v>
      </c>
      <c r="D627">
        <v>5</v>
      </c>
      <c r="E627" t="s">
        <v>14</v>
      </c>
      <c r="F627">
        <v>47</v>
      </c>
      <c r="G627" t="s">
        <v>13</v>
      </c>
      <c r="H627">
        <v>2</v>
      </c>
      <c r="I627">
        <v>25</v>
      </c>
      <c r="J627">
        <v>6.5</v>
      </c>
      <c r="K627">
        <v>50</v>
      </c>
    </row>
    <row r="628" spans="1:11">
      <c r="A628">
        <v>1228</v>
      </c>
      <c r="B628" s="1">
        <v>45101</v>
      </c>
      <c r="C628" s="2">
        <v>0.90069444444444446</v>
      </c>
      <c r="D628">
        <v>5</v>
      </c>
      <c r="E628" t="s">
        <v>14</v>
      </c>
      <c r="F628">
        <v>59</v>
      </c>
      <c r="G628" t="s">
        <v>15</v>
      </c>
      <c r="H628">
        <v>2</v>
      </c>
      <c r="I628">
        <v>30</v>
      </c>
      <c r="J628">
        <v>11.4</v>
      </c>
      <c r="K628">
        <v>60</v>
      </c>
    </row>
    <row r="629" spans="1:11">
      <c r="A629">
        <v>1236</v>
      </c>
      <c r="B629" s="1">
        <v>45147</v>
      </c>
      <c r="C629" s="2">
        <v>0.7631944444444444</v>
      </c>
      <c r="D629">
        <v>4</v>
      </c>
      <c r="E629" t="s">
        <v>14</v>
      </c>
      <c r="F629">
        <v>54</v>
      </c>
      <c r="G629" t="s">
        <v>12</v>
      </c>
      <c r="H629">
        <v>1</v>
      </c>
      <c r="I629">
        <v>25</v>
      </c>
      <c r="J629">
        <v>8.75</v>
      </c>
      <c r="K629">
        <v>25</v>
      </c>
    </row>
    <row r="630" spans="1:11">
      <c r="A630">
        <v>660</v>
      </c>
      <c r="B630" s="1">
        <v>45136</v>
      </c>
      <c r="C630" s="2">
        <v>0.78194444444444444</v>
      </c>
      <c r="D630">
        <v>2</v>
      </c>
      <c r="E630" t="s">
        <v>14</v>
      </c>
      <c r="F630">
        <v>38</v>
      </c>
      <c r="G630" t="s">
        <v>13</v>
      </c>
      <c r="H630">
        <v>2</v>
      </c>
      <c r="I630">
        <v>500</v>
      </c>
      <c r="J630">
        <v>270</v>
      </c>
      <c r="K630">
        <v>1000</v>
      </c>
    </row>
    <row r="631" spans="1:11">
      <c r="A631">
        <v>884</v>
      </c>
      <c r="B631" s="1">
        <v>44975</v>
      </c>
      <c r="C631" s="2">
        <v>0.85486111111111107</v>
      </c>
      <c r="D631">
        <v>1</v>
      </c>
      <c r="E631" t="s">
        <v>14</v>
      </c>
      <c r="F631">
        <v>26</v>
      </c>
      <c r="G631" t="s">
        <v>12</v>
      </c>
      <c r="H631">
        <v>2</v>
      </c>
      <c r="I631">
        <v>30</v>
      </c>
      <c r="J631">
        <v>7.5</v>
      </c>
      <c r="K631">
        <v>60</v>
      </c>
    </row>
    <row r="632" spans="1:11">
      <c r="A632">
        <v>987</v>
      </c>
      <c r="B632" s="1">
        <v>45238</v>
      </c>
      <c r="C632" s="2">
        <v>0.78125</v>
      </c>
      <c r="D632">
        <v>1</v>
      </c>
      <c r="E632" t="s">
        <v>14</v>
      </c>
      <c r="F632">
        <v>30</v>
      </c>
      <c r="G632" t="s">
        <v>12</v>
      </c>
      <c r="H632">
        <v>3</v>
      </c>
      <c r="I632">
        <v>300</v>
      </c>
      <c r="J632">
        <v>165</v>
      </c>
      <c r="K632">
        <v>900</v>
      </c>
    </row>
    <row r="633" spans="1:11">
      <c r="A633">
        <v>1660</v>
      </c>
      <c r="B633" s="1">
        <v>45192</v>
      </c>
      <c r="C633" s="2">
        <v>0.8520833333333333</v>
      </c>
      <c r="D633">
        <v>2</v>
      </c>
      <c r="E633" t="s">
        <v>14</v>
      </c>
      <c r="F633">
        <v>38</v>
      </c>
      <c r="G633" t="s">
        <v>13</v>
      </c>
      <c r="H633">
        <v>2</v>
      </c>
      <c r="I633">
        <v>500</v>
      </c>
      <c r="J633">
        <v>160</v>
      </c>
      <c r="K633">
        <v>1000</v>
      </c>
    </row>
    <row r="634" spans="1:11">
      <c r="A634">
        <v>1884</v>
      </c>
      <c r="B634" s="1">
        <v>45116</v>
      </c>
      <c r="C634" s="2">
        <v>0.90625</v>
      </c>
      <c r="D634">
        <v>2</v>
      </c>
      <c r="E634" t="s">
        <v>14</v>
      </c>
      <c r="F634">
        <v>26</v>
      </c>
      <c r="G634" t="s">
        <v>12</v>
      </c>
      <c r="H634">
        <v>2</v>
      </c>
      <c r="I634">
        <v>30</v>
      </c>
      <c r="J634">
        <v>11.4</v>
      </c>
      <c r="K634">
        <v>60</v>
      </c>
    </row>
    <row r="635" spans="1:11">
      <c r="A635">
        <v>1987</v>
      </c>
      <c r="B635" s="1">
        <v>45072</v>
      </c>
      <c r="C635" s="2">
        <v>0.76249999999999996</v>
      </c>
      <c r="D635">
        <v>2</v>
      </c>
      <c r="E635" t="s">
        <v>14</v>
      </c>
      <c r="F635">
        <v>30</v>
      </c>
      <c r="G635" t="s">
        <v>12</v>
      </c>
      <c r="H635">
        <v>3</v>
      </c>
      <c r="I635">
        <v>300</v>
      </c>
      <c r="J635">
        <v>129</v>
      </c>
      <c r="K635">
        <v>900</v>
      </c>
    </row>
    <row r="636" spans="1:11">
      <c r="A636">
        <v>18</v>
      </c>
      <c r="B636" s="1">
        <v>45175</v>
      </c>
      <c r="C636" s="2">
        <v>0.80069444444444449</v>
      </c>
      <c r="D636">
        <v>5</v>
      </c>
      <c r="E636" t="s">
        <v>14</v>
      </c>
      <c r="F636">
        <v>47</v>
      </c>
      <c r="G636" t="s">
        <v>15</v>
      </c>
      <c r="H636">
        <v>2</v>
      </c>
      <c r="I636">
        <v>25</v>
      </c>
      <c r="J636">
        <v>12.5</v>
      </c>
      <c r="K636">
        <v>50</v>
      </c>
    </row>
    <row r="637" spans="1:11">
      <c r="A637">
        <v>69</v>
      </c>
      <c r="B637" s="1">
        <v>45244</v>
      </c>
      <c r="C637" s="2">
        <v>0.94722222222222219</v>
      </c>
      <c r="D637">
        <v>1</v>
      </c>
      <c r="E637" t="s">
        <v>14</v>
      </c>
      <c r="F637">
        <v>56</v>
      </c>
      <c r="G637" t="s">
        <v>13</v>
      </c>
      <c r="H637">
        <v>3</v>
      </c>
      <c r="I637">
        <v>25</v>
      </c>
      <c r="J637">
        <v>8.5</v>
      </c>
      <c r="K637">
        <v>75</v>
      </c>
    </row>
    <row r="638" spans="1:11">
      <c r="A638">
        <v>995</v>
      </c>
      <c r="B638" s="1">
        <v>44989</v>
      </c>
      <c r="C638" s="2">
        <v>0.94305555555555554</v>
      </c>
      <c r="D638">
        <v>4</v>
      </c>
      <c r="E638" t="s">
        <v>14</v>
      </c>
      <c r="F638">
        <v>41</v>
      </c>
      <c r="G638" t="s">
        <v>12</v>
      </c>
      <c r="H638">
        <v>1</v>
      </c>
      <c r="I638">
        <v>30</v>
      </c>
      <c r="J638">
        <v>9.9</v>
      </c>
      <c r="K638">
        <v>30</v>
      </c>
    </row>
    <row r="639" spans="1:11">
      <c r="A639">
        <v>1018</v>
      </c>
      <c r="B639" s="1">
        <v>45113</v>
      </c>
      <c r="C639" s="2">
        <v>0.80069444444444449</v>
      </c>
      <c r="D639">
        <v>4</v>
      </c>
      <c r="E639" t="s">
        <v>14</v>
      </c>
      <c r="F639">
        <v>47</v>
      </c>
      <c r="G639" t="s">
        <v>15</v>
      </c>
      <c r="H639">
        <v>2</v>
      </c>
      <c r="I639">
        <v>25</v>
      </c>
      <c r="J639">
        <v>13</v>
      </c>
      <c r="K639">
        <v>50</v>
      </c>
    </row>
    <row r="640" spans="1:11">
      <c r="A640">
        <v>1069</v>
      </c>
      <c r="B640" s="1">
        <v>45212</v>
      </c>
      <c r="C640" s="2">
        <v>0.79513888888888884</v>
      </c>
      <c r="D640">
        <v>2</v>
      </c>
      <c r="E640" t="s">
        <v>14</v>
      </c>
      <c r="F640">
        <v>56</v>
      </c>
      <c r="G640" t="s">
        <v>13</v>
      </c>
      <c r="H640">
        <v>3</v>
      </c>
      <c r="I640">
        <v>25</v>
      </c>
      <c r="J640">
        <v>6.75</v>
      </c>
      <c r="K640">
        <v>75</v>
      </c>
    </row>
    <row r="641" spans="1:11">
      <c r="A641">
        <v>1995</v>
      </c>
      <c r="B641" s="1">
        <v>45270</v>
      </c>
      <c r="C641" s="2">
        <v>0.9291666666666667</v>
      </c>
      <c r="D641">
        <v>5</v>
      </c>
      <c r="E641" t="s">
        <v>14</v>
      </c>
      <c r="F641">
        <v>41</v>
      </c>
      <c r="G641" t="s">
        <v>12</v>
      </c>
      <c r="H641">
        <v>1</v>
      </c>
      <c r="I641">
        <v>30</v>
      </c>
      <c r="J641">
        <v>14.7</v>
      </c>
      <c r="K641">
        <v>30</v>
      </c>
    </row>
    <row r="642" spans="1:11">
      <c r="A642">
        <v>337</v>
      </c>
      <c r="B642" s="1">
        <v>45160</v>
      </c>
      <c r="C642" s="2">
        <v>0.74722222222222223</v>
      </c>
      <c r="D642">
        <v>1</v>
      </c>
      <c r="E642" t="s">
        <v>11</v>
      </c>
      <c r="F642">
        <v>38</v>
      </c>
      <c r="G642" t="s">
        <v>12</v>
      </c>
      <c r="H642">
        <v>1</v>
      </c>
      <c r="I642">
        <v>500</v>
      </c>
      <c r="J642">
        <v>275</v>
      </c>
      <c r="K642">
        <v>500</v>
      </c>
    </row>
    <row r="643" spans="1:11">
      <c r="A643">
        <v>585</v>
      </c>
      <c r="B643" s="1">
        <v>45083</v>
      </c>
      <c r="C643" s="2">
        <v>0.90902777777777777</v>
      </c>
      <c r="D643">
        <v>3</v>
      </c>
      <c r="E643" t="s">
        <v>14</v>
      </c>
      <c r="F643">
        <v>24</v>
      </c>
      <c r="G643" t="s">
        <v>12</v>
      </c>
      <c r="H643">
        <v>1</v>
      </c>
      <c r="I643">
        <v>25</v>
      </c>
      <c r="J643">
        <v>13.75</v>
      </c>
      <c r="K643">
        <v>25</v>
      </c>
    </row>
    <row r="644" spans="1:11">
      <c r="A644">
        <v>652</v>
      </c>
      <c r="B644" s="1">
        <v>45230</v>
      </c>
      <c r="C644" s="2">
        <v>0.71180555555555558</v>
      </c>
      <c r="D644">
        <v>4</v>
      </c>
      <c r="E644" t="s">
        <v>14</v>
      </c>
      <c r="F644">
        <v>34</v>
      </c>
      <c r="G644" t="s">
        <v>13</v>
      </c>
      <c r="H644">
        <v>2</v>
      </c>
      <c r="I644">
        <v>50</v>
      </c>
      <c r="J644">
        <v>20.5</v>
      </c>
      <c r="K644">
        <v>100</v>
      </c>
    </row>
    <row r="645" spans="1:11">
      <c r="A645">
        <v>1337</v>
      </c>
      <c r="B645" s="1">
        <v>45128</v>
      </c>
      <c r="C645" s="2">
        <v>0.8305555555555556</v>
      </c>
      <c r="D645">
        <v>2</v>
      </c>
      <c r="E645" t="s">
        <v>11</v>
      </c>
      <c r="F645">
        <v>38</v>
      </c>
      <c r="G645" t="s">
        <v>12</v>
      </c>
      <c r="H645">
        <v>1</v>
      </c>
      <c r="I645">
        <v>500</v>
      </c>
      <c r="J645">
        <v>225</v>
      </c>
      <c r="K645">
        <v>500</v>
      </c>
    </row>
    <row r="646" spans="1:11">
      <c r="A646">
        <v>1585</v>
      </c>
      <c r="B646" s="1">
        <v>45204</v>
      </c>
      <c r="C646" s="2">
        <v>0.83333333333333337</v>
      </c>
      <c r="D646">
        <v>2</v>
      </c>
      <c r="E646" t="s">
        <v>14</v>
      </c>
      <c r="F646">
        <v>24</v>
      </c>
      <c r="G646" t="s">
        <v>12</v>
      </c>
      <c r="H646">
        <v>1</v>
      </c>
      <c r="I646">
        <v>25</v>
      </c>
      <c r="J646">
        <v>7.25</v>
      </c>
      <c r="K646">
        <v>25</v>
      </c>
    </row>
    <row r="647" spans="1:11">
      <c r="A647">
        <v>1652</v>
      </c>
      <c r="B647" s="1">
        <v>45246</v>
      </c>
      <c r="C647" s="2">
        <v>0.83333333333333337</v>
      </c>
      <c r="D647">
        <v>2</v>
      </c>
      <c r="E647" t="s">
        <v>14</v>
      </c>
      <c r="F647">
        <v>34</v>
      </c>
      <c r="G647" t="s">
        <v>13</v>
      </c>
      <c r="H647">
        <v>2</v>
      </c>
      <c r="I647">
        <v>50</v>
      </c>
      <c r="J647">
        <v>20.5</v>
      </c>
      <c r="K647">
        <v>100</v>
      </c>
    </row>
    <row r="648" spans="1:11">
      <c r="A648">
        <v>242</v>
      </c>
      <c r="B648" s="1">
        <v>45200</v>
      </c>
      <c r="C648" s="2">
        <v>0.76944444444444449</v>
      </c>
      <c r="D648">
        <v>1</v>
      </c>
      <c r="E648" t="s">
        <v>11</v>
      </c>
      <c r="F648">
        <v>21</v>
      </c>
      <c r="G648" t="s">
        <v>12</v>
      </c>
      <c r="H648">
        <v>1</v>
      </c>
      <c r="I648">
        <v>25</v>
      </c>
      <c r="J648">
        <v>8</v>
      </c>
      <c r="K648">
        <v>25</v>
      </c>
    </row>
    <row r="649" spans="1:11">
      <c r="A649">
        <v>293</v>
      </c>
      <c r="B649" s="1">
        <v>45073</v>
      </c>
      <c r="C649" s="2">
        <v>0.7944444444444444</v>
      </c>
      <c r="D649">
        <v>4</v>
      </c>
      <c r="E649" t="s">
        <v>11</v>
      </c>
      <c r="F649">
        <v>50</v>
      </c>
      <c r="G649" t="s">
        <v>15</v>
      </c>
      <c r="H649">
        <v>3</v>
      </c>
      <c r="I649">
        <v>30</v>
      </c>
      <c r="J649">
        <v>9.6</v>
      </c>
      <c r="K649">
        <v>90</v>
      </c>
    </row>
    <row r="650" spans="1:11">
      <c r="A650">
        <v>460</v>
      </c>
      <c r="B650" s="1">
        <v>45047</v>
      </c>
      <c r="C650" s="2">
        <v>0.95833333333333337</v>
      </c>
      <c r="D650">
        <v>2</v>
      </c>
      <c r="E650" t="s">
        <v>11</v>
      </c>
      <c r="F650">
        <v>40</v>
      </c>
      <c r="G650" t="s">
        <v>13</v>
      </c>
      <c r="H650">
        <v>1</v>
      </c>
      <c r="I650">
        <v>50</v>
      </c>
      <c r="J650">
        <v>19</v>
      </c>
      <c r="K650">
        <v>50</v>
      </c>
    </row>
    <row r="651" spans="1:11">
      <c r="A651">
        <v>1242</v>
      </c>
      <c r="B651" s="1">
        <v>45257</v>
      </c>
      <c r="C651" s="2">
        <v>0.77222222222222225</v>
      </c>
      <c r="D651">
        <v>5</v>
      </c>
      <c r="E651" t="s">
        <v>11</v>
      </c>
      <c r="F651">
        <v>21</v>
      </c>
      <c r="G651" t="s">
        <v>12</v>
      </c>
      <c r="H651">
        <v>1</v>
      </c>
      <c r="I651">
        <v>25</v>
      </c>
      <c r="J651">
        <v>11.25</v>
      </c>
      <c r="K651">
        <v>25</v>
      </c>
    </row>
    <row r="652" spans="1:11">
      <c r="A652">
        <v>1293</v>
      </c>
      <c r="B652" s="1">
        <v>45108</v>
      </c>
      <c r="C652" s="2">
        <v>0.78611111111111109</v>
      </c>
      <c r="D652">
        <v>3</v>
      </c>
      <c r="E652" t="s">
        <v>11</v>
      </c>
      <c r="F652">
        <v>50</v>
      </c>
      <c r="G652" t="s">
        <v>15</v>
      </c>
      <c r="H652">
        <v>3</v>
      </c>
      <c r="I652">
        <v>30</v>
      </c>
      <c r="J652">
        <v>14.1</v>
      </c>
      <c r="K652">
        <v>90</v>
      </c>
    </row>
    <row r="653" spans="1:11">
      <c r="A653">
        <v>1460</v>
      </c>
      <c r="B653" s="1">
        <v>44951</v>
      </c>
      <c r="C653" s="2">
        <v>0.8208333333333333</v>
      </c>
      <c r="D653">
        <v>4</v>
      </c>
      <c r="E653" t="s">
        <v>11</v>
      </c>
      <c r="F653">
        <v>40</v>
      </c>
      <c r="G653" t="s">
        <v>13</v>
      </c>
      <c r="H653">
        <v>1</v>
      </c>
      <c r="I653">
        <v>50</v>
      </c>
      <c r="J653">
        <v>22</v>
      </c>
      <c r="K653">
        <v>50</v>
      </c>
    </row>
    <row r="654" spans="1:11">
      <c r="A654">
        <v>188</v>
      </c>
      <c r="B654" s="1">
        <v>45169</v>
      </c>
      <c r="C654" s="2">
        <v>0.78472222222222221</v>
      </c>
      <c r="D654">
        <v>3</v>
      </c>
      <c r="E654" t="s">
        <v>11</v>
      </c>
      <c r="F654">
        <v>40</v>
      </c>
      <c r="G654" t="s">
        <v>12</v>
      </c>
      <c r="H654">
        <v>3</v>
      </c>
      <c r="I654">
        <v>25</v>
      </c>
      <c r="J654">
        <v>8.5</v>
      </c>
      <c r="K654">
        <v>75</v>
      </c>
    </row>
    <row r="655" spans="1:11">
      <c r="A655">
        <v>357</v>
      </c>
      <c r="B655" s="1">
        <v>45064</v>
      </c>
      <c r="C655" s="2">
        <v>0.7895833333333333</v>
      </c>
      <c r="D655">
        <v>4</v>
      </c>
      <c r="E655" t="s">
        <v>14</v>
      </c>
      <c r="F655">
        <v>40</v>
      </c>
      <c r="G655" t="s">
        <v>15</v>
      </c>
      <c r="H655">
        <v>3</v>
      </c>
      <c r="I655">
        <v>25</v>
      </c>
      <c r="J655">
        <v>7.5</v>
      </c>
      <c r="K655">
        <v>75</v>
      </c>
    </row>
    <row r="656" spans="1:11">
      <c r="A656">
        <v>646</v>
      </c>
      <c r="B656" s="1">
        <v>45072</v>
      </c>
      <c r="C656" s="2">
        <v>0.87638888888888888</v>
      </c>
      <c r="D656">
        <v>3</v>
      </c>
      <c r="E656" t="s">
        <v>11</v>
      </c>
      <c r="F656">
        <v>38</v>
      </c>
      <c r="G656" t="s">
        <v>12</v>
      </c>
      <c r="H656">
        <v>3</v>
      </c>
      <c r="I656">
        <v>30</v>
      </c>
      <c r="J656">
        <v>13.5</v>
      </c>
      <c r="K656">
        <v>90</v>
      </c>
    </row>
    <row r="657" spans="1:11">
      <c r="A657">
        <v>749</v>
      </c>
      <c r="B657" s="1">
        <v>45133</v>
      </c>
      <c r="C657" s="2">
        <v>0.85624999999999996</v>
      </c>
      <c r="D657">
        <v>2</v>
      </c>
      <c r="E657" t="s">
        <v>11</v>
      </c>
      <c r="F657">
        <v>42</v>
      </c>
      <c r="G657" t="s">
        <v>13</v>
      </c>
      <c r="H657">
        <v>1</v>
      </c>
      <c r="I657">
        <v>30</v>
      </c>
      <c r="J657">
        <v>8.4</v>
      </c>
      <c r="K657">
        <v>30</v>
      </c>
    </row>
    <row r="658" spans="1:11">
      <c r="A658">
        <v>974</v>
      </c>
      <c r="B658" s="1">
        <v>45288</v>
      </c>
      <c r="C658" s="2">
        <v>0.77708333333333335</v>
      </c>
      <c r="D658">
        <v>3</v>
      </c>
      <c r="E658" t="s">
        <v>11</v>
      </c>
      <c r="F658">
        <v>47</v>
      </c>
      <c r="G658" t="s">
        <v>13</v>
      </c>
      <c r="H658">
        <v>1</v>
      </c>
      <c r="I658">
        <v>30</v>
      </c>
      <c r="J658">
        <v>11.7</v>
      </c>
      <c r="K658">
        <v>30</v>
      </c>
    </row>
    <row r="659" spans="1:11">
      <c r="A659">
        <v>1188</v>
      </c>
      <c r="B659" s="1">
        <v>45081</v>
      </c>
      <c r="C659" s="2">
        <v>0.94652777777777775</v>
      </c>
      <c r="D659">
        <v>2</v>
      </c>
      <c r="E659" t="s">
        <v>11</v>
      </c>
      <c r="F659">
        <v>40</v>
      </c>
      <c r="G659" t="s">
        <v>12</v>
      </c>
      <c r="H659">
        <v>3</v>
      </c>
      <c r="I659">
        <v>25</v>
      </c>
      <c r="J659">
        <v>10.75</v>
      </c>
      <c r="K659">
        <v>75</v>
      </c>
    </row>
    <row r="660" spans="1:11">
      <c r="A660">
        <v>1357</v>
      </c>
      <c r="B660" s="1">
        <v>45005</v>
      </c>
      <c r="C660" s="2">
        <v>0.80138888888888893</v>
      </c>
      <c r="D660">
        <v>3</v>
      </c>
      <c r="E660" t="s">
        <v>14</v>
      </c>
      <c r="F660">
        <v>40</v>
      </c>
      <c r="G660" t="s">
        <v>15</v>
      </c>
      <c r="H660">
        <v>3</v>
      </c>
      <c r="I660">
        <v>25</v>
      </c>
      <c r="J660">
        <v>11.5</v>
      </c>
      <c r="K660">
        <v>75</v>
      </c>
    </row>
    <row r="661" spans="1:11">
      <c r="A661">
        <v>1646</v>
      </c>
      <c r="B661" s="1">
        <v>44944</v>
      </c>
      <c r="C661" s="2">
        <v>0.82152777777777775</v>
      </c>
      <c r="D661">
        <v>1</v>
      </c>
      <c r="E661" t="s">
        <v>11</v>
      </c>
      <c r="F661">
        <v>38</v>
      </c>
      <c r="G661" t="s">
        <v>12</v>
      </c>
      <c r="H661">
        <v>3</v>
      </c>
      <c r="I661">
        <v>30</v>
      </c>
      <c r="J661">
        <v>15.6</v>
      </c>
      <c r="K661">
        <v>90</v>
      </c>
    </row>
    <row r="662" spans="1:11">
      <c r="A662">
        <v>1749</v>
      </c>
      <c r="B662" s="1">
        <v>45053</v>
      </c>
      <c r="C662" s="2">
        <v>0.82986111111111116</v>
      </c>
      <c r="D662">
        <v>2</v>
      </c>
      <c r="E662" t="s">
        <v>11</v>
      </c>
      <c r="F662">
        <v>42</v>
      </c>
      <c r="G662" t="s">
        <v>13</v>
      </c>
      <c r="H662">
        <v>1</v>
      </c>
      <c r="I662">
        <v>30</v>
      </c>
      <c r="J662">
        <v>9</v>
      </c>
      <c r="K662">
        <v>30</v>
      </c>
    </row>
    <row r="663" spans="1:11">
      <c r="A663">
        <v>1974</v>
      </c>
      <c r="B663" s="1">
        <v>44976</v>
      </c>
      <c r="C663" s="2">
        <v>0.84722222222222221</v>
      </c>
      <c r="D663">
        <v>3</v>
      </c>
      <c r="E663" t="s">
        <v>11</v>
      </c>
      <c r="F663">
        <v>47</v>
      </c>
      <c r="G663" t="s">
        <v>13</v>
      </c>
      <c r="H663">
        <v>1</v>
      </c>
      <c r="I663">
        <v>30</v>
      </c>
      <c r="J663">
        <v>12.9</v>
      </c>
      <c r="K663">
        <v>30</v>
      </c>
    </row>
    <row r="664" spans="1:11">
      <c r="A664">
        <v>190</v>
      </c>
      <c r="B664" s="1">
        <v>44951</v>
      </c>
      <c r="C664" s="2">
        <v>0.74722222222222223</v>
      </c>
      <c r="D664">
        <v>2</v>
      </c>
      <c r="E664" t="s">
        <v>14</v>
      </c>
      <c r="F664">
        <v>60</v>
      </c>
      <c r="G664" t="s">
        <v>13</v>
      </c>
      <c r="H664">
        <v>3</v>
      </c>
      <c r="I664">
        <v>30</v>
      </c>
      <c r="J664">
        <v>10.5</v>
      </c>
      <c r="K664">
        <v>90</v>
      </c>
    </row>
    <row r="665" spans="1:11">
      <c r="A665">
        <v>849</v>
      </c>
      <c r="B665" s="1">
        <v>45102</v>
      </c>
      <c r="C665" s="2">
        <v>0.81458333333333333</v>
      </c>
      <c r="D665">
        <v>5</v>
      </c>
      <c r="E665" t="s">
        <v>11</v>
      </c>
      <c r="F665">
        <v>32</v>
      </c>
      <c r="G665" t="s">
        <v>12</v>
      </c>
      <c r="H665">
        <v>2</v>
      </c>
      <c r="I665">
        <v>25</v>
      </c>
      <c r="J665">
        <v>12.5</v>
      </c>
      <c r="K665">
        <v>50</v>
      </c>
    </row>
    <row r="666" spans="1:11">
      <c r="A666">
        <v>853</v>
      </c>
      <c r="B666" s="1">
        <v>45060</v>
      </c>
      <c r="C666" s="2">
        <v>0.93680555555555556</v>
      </c>
      <c r="D666">
        <v>3</v>
      </c>
      <c r="E666" t="s">
        <v>11</v>
      </c>
      <c r="F666">
        <v>21</v>
      </c>
      <c r="G666" t="s">
        <v>13</v>
      </c>
      <c r="H666">
        <v>2</v>
      </c>
      <c r="I666">
        <v>500</v>
      </c>
      <c r="J666">
        <v>155</v>
      </c>
      <c r="K666">
        <v>1000</v>
      </c>
    </row>
    <row r="667" spans="1:11">
      <c r="A667">
        <v>1190</v>
      </c>
      <c r="B667" s="1">
        <v>45198</v>
      </c>
      <c r="C667" s="2">
        <v>0.875</v>
      </c>
      <c r="D667">
        <v>4</v>
      </c>
      <c r="E667" t="s">
        <v>14</v>
      </c>
      <c r="F667">
        <v>60</v>
      </c>
      <c r="G667" t="s">
        <v>13</v>
      </c>
      <c r="H667">
        <v>3</v>
      </c>
      <c r="I667">
        <v>30</v>
      </c>
      <c r="J667">
        <v>10.8</v>
      </c>
      <c r="K667">
        <v>90</v>
      </c>
    </row>
    <row r="668" spans="1:11">
      <c r="A668">
        <v>1849</v>
      </c>
      <c r="B668" s="1">
        <v>45128</v>
      </c>
      <c r="C668" s="2">
        <v>0.9458333333333333</v>
      </c>
      <c r="D668">
        <v>1</v>
      </c>
      <c r="E668" t="s">
        <v>11</v>
      </c>
      <c r="F668">
        <v>32</v>
      </c>
      <c r="G668" t="s">
        <v>12</v>
      </c>
      <c r="H668">
        <v>2</v>
      </c>
      <c r="I668">
        <v>25</v>
      </c>
      <c r="J668">
        <v>12</v>
      </c>
      <c r="K668">
        <v>50</v>
      </c>
    </row>
    <row r="669" spans="1:11">
      <c r="A669">
        <v>1853</v>
      </c>
      <c r="B669" s="1">
        <v>45075</v>
      </c>
      <c r="C669" s="2">
        <v>0.77708333333333335</v>
      </c>
      <c r="D669">
        <v>2</v>
      </c>
      <c r="E669" t="s">
        <v>11</v>
      </c>
      <c r="F669">
        <v>21</v>
      </c>
      <c r="G669" t="s">
        <v>13</v>
      </c>
      <c r="H669">
        <v>2</v>
      </c>
      <c r="I669">
        <v>500</v>
      </c>
      <c r="J669">
        <v>190</v>
      </c>
      <c r="K669">
        <v>1000</v>
      </c>
    </row>
    <row r="670" spans="1:11">
      <c r="A670">
        <v>252</v>
      </c>
      <c r="B670" s="1">
        <v>45051</v>
      </c>
      <c r="C670" s="2">
        <v>0.73402777777777772</v>
      </c>
      <c r="D670">
        <v>1</v>
      </c>
      <c r="E670" t="s">
        <v>11</v>
      </c>
      <c r="F670">
        <v>54</v>
      </c>
      <c r="G670" t="s">
        <v>15</v>
      </c>
      <c r="H670">
        <v>1</v>
      </c>
      <c r="I670">
        <v>300</v>
      </c>
      <c r="J670">
        <v>84</v>
      </c>
      <c r="K670">
        <v>300</v>
      </c>
    </row>
    <row r="671" spans="1:11">
      <c r="A671">
        <v>606</v>
      </c>
      <c r="B671" s="1">
        <v>45090</v>
      </c>
      <c r="C671" s="2">
        <v>0.84652777777777777</v>
      </c>
      <c r="D671">
        <v>2</v>
      </c>
      <c r="E671" t="s">
        <v>11</v>
      </c>
      <c r="F671">
        <v>22</v>
      </c>
      <c r="G671" t="s">
        <v>15</v>
      </c>
      <c r="H671">
        <v>1</v>
      </c>
      <c r="I671">
        <v>50</v>
      </c>
      <c r="J671">
        <v>19.5</v>
      </c>
      <c r="K671">
        <v>50</v>
      </c>
    </row>
    <row r="672" spans="1:11">
      <c r="A672">
        <v>779</v>
      </c>
      <c r="B672" s="1">
        <v>45061</v>
      </c>
      <c r="C672" s="2">
        <v>0.80486111111111114</v>
      </c>
      <c r="D672">
        <v>3</v>
      </c>
      <c r="E672" t="s">
        <v>14</v>
      </c>
      <c r="F672">
        <v>56</v>
      </c>
      <c r="G672" t="s">
        <v>15</v>
      </c>
      <c r="H672">
        <v>2</v>
      </c>
      <c r="I672">
        <v>500</v>
      </c>
      <c r="J672">
        <v>155</v>
      </c>
      <c r="K672">
        <v>1000</v>
      </c>
    </row>
    <row r="673" spans="1:11">
      <c r="A673">
        <v>824</v>
      </c>
      <c r="B673" s="1">
        <v>44982</v>
      </c>
      <c r="C673" s="2">
        <v>0.79861111111111116</v>
      </c>
      <c r="D673">
        <v>3</v>
      </c>
      <c r="E673" t="s">
        <v>11</v>
      </c>
      <c r="F673">
        <v>63</v>
      </c>
      <c r="G673" t="s">
        <v>12</v>
      </c>
      <c r="H673">
        <v>4</v>
      </c>
      <c r="I673">
        <v>30</v>
      </c>
      <c r="J673">
        <v>9.3000000000000007</v>
      </c>
      <c r="K673">
        <v>120</v>
      </c>
    </row>
    <row r="674" spans="1:11">
      <c r="A674">
        <v>866</v>
      </c>
      <c r="B674" s="1">
        <v>45113</v>
      </c>
      <c r="C674" s="2">
        <v>0.76111111111111107</v>
      </c>
      <c r="D674">
        <v>4</v>
      </c>
      <c r="E674" t="s">
        <v>11</v>
      </c>
      <c r="F674">
        <v>24</v>
      </c>
      <c r="G674" t="s">
        <v>15</v>
      </c>
      <c r="H674">
        <v>1</v>
      </c>
      <c r="I674">
        <v>50</v>
      </c>
      <c r="J674">
        <v>22.5</v>
      </c>
      <c r="K674">
        <v>50</v>
      </c>
    </row>
    <row r="675" spans="1:11">
      <c r="A675">
        <v>1252</v>
      </c>
      <c r="B675" s="1">
        <v>45290</v>
      </c>
      <c r="C675" s="2">
        <v>0.84583333333333333</v>
      </c>
      <c r="D675">
        <v>5</v>
      </c>
      <c r="E675" t="s">
        <v>11</v>
      </c>
      <c r="F675">
        <v>54</v>
      </c>
      <c r="G675" t="s">
        <v>15</v>
      </c>
      <c r="H675">
        <v>1</v>
      </c>
      <c r="I675">
        <v>300</v>
      </c>
      <c r="J675">
        <v>117</v>
      </c>
      <c r="K675">
        <v>300</v>
      </c>
    </row>
    <row r="676" spans="1:11">
      <c r="A676">
        <v>1606</v>
      </c>
      <c r="B676" s="1">
        <v>45218</v>
      </c>
      <c r="C676" s="2">
        <v>0.82777777777777772</v>
      </c>
      <c r="D676">
        <v>2</v>
      </c>
      <c r="E676" t="s">
        <v>11</v>
      </c>
      <c r="F676">
        <v>22</v>
      </c>
      <c r="G676" t="s">
        <v>15</v>
      </c>
      <c r="H676">
        <v>1</v>
      </c>
      <c r="I676">
        <v>50</v>
      </c>
      <c r="J676">
        <v>26.5</v>
      </c>
      <c r="K676">
        <v>50</v>
      </c>
    </row>
    <row r="677" spans="1:11">
      <c r="A677">
        <v>1779</v>
      </c>
      <c r="B677" s="1">
        <v>44928</v>
      </c>
      <c r="C677" s="2">
        <v>0.82291666666666663</v>
      </c>
      <c r="D677">
        <v>3</v>
      </c>
      <c r="E677" t="s">
        <v>14</v>
      </c>
      <c r="F677">
        <v>56</v>
      </c>
      <c r="G677" t="s">
        <v>15</v>
      </c>
      <c r="H677">
        <v>2</v>
      </c>
      <c r="I677">
        <v>500</v>
      </c>
      <c r="J677">
        <v>190</v>
      </c>
      <c r="K677">
        <v>1000</v>
      </c>
    </row>
    <row r="678" spans="1:11">
      <c r="A678">
        <v>1824</v>
      </c>
      <c r="B678" s="1">
        <v>44950</v>
      </c>
      <c r="C678" s="2">
        <v>0.84652777777777777</v>
      </c>
      <c r="D678">
        <v>4</v>
      </c>
      <c r="E678" t="s">
        <v>11</v>
      </c>
      <c r="F678">
        <v>63</v>
      </c>
      <c r="G678" t="s">
        <v>12</v>
      </c>
      <c r="H678">
        <v>4</v>
      </c>
      <c r="I678">
        <v>30</v>
      </c>
      <c r="J678">
        <v>12.6</v>
      </c>
      <c r="K678">
        <v>120</v>
      </c>
    </row>
    <row r="679" spans="1:11">
      <c r="A679">
        <v>1866</v>
      </c>
      <c r="B679" s="1">
        <v>45155</v>
      </c>
      <c r="C679" s="2">
        <v>0.94305555555555554</v>
      </c>
      <c r="D679">
        <v>5</v>
      </c>
      <c r="E679" t="s">
        <v>11</v>
      </c>
      <c r="F679">
        <v>24</v>
      </c>
      <c r="G679" t="s">
        <v>15</v>
      </c>
      <c r="H679">
        <v>1</v>
      </c>
      <c r="I679">
        <v>50</v>
      </c>
      <c r="J679">
        <v>20</v>
      </c>
      <c r="K679">
        <v>50</v>
      </c>
    </row>
    <row r="680" spans="1:11">
      <c r="A680">
        <v>5</v>
      </c>
      <c r="B680" s="1">
        <v>45174</v>
      </c>
      <c r="C680" s="2">
        <v>0.92361111111111116</v>
      </c>
      <c r="D680">
        <v>3</v>
      </c>
      <c r="E680" t="s">
        <v>11</v>
      </c>
      <c r="F680">
        <v>30</v>
      </c>
      <c r="G680" t="s">
        <v>13</v>
      </c>
      <c r="H680">
        <v>2</v>
      </c>
      <c r="I680">
        <v>50</v>
      </c>
      <c r="J680">
        <v>24</v>
      </c>
      <c r="K680">
        <v>100</v>
      </c>
    </row>
    <row r="681" spans="1:11">
      <c r="A681">
        <v>90</v>
      </c>
      <c r="B681" s="1">
        <v>45179</v>
      </c>
      <c r="C681" s="2">
        <v>0.74513888888888891</v>
      </c>
      <c r="D681">
        <v>3</v>
      </c>
      <c r="E681" t="s">
        <v>14</v>
      </c>
      <c r="F681">
        <v>51</v>
      </c>
      <c r="G681" t="s">
        <v>15</v>
      </c>
      <c r="H681">
        <v>1</v>
      </c>
      <c r="I681">
        <v>30</v>
      </c>
      <c r="J681">
        <v>13.5</v>
      </c>
      <c r="K681">
        <v>30</v>
      </c>
    </row>
    <row r="682" spans="1:11">
      <c r="A682">
        <v>380</v>
      </c>
      <c r="B682" s="1">
        <v>45168</v>
      </c>
      <c r="C682" s="2">
        <v>0.93472222222222223</v>
      </c>
      <c r="D682">
        <v>2</v>
      </c>
      <c r="E682" t="s">
        <v>11</v>
      </c>
      <c r="F682">
        <v>56</v>
      </c>
      <c r="G682" t="s">
        <v>15</v>
      </c>
      <c r="H682">
        <v>2</v>
      </c>
      <c r="I682">
        <v>300</v>
      </c>
      <c r="J682">
        <v>102</v>
      </c>
      <c r="K682">
        <v>600</v>
      </c>
    </row>
    <row r="683" spans="1:11">
      <c r="A683">
        <v>593</v>
      </c>
      <c r="B683" s="1">
        <v>44944</v>
      </c>
      <c r="C683" s="2">
        <v>0.92013888888888884</v>
      </c>
      <c r="D683">
        <v>2</v>
      </c>
      <c r="E683" t="s">
        <v>11</v>
      </c>
      <c r="F683">
        <v>35</v>
      </c>
      <c r="G683" t="s">
        <v>15</v>
      </c>
      <c r="H683">
        <v>2</v>
      </c>
      <c r="I683">
        <v>30</v>
      </c>
      <c r="J683">
        <v>13.2</v>
      </c>
      <c r="K683">
        <v>60</v>
      </c>
    </row>
    <row r="684" spans="1:11">
      <c r="A684">
        <v>820</v>
      </c>
      <c r="B684" s="1">
        <v>44974</v>
      </c>
      <c r="C684" s="2">
        <v>0.9506944444444444</v>
      </c>
      <c r="D684">
        <v>1</v>
      </c>
      <c r="E684" t="s">
        <v>11</v>
      </c>
      <c r="F684">
        <v>49</v>
      </c>
      <c r="G684" t="s">
        <v>15</v>
      </c>
      <c r="H684">
        <v>4</v>
      </c>
      <c r="I684">
        <v>50</v>
      </c>
      <c r="J684">
        <v>24</v>
      </c>
      <c r="K684">
        <v>200</v>
      </c>
    </row>
    <row r="685" spans="1:11">
      <c r="A685">
        <v>1005</v>
      </c>
      <c r="B685" s="1">
        <v>45150</v>
      </c>
      <c r="C685" s="2">
        <v>0.85972222222222228</v>
      </c>
      <c r="D685">
        <v>2</v>
      </c>
      <c r="E685" t="s">
        <v>11</v>
      </c>
      <c r="F685">
        <v>30</v>
      </c>
      <c r="G685" t="s">
        <v>13</v>
      </c>
      <c r="H685">
        <v>2</v>
      </c>
      <c r="I685">
        <v>50</v>
      </c>
      <c r="J685">
        <v>17.5</v>
      </c>
      <c r="K685">
        <v>100</v>
      </c>
    </row>
    <row r="686" spans="1:11">
      <c r="A686">
        <v>1090</v>
      </c>
      <c r="B686" s="1">
        <v>44975</v>
      </c>
      <c r="C686" s="2">
        <v>0.82916666666666672</v>
      </c>
      <c r="D686">
        <v>4</v>
      </c>
      <c r="E686" t="s">
        <v>14</v>
      </c>
      <c r="F686">
        <v>51</v>
      </c>
      <c r="G686" t="s">
        <v>15</v>
      </c>
      <c r="H686">
        <v>1</v>
      </c>
      <c r="I686">
        <v>30</v>
      </c>
      <c r="J686">
        <v>7.5</v>
      </c>
      <c r="K686">
        <v>30</v>
      </c>
    </row>
    <row r="687" spans="1:11">
      <c r="A687">
        <v>1380</v>
      </c>
      <c r="B687" s="1">
        <v>44966</v>
      </c>
      <c r="C687" s="2">
        <v>0.82291666666666663</v>
      </c>
      <c r="D687">
        <v>3</v>
      </c>
      <c r="E687" t="s">
        <v>11</v>
      </c>
      <c r="F687">
        <v>56</v>
      </c>
      <c r="G687" t="s">
        <v>15</v>
      </c>
      <c r="H687">
        <v>2</v>
      </c>
      <c r="I687">
        <v>300</v>
      </c>
      <c r="J687">
        <v>159</v>
      </c>
      <c r="K687">
        <v>600</v>
      </c>
    </row>
    <row r="688" spans="1:11">
      <c r="A688">
        <v>1593</v>
      </c>
      <c r="B688" s="1">
        <v>44981</v>
      </c>
      <c r="C688" s="2">
        <v>0.94374999999999998</v>
      </c>
      <c r="D688">
        <v>5</v>
      </c>
      <c r="E688" t="s">
        <v>11</v>
      </c>
      <c r="F688">
        <v>35</v>
      </c>
      <c r="G688" t="s">
        <v>15</v>
      </c>
      <c r="H688">
        <v>2</v>
      </c>
      <c r="I688">
        <v>30</v>
      </c>
      <c r="J688">
        <v>14.4</v>
      </c>
      <c r="K688">
        <v>60</v>
      </c>
    </row>
    <row r="689" spans="1:11">
      <c r="A689">
        <v>1820</v>
      </c>
      <c r="B689" s="1">
        <v>45059</v>
      </c>
      <c r="C689" s="2">
        <v>0.89652777777777781</v>
      </c>
      <c r="D689">
        <v>1</v>
      </c>
      <c r="E689" t="s">
        <v>11</v>
      </c>
      <c r="F689">
        <v>49</v>
      </c>
      <c r="G689" t="s">
        <v>15</v>
      </c>
      <c r="H689">
        <v>4</v>
      </c>
      <c r="I689">
        <v>50</v>
      </c>
      <c r="J689">
        <v>22</v>
      </c>
      <c r="K689">
        <v>200</v>
      </c>
    </row>
    <row r="690" spans="1:11">
      <c r="A690">
        <v>120</v>
      </c>
      <c r="B690" s="1">
        <v>45016</v>
      </c>
      <c r="C690" s="2">
        <v>0.81597222222222221</v>
      </c>
      <c r="D690">
        <v>4</v>
      </c>
      <c r="E690" t="s">
        <v>11</v>
      </c>
      <c r="F690">
        <v>60</v>
      </c>
      <c r="G690" t="s">
        <v>13</v>
      </c>
      <c r="H690">
        <v>1</v>
      </c>
      <c r="I690">
        <v>50</v>
      </c>
      <c r="J690">
        <v>12.5</v>
      </c>
      <c r="K690">
        <v>50</v>
      </c>
    </row>
    <row r="691" spans="1:11">
      <c r="A691">
        <v>221</v>
      </c>
      <c r="B691" s="1">
        <v>45257</v>
      </c>
      <c r="C691" s="2">
        <v>0.87569444444444444</v>
      </c>
      <c r="D691">
        <v>3</v>
      </c>
      <c r="E691" t="s">
        <v>11</v>
      </c>
      <c r="F691">
        <v>39</v>
      </c>
      <c r="G691" t="s">
        <v>13</v>
      </c>
      <c r="H691">
        <v>2</v>
      </c>
      <c r="I691">
        <v>300</v>
      </c>
      <c r="J691">
        <v>111</v>
      </c>
      <c r="K691">
        <v>600</v>
      </c>
    </row>
    <row r="692" spans="1:11">
      <c r="A692">
        <v>341</v>
      </c>
      <c r="B692" s="1">
        <v>44946</v>
      </c>
      <c r="C692" s="2">
        <v>0.71250000000000002</v>
      </c>
      <c r="D692">
        <v>5</v>
      </c>
      <c r="E692" t="s">
        <v>11</v>
      </c>
      <c r="F692">
        <v>31</v>
      </c>
      <c r="G692" t="s">
        <v>12</v>
      </c>
      <c r="H692">
        <v>4</v>
      </c>
      <c r="I692">
        <v>50</v>
      </c>
      <c r="J692">
        <v>18.5</v>
      </c>
      <c r="K692">
        <v>200</v>
      </c>
    </row>
    <row r="693" spans="1:11">
      <c r="A693">
        <v>640</v>
      </c>
      <c r="B693" s="1">
        <v>45285</v>
      </c>
      <c r="C693" s="2">
        <v>0.83680555555555558</v>
      </c>
      <c r="D693">
        <v>3</v>
      </c>
      <c r="E693" t="s">
        <v>14</v>
      </c>
      <c r="F693">
        <v>51</v>
      </c>
      <c r="G693" t="s">
        <v>15</v>
      </c>
      <c r="H693">
        <v>4</v>
      </c>
      <c r="I693">
        <v>30</v>
      </c>
      <c r="J693">
        <v>12.6</v>
      </c>
      <c r="K693">
        <v>120</v>
      </c>
    </row>
    <row r="694" spans="1:11">
      <c r="A694">
        <v>744</v>
      </c>
      <c r="B694" s="1">
        <v>45069</v>
      </c>
      <c r="C694" s="2">
        <v>0.75138888888888888</v>
      </c>
      <c r="D694">
        <v>1</v>
      </c>
      <c r="E694" t="s">
        <v>11</v>
      </c>
      <c r="F694">
        <v>40</v>
      </c>
      <c r="G694" t="s">
        <v>15</v>
      </c>
      <c r="H694">
        <v>1</v>
      </c>
      <c r="I694">
        <v>25</v>
      </c>
      <c r="J694">
        <v>6.5</v>
      </c>
      <c r="K694">
        <v>25</v>
      </c>
    </row>
    <row r="695" spans="1:11">
      <c r="A695">
        <v>1120</v>
      </c>
      <c r="B695" s="1">
        <v>44987</v>
      </c>
      <c r="C695" s="2">
        <v>0.81388888888888888</v>
      </c>
      <c r="D695">
        <v>4</v>
      </c>
      <c r="E695" t="s">
        <v>11</v>
      </c>
      <c r="F695">
        <v>60</v>
      </c>
      <c r="G695" t="s">
        <v>13</v>
      </c>
      <c r="H695">
        <v>1</v>
      </c>
      <c r="I695">
        <v>50</v>
      </c>
      <c r="J695">
        <v>26.5</v>
      </c>
      <c r="K695">
        <v>50</v>
      </c>
    </row>
    <row r="696" spans="1:11">
      <c r="A696">
        <v>1221</v>
      </c>
      <c r="B696" s="1">
        <v>45183</v>
      </c>
      <c r="C696" s="2">
        <v>0.95625000000000004</v>
      </c>
      <c r="D696">
        <v>5</v>
      </c>
      <c r="E696" t="s">
        <v>11</v>
      </c>
      <c r="F696">
        <v>39</v>
      </c>
      <c r="G696" t="s">
        <v>13</v>
      </c>
      <c r="H696">
        <v>2</v>
      </c>
      <c r="I696">
        <v>300</v>
      </c>
      <c r="J696">
        <v>114</v>
      </c>
      <c r="K696">
        <v>600</v>
      </c>
    </row>
    <row r="697" spans="1:11">
      <c r="A697">
        <v>1341</v>
      </c>
      <c r="B697" s="1">
        <v>44956</v>
      </c>
      <c r="C697" s="2">
        <v>0.92361111111111116</v>
      </c>
      <c r="D697">
        <v>1</v>
      </c>
      <c r="E697" t="s">
        <v>11</v>
      </c>
      <c r="F697">
        <v>31</v>
      </c>
      <c r="G697" t="s">
        <v>12</v>
      </c>
      <c r="H697">
        <v>4</v>
      </c>
      <c r="I697">
        <v>50</v>
      </c>
      <c r="J697">
        <v>21</v>
      </c>
      <c r="K697">
        <v>200</v>
      </c>
    </row>
    <row r="698" spans="1:11">
      <c r="A698">
        <v>1640</v>
      </c>
      <c r="B698" s="1">
        <v>45087</v>
      </c>
      <c r="C698" s="2">
        <v>0.82222222222222219</v>
      </c>
      <c r="D698">
        <v>5</v>
      </c>
      <c r="E698" t="s">
        <v>14</v>
      </c>
      <c r="F698">
        <v>51</v>
      </c>
      <c r="G698" t="s">
        <v>15</v>
      </c>
      <c r="H698">
        <v>4</v>
      </c>
      <c r="I698">
        <v>30</v>
      </c>
      <c r="J698">
        <v>14.1</v>
      </c>
      <c r="K698">
        <v>120</v>
      </c>
    </row>
    <row r="699" spans="1:11">
      <c r="A699">
        <v>1744</v>
      </c>
      <c r="B699" s="1">
        <v>45114</v>
      </c>
      <c r="C699" s="2">
        <v>0.90902777777777777</v>
      </c>
      <c r="D699">
        <v>4</v>
      </c>
      <c r="E699" t="s">
        <v>11</v>
      </c>
      <c r="F699">
        <v>40</v>
      </c>
      <c r="G699" t="s">
        <v>15</v>
      </c>
      <c r="H699">
        <v>1</v>
      </c>
      <c r="I699">
        <v>25</v>
      </c>
      <c r="J699">
        <v>8.75</v>
      </c>
      <c r="K699">
        <v>25</v>
      </c>
    </row>
    <row r="700" spans="1:11">
      <c r="A700">
        <v>273</v>
      </c>
      <c r="B700" s="1">
        <v>45195</v>
      </c>
      <c r="C700" s="2">
        <v>0.85</v>
      </c>
      <c r="D700">
        <v>1</v>
      </c>
      <c r="E700" t="s">
        <v>14</v>
      </c>
      <c r="F700">
        <v>22</v>
      </c>
      <c r="G700" t="s">
        <v>13</v>
      </c>
      <c r="H700">
        <v>1</v>
      </c>
      <c r="I700">
        <v>50</v>
      </c>
      <c r="J700">
        <v>14.5</v>
      </c>
      <c r="K700">
        <v>50</v>
      </c>
    </row>
    <row r="701" spans="1:11">
      <c r="A701">
        <v>283</v>
      </c>
      <c r="B701" s="1">
        <v>45078</v>
      </c>
      <c r="C701" s="2">
        <v>0.83888888888888891</v>
      </c>
      <c r="D701">
        <v>3</v>
      </c>
      <c r="E701" t="s">
        <v>14</v>
      </c>
      <c r="F701">
        <v>18</v>
      </c>
      <c r="G701" t="s">
        <v>15</v>
      </c>
      <c r="H701">
        <v>1</v>
      </c>
      <c r="I701">
        <v>500</v>
      </c>
      <c r="J701">
        <v>165</v>
      </c>
      <c r="K701">
        <v>500</v>
      </c>
    </row>
    <row r="702" spans="1:11">
      <c r="A702">
        <v>452</v>
      </c>
      <c r="B702" s="1">
        <v>44956</v>
      </c>
      <c r="C702" s="2">
        <v>0.94513888888888886</v>
      </c>
      <c r="D702">
        <v>4</v>
      </c>
      <c r="E702" t="s">
        <v>14</v>
      </c>
      <c r="F702">
        <v>48</v>
      </c>
      <c r="G702" t="s">
        <v>12</v>
      </c>
      <c r="H702">
        <v>3</v>
      </c>
      <c r="I702">
        <v>500</v>
      </c>
      <c r="J702">
        <v>240</v>
      </c>
      <c r="K702">
        <v>1500</v>
      </c>
    </row>
    <row r="703" spans="1:11">
      <c r="A703">
        <v>469</v>
      </c>
      <c r="B703" s="1">
        <v>45006</v>
      </c>
      <c r="C703" s="2">
        <v>0.80833333333333335</v>
      </c>
      <c r="D703">
        <v>4</v>
      </c>
      <c r="E703" t="s">
        <v>11</v>
      </c>
      <c r="F703">
        <v>18</v>
      </c>
      <c r="G703" t="s">
        <v>13</v>
      </c>
      <c r="H703">
        <v>3</v>
      </c>
      <c r="I703">
        <v>25</v>
      </c>
      <c r="J703">
        <v>8.75</v>
      </c>
      <c r="K703">
        <v>75</v>
      </c>
    </row>
    <row r="704" spans="1:11">
      <c r="A704">
        <v>620</v>
      </c>
      <c r="B704" s="1">
        <v>45236</v>
      </c>
      <c r="C704" s="2">
        <v>0.87430555555555556</v>
      </c>
      <c r="D704">
        <v>4</v>
      </c>
      <c r="E704" t="s">
        <v>11</v>
      </c>
      <c r="F704">
        <v>63</v>
      </c>
      <c r="G704" t="s">
        <v>15</v>
      </c>
      <c r="H704">
        <v>3</v>
      </c>
      <c r="I704">
        <v>25</v>
      </c>
      <c r="J704">
        <v>7</v>
      </c>
      <c r="K704">
        <v>75</v>
      </c>
    </row>
    <row r="705" spans="1:11">
      <c r="A705">
        <v>946</v>
      </c>
      <c r="B705" s="1">
        <v>45146</v>
      </c>
      <c r="C705" s="2">
        <v>0.84375</v>
      </c>
      <c r="D705">
        <v>2</v>
      </c>
      <c r="E705" t="s">
        <v>11</v>
      </c>
      <c r="F705">
        <v>62</v>
      </c>
      <c r="G705" t="s">
        <v>15</v>
      </c>
      <c r="H705">
        <v>4</v>
      </c>
      <c r="I705">
        <v>500</v>
      </c>
      <c r="J705">
        <v>235</v>
      </c>
      <c r="K705">
        <v>2000</v>
      </c>
    </row>
    <row r="706" spans="1:11">
      <c r="A706">
        <v>1273</v>
      </c>
      <c r="B706" s="1">
        <v>45097</v>
      </c>
      <c r="C706" s="2">
        <v>0.86041666666666672</v>
      </c>
      <c r="D706">
        <v>1</v>
      </c>
      <c r="E706" t="s">
        <v>14</v>
      </c>
      <c r="F706">
        <v>22</v>
      </c>
      <c r="G706" t="s">
        <v>13</v>
      </c>
      <c r="H706">
        <v>1</v>
      </c>
      <c r="I706">
        <v>50</v>
      </c>
      <c r="J706">
        <v>25.5</v>
      </c>
      <c r="K706">
        <v>50</v>
      </c>
    </row>
    <row r="707" spans="1:11">
      <c r="A707">
        <v>1283</v>
      </c>
      <c r="B707" s="1">
        <v>45213</v>
      </c>
      <c r="C707" s="2">
        <v>0.84375</v>
      </c>
      <c r="D707">
        <v>1</v>
      </c>
      <c r="E707" t="s">
        <v>14</v>
      </c>
      <c r="F707">
        <v>18</v>
      </c>
      <c r="G707" t="s">
        <v>15</v>
      </c>
      <c r="H707">
        <v>1</v>
      </c>
      <c r="I707">
        <v>500</v>
      </c>
      <c r="J707">
        <v>130</v>
      </c>
      <c r="K707">
        <v>500</v>
      </c>
    </row>
    <row r="708" spans="1:11">
      <c r="A708">
        <v>1452</v>
      </c>
      <c r="B708" s="1">
        <v>45144</v>
      </c>
      <c r="C708" s="2">
        <v>0.7368055555555556</v>
      </c>
      <c r="D708">
        <v>3</v>
      </c>
      <c r="E708" t="s">
        <v>14</v>
      </c>
      <c r="F708">
        <v>48</v>
      </c>
      <c r="G708" t="s">
        <v>12</v>
      </c>
      <c r="H708">
        <v>3</v>
      </c>
      <c r="I708">
        <v>500</v>
      </c>
      <c r="J708">
        <v>185</v>
      </c>
      <c r="K708">
        <v>1500</v>
      </c>
    </row>
    <row r="709" spans="1:11">
      <c r="A709">
        <v>1469</v>
      </c>
      <c r="B709" s="1">
        <v>45268</v>
      </c>
      <c r="C709" s="2">
        <v>0.72361111111111109</v>
      </c>
      <c r="D709">
        <v>3</v>
      </c>
      <c r="E709" t="s">
        <v>11</v>
      </c>
      <c r="F709">
        <v>18</v>
      </c>
      <c r="G709" t="s">
        <v>13</v>
      </c>
      <c r="H709">
        <v>3</v>
      </c>
      <c r="I709">
        <v>25</v>
      </c>
      <c r="J709">
        <v>12.5</v>
      </c>
      <c r="K709">
        <v>75</v>
      </c>
    </row>
    <row r="710" spans="1:11">
      <c r="A710">
        <v>1620</v>
      </c>
      <c r="B710" s="1">
        <v>44960</v>
      </c>
      <c r="C710" s="2">
        <v>0.95</v>
      </c>
      <c r="D710">
        <v>5</v>
      </c>
      <c r="E710" t="s">
        <v>11</v>
      </c>
      <c r="F710">
        <v>63</v>
      </c>
      <c r="G710" t="s">
        <v>15</v>
      </c>
      <c r="H710">
        <v>3</v>
      </c>
      <c r="I710">
        <v>25</v>
      </c>
      <c r="J710">
        <v>7.75</v>
      </c>
      <c r="K710">
        <v>75</v>
      </c>
    </row>
    <row r="711" spans="1:11">
      <c r="A711">
        <v>1946</v>
      </c>
      <c r="B711" s="1">
        <v>45134</v>
      </c>
      <c r="C711" s="2">
        <v>0.8666666666666667</v>
      </c>
      <c r="D711">
        <v>5</v>
      </c>
      <c r="E711" t="s">
        <v>11</v>
      </c>
      <c r="F711">
        <v>62</v>
      </c>
      <c r="G711" t="s">
        <v>15</v>
      </c>
      <c r="H711">
        <v>4</v>
      </c>
      <c r="I711">
        <v>500</v>
      </c>
      <c r="J711">
        <v>165</v>
      </c>
      <c r="K711">
        <v>2000</v>
      </c>
    </row>
    <row r="712" spans="1:11">
      <c r="A712">
        <v>148</v>
      </c>
      <c r="B712" s="1">
        <v>45110</v>
      </c>
      <c r="C712" s="2">
        <v>0.86041666666666672</v>
      </c>
      <c r="D712">
        <v>5</v>
      </c>
      <c r="E712" t="s">
        <v>11</v>
      </c>
      <c r="F712">
        <v>18</v>
      </c>
      <c r="G712" t="s">
        <v>12</v>
      </c>
      <c r="H712">
        <v>2</v>
      </c>
      <c r="I712">
        <v>30</v>
      </c>
      <c r="J712">
        <v>9.9</v>
      </c>
      <c r="K712">
        <v>60</v>
      </c>
    </row>
    <row r="713" spans="1:11">
      <c r="A713">
        <v>414</v>
      </c>
      <c r="B713" s="1">
        <v>45056</v>
      </c>
      <c r="C713" s="2">
        <v>0.81944444444444442</v>
      </c>
      <c r="D713">
        <v>1</v>
      </c>
      <c r="E713" t="s">
        <v>11</v>
      </c>
      <c r="F713">
        <v>48</v>
      </c>
      <c r="G713" t="s">
        <v>13</v>
      </c>
      <c r="H713">
        <v>4</v>
      </c>
      <c r="I713">
        <v>25</v>
      </c>
      <c r="J713">
        <v>9.75</v>
      </c>
      <c r="K713">
        <v>100</v>
      </c>
    </row>
    <row r="714" spans="1:11">
      <c r="A714">
        <v>883</v>
      </c>
      <c r="B714" s="1">
        <v>45158</v>
      </c>
      <c r="C714" s="2">
        <v>0.86319444444444449</v>
      </c>
      <c r="D714">
        <v>5</v>
      </c>
      <c r="E714" t="s">
        <v>11</v>
      </c>
      <c r="F714">
        <v>40</v>
      </c>
      <c r="G714" t="s">
        <v>15</v>
      </c>
      <c r="H714">
        <v>1</v>
      </c>
      <c r="I714">
        <v>500</v>
      </c>
      <c r="J714">
        <v>245</v>
      </c>
      <c r="K714">
        <v>500</v>
      </c>
    </row>
    <row r="715" spans="1:11">
      <c r="A715">
        <v>1148</v>
      </c>
      <c r="B715" s="1">
        <v>45149</v>
      </c>
      <c r="C715" s="2">
        <v>0.9194444444444444</v>
      </c>
      <c r="D715">
        <v>2</v>
      </c>
      <c r="E715" t="s">
        <v>11</v>
      </c>
      <c r="F715">
        <v>18</v>
      </c>
      <c r="G715" t="s">
        <v>12</v>
      </c>
      <c r="H715">
        <v>2</v>
      </c>
      <c r="I715">
        <v>30</v>
      </c>
      <c r="J715">
        <v>10.8</v>
      </c>
      <c r="K715">
        <v>60</v>
      </c>
    </row>
    <row r="716" spans="1:11">
      <c r="A716">
        <v>1414</v>
      </c>
      <c r="B716" s="1">
        <v>45252</v>
      </c>
      <c r="C716" s="2">
        <v>0.89444444444444449</v>
      </c>
      <c r="D716">
        <v>4</v>
      </c>
      <c r="E716" t="s">
        <v>11</v>
      </c>
      <c r="F716">
        <v>48</v>
      </c>
      <c r="G716" t="s">
        <v>13</v>
      </c>
      <c r="H716">
        <v>4</v>
      </c>
      <c r="I716">
        <v>25</v>
      </c>
      <c r="J716">
        <v>11.25</v>
      </c>
      <c r="K716">
        <v>100</v>
      </c>
    </row>
    <row r="717" spans="1:11">
      <c r="A717">
        <v>1883</v>
      </c>
      <c r="B717" s="1">
        <v>45189</v>
      </c>
      <c r="C717" s="2">
        <v>0.74583333333333335</v>
      </c>
      <c r="D717">
        <v>3</v>
      </c>
      <c r="E717" t="s">
        <v>11</v>
      </c>
      <c r="F717">
        <v>40</v>
      </c>
      <c r="G717" t="s">
        <v>15</v>
      </c>
      <c r="H717">
        <v>1</v>
      </c>
      <c r="I717">
        <v>500</v>
      </c>
      <c r="J717">
        <v>200</v>
      </c>
      <c r="K717">
        <v>500</v>
      </c>
    </row>
    <row r="718" spans="1:11">
      <c r="A718">
        <v>731</v>
      </c>
      <c r="B718" s="1">
        <v>45199</v>
      </c>
      <c r="C718" s="2">
        <v>0.78402777777777777</v>
      </c>
      <c r="D718">
        <v>1</v>
      </c>
      <c r="E718" t="s">
        <v>11</v>
      </c>
      <c r="F718">
        <v>54</v>
      </c>
      <c r="G718" t="s">
        <v>12</v>
      </c>
      <c r="H718">
        <v>4</v>
      </c>
      <c r="I718">
        <v>500</v>
      </c>
      <c r="J718">
        <v>165</v>
      </c>
      <c r="K718">
        <v>2000</v>
      </c>
    </row>
    <row r="719" spans="1:11">
      <c r="A719">
        <v>930</v>
      </c>
      <c r="B719" s="1">
        <v>44938</v>
      </c>
      <c r="C719" s="2">
        <v>0.74583333333333335</v>
      </c>
      <c r="D719">
        <v>1</v>
      </c>
      <c r="E719" t="s">
        <v>11</v>
      </c>
      <c r="F719">
        <v>54</v>
      </c>
      <c r="G719" t="s">
        <v>12</v>
      </c>
      <c r="H719">
        <v>4</v>
      </c>
      <c r="I719">
        <v>50</v>
      </c>
      <c r="J719">
        <v>26</v>
      </c>
      <c r="K719">
        <v>200</v>
      </c>
    </row>
    <row r="720" spans="1:11">
      <c r="A720">
        <v>1731</v>
      </c>
      <c r="B720" s="1">
        <v>45279</v>
      </c>
      <c r="C720" s="2">
        <v>0.7368055555555556</v>
      </c>
      <c r="D720">
        <v>3</v>
      </c>
      <c r="E720" t="s">
        <v>11</v>
      </c>
      <c r="F720">
        <v>54</v>
      </c>
      <c r="G720" t="s">
        <v>12</v>
      </c>
      <c r="H720">
        <v>4</v>
      </c>
      <c r="I720">
        <v>500</v>
      </c>
      <c r="J720">
        <v>195</v>
      </c>
      <c r="K720">
        <v>2000</v>
      </c>
    </row>
    <row r="721" spans="1:11">
      <c r="A721">
        <v>1930</v>
      </c>
      <c r="B721" s="1">
        <v>45281</v>
      </c>
      <c r="C721" s="2">
        <v>0.83194444444444449</v>
      </c>
      <c r="D721">
        <v>5</v>
      </c>
      <c r="E721" t="s">
        <v>11</v>
      </c>
      <c r="F721">
        <v>54</v>
      </c>
      <c r="G721" t="s">
        <v>12</v>
      </c>
      <c r="H721">
        <v>4</v>
      </c>
      <c r="I721">
        <v>50</v>
      </c>
      <c r="J721">
        <v>13</v>
      </c>
      <c r="K721">
        <v>200</v>
      </c>
    </row>
    <row r="722" spans="1:11">
      <c r="A722">
        <v>518</v>
      </c>
      <c r="B722" s="1">
        <v>45138</v>
      </c>
      <c r="C722" s="2">
        <v>0.70902777777777781</v>
      </c>
      <c r="D722">
        <v>2</v>
      </c>
      <c r="E722" t="s">
        <v>14</v>
      </c>
      <c r="F722">
        <v>40</v>
      </c>
      <c r="G722" t="s">
        <v>12</v>
      </c>
      <c r="H722">
        <v>1</v>
      </c>
      <c r="I722">
        <v>30</v>
      </c>
      <c r="J722">
        <v>16.2</v>
      </c>
      <c r="K722">
        <v>30</v>
      </c>
    </row>
    <row r="723" spans="1:11">
      <c r="A723">
        <v>1518</v>
      </c>
      <c r="B723" s="1">
        <v>45064</v>
      </c>
      <c r="C723" s="2">
        <v>0.8354166666666667</v>
      </c>
      <c r="D723">
        <v>3</v>
      </c>
      <c r="E723" t="s">
        <v>14</v>
      </c>
      <c r="F723">
        <v>40</v>
      </c>
      <c r="G723" t="s">
        <v>12</v>
      </c>
      <c r="H723">
        <v>1</v>
      </c>
      <c r="I723">
        <v>30</v>
      </c>
      <c r="J723">
        <v>12.6</v>
      </c>
      <c r="K723">
        <v>30</v>
      </c>
    </row>
    <row r="724" spans="1:11">
      <c r="A724">
        <v>758</v>
      </c>
      <c r="B724" s="1">
        <v>45039</v>
      </c>
      <c r="C724" s="2">
        <v>0.77083333333333337</v>
      </c>
      <c r="D724">
        <v>1</v>
      </c>
      <c r="E724" t="s">
        <v>11</v>
      </c>
      <c r="F724">
        <v>64</v>
      </c>
      <c r="G724" t="s">
        <v>12</v>
      </c>
      <c r="H724">
        <v>4</v>
      </c>
      <c r="I724">
        <v>25</v>
      </c>
      <c r="J724">
        <v>6.75</v>
      </c>
      <c r="K724">
        <v>100</v>
      </c>
    </row>
    <row r="725" spans="1:11">
      <c r="A725">
        <v>1758</v>
      </c>
      <c r="B725" s="1">
        <v>45129</v>
      </c>
      <c r="C725" s="2">
        <v>0.7631944444444444</v>
      </c>
      <c r="D725">
        <v>3</v>
      </c>
      <c r="E725" t="s">
        <v>11</v>
      </c>
      <c r="F725">
        <v>64</v>
      </c>
      <c r="G725" t="s">
        <v>12</v>
      </c>
      <c r="H725">
        <v>4</v>
      </c>
      <c r="I725">
        <v>25</v>
      </c>
      <c r="J725">
        <v>7.5</v>
      </c>
      <c r="K725">
        <v>100</v>
      </c>
    </row>
    <row r="726" spans="1:11">
      <c r="A726">
        <v>639</v>
      </c>
      <c r="B726" s="1">
        <v>45139</v>
      </c>
      <c r="C726" s="2">
        <v>0.82430555555555551</v>
      </c>
      <c r="D726">
        <v>4</v>
      </c>
      <c r="E726" t="s">
        <v>14</v>
      </c>
      <c r="F726">
        <v>62</v>
      </c>
      <c r="G726" t="s">
        <v>13</v>
      </c>
      <c r="H726">
        <v>4</v>
      </c>
      <c r="I726">
        <v>50</v>
      </c>
      <c r="J726">
        <v>26.5</v>
      </c>
      <c r="K726">
        <v>200</v>
      </c>
    </row>
    <row r="727" spans="1:11">
      <c r="A727">
        <v>838</v>
      </c>
      <c r="B727" s="1">
        <v>45199</v>
      </c>
      <c r="C727" s="2">
        <v>0.88888888888888884</v>
      </c>
      <c r="D727">
        <v>1</v>
      </c>
      <c r="E727" t="s">
        <v>11</v>
      </c>
      <c r="F727">
        <v>47</v>
      </c>
      <c r="G727" t="s">
        <v>15</v>
      </c>
      <c r="H727">
        <v>2</v>
      </c>
      <c r="I727">
        <v>300</v>
      </c>
      <c r="J727">
        <v>153</v>
      </c>
      <c r="K727">
        <v>600</v>
      </c>
    </row>
    <row r="728" spans="1:11">
      <c r="A728">
        <v>1639</v>
      </c>
      <c r="B728" s="1">
        <v>45280</v>
      </c>
      <c r="C728" s="2">
        <v>0.75902777777777775</v>
      </c>
      <c r="D728">
        <v>5</v>
      </c>
      <c r="E728" t="s">
        <v>14</v>
      </c>
      <c r="F728">
        <v>62</v>
      </c>
      <c r="G728" t="s">
        <v>13</v>
      </c>
      <c r="H728">
        <v>4</v>
      </c>
      <c r="I728">
        <v>50</v>
      </c>
      <c r="J728">
        <v>24</v>
      </c>
      <c r="K728">
        <v>200</v>
      </c>
    </row>
    <row r="729" spans="1:11">
      <c r="A729">
        <v>1838</v>
      </c>
      <c r="B729" s="1">
        <v>45105</v>
      </c>
      <c r="C729" s="2">
        <v>0.71250000000000002</v>
      </c>
      <c r="D729">
        <v>4</v>
      </c>
      <c r="E729" t="s">
        <v>11</v>
      </c>
      <c r="F729">
        <v>47</v>
      </c>
      <c r="G729" t="s">
        <v>15</v>
      </c>
      <c r="H729">
        <v>2</v>
      </c>
      <c r="I729">
        <v>300</v>
      </c>
      <c r="J729">
        <v>102</v>
      </c>
      <c r="K729">
        <v>600</v>
      </c>
    </row>
    <row r="730" spans="1:11">
      <c r="A730">
        <v>353</v>
      </c>
      <c r="B730" s="1">
        <v>45003</v>
      </c>
      <c r="C730" s="2">
        <v>0.89930555555555558</v>
      </c>
      <c r="D730">
        <v>5</v>
      </c>
      <c r="E730" t="s">
        <v>11</v>
      </c>
      <c r="F730">
        <v>31</v>
      </c>
      <c r="G730" t="s">
        <v>15</v>
      </c>
      <c r="H730">
        <v>1</v>
      </c>
      <c r="I730">
        <v>500</v>
      </c>
      <c r="J730">
        <v>270</v>
      </c>
      <c r="K730">
        <v>500</v>
      </c>
    </row>
    <row r="731" spans="1:11">
      <c r="A731">
        <v>501</v>
      </c>
      <c r="B731" s="1">
        <v>45105</v>
      </c>
      <c r="C731" s="2">
        <v>0.84791666666666665</v>
      </c>
      <c r="D731">
        <v>2</v>
      </c>
      <c r="E731" t="s">
        <v>11</v>
      </c>
      <c r="F731">
        <v>39</v>
      </c>
      <c r="G731" t="s">
        <v>15</v>
      </c>
      <c r="H731">
        <v>2</v>
      </c>
      <c r="I731">
        <v>30</v>
      </c>
      <c r="J731">
        <v>9</v>
      </c>
      <c r="K731">
        <v>60</v>
      </c>
    </row>
    <row r="732" spans="1:11">
      <c r="A732">
        <v>721</v>
      </c>
      <c r="B732" s="1">
        <v>45100</v>
      </c>
      <c r="C732" s="2">
        <v>0.71527777777777779</v>
      </c>
      <c r="D732">
        <v>5</v>
      </c>
      <c r="E732" t="s">
        <v>14</v>
      </c>
      <c r="F732">
        <v>52</v>
      </c>
      <c r="G732" t="s">
        <v>12</v>
      </c>
      <c r="H732">
        <v>1</v>
      </c>
      <c r="I732">
        <v>500</v>
      </c>
      <c r="J732">
        <v>145</v>
      </c>
      <c r="K732">
        <v>500</v>
      </c>
    </row>
    <row r="733" spans="1:11">
      <c r="A733">
        <v>1353</v>
      </c>
      <c r="B733" s="1">
        <v>45173</v>
      </c>
      <c r="C733" s="2">
        <v>0.91597222222222219</v>
      </c>
      <c r="D733">
        <v>3</v>
      </c>
      <c r="E733" t="s">
        <v>11</v>
      </c>
      <c r="F733">
        <v>31</v>
      </c>
      <c r="G733" t="s">
        <v>15</v>
      </c>
      <c r="H733">
        <v>1</v>
      </c>
      <c r="I733">
        <v>500</v>
      </c>
      <c r="J733">
        <v>235</v>
      </c>
      <c r="K733">
        <v>500</v>
      </c>
    </row>
    <row r="734" spans="1:11">
      <c r="A734">
        <v>1501</v>
      </c>
      <c r="B734" s="1">
        <v>44957</v>
      </c>
      <c r="C734" s="2">
        <v>0.75</v>
      </c>
      <c r="D734">
        <v>1</v>
      </c>
      <c r="E734" t="s">
        <v>11</v>
      </c>
      <c r="F734">
        <v>39</v>
      </c>
      <c r="G734" t="s">
        <v>15</v>
      </c>
      <c r="H734">
        <v>2</v>
      </c>
      <c r="I734">
        <v>30</v>
      </c>
      <c r="J734">
        <v>13.5</v>
      </c>
      <c r="K734">
        <v>60</v>
      </c>
    </row>
    <row r="735" spans="1:11">
      <c r="A735">
        <v>1721</v>
      </c>
      <c r="B735" s="1">
        <v>44947</v>
      </c>
      <c r="C735" s="2">
        <v>0.9458333333333333</v>
      </c>
      <c r="D735">
        <v>3</v>
      </c>
      <c r="E735" t="s">
        <v>14</v>
      </c>
      <c r="F735">
        <v>52</v>
      </c>
      <c r="G735" t="s">
        <v>12</v>
      </c>
      <c r="H735">
        <v>1</v>
      </c>
      <c r="I735">
        <v>500</v>
      </c>
      <c r="J735">
        <v>215</v>
      </c>
      <c r="K735">
        <v>500</v>
      </c>
    </row>
    <row r="736" spans="1:11">
      <c r="A736">
        <v>123</v>
      </c>
      <c r="B736" s="1">
        <v>45149</v>
      </c>
      <c r="C736" s="2">
        <v>0.79166666666666663</v>
      </c>
      <c r="D736">
        <v>3</v>
      </c>
      <c r="E736" t="s">
        <v>14</v>
      </c>
      <c r="F736">
        <v>40</v>
      </c>
      <c r="G736" t="s">
        <v>15</v>
      </c>
      <c r="H736">
        <v>2</v>
      </c>
      <c r="I736">
        <v>30</v>
      </c>
      <c r="J736">
        <v>11.7</v>
      </c>
      <c r="K736">
        <v>60</v>
      </c>
    </row>
    <row r="737" spans="1:11">
      <c r="A737">
        <v>164</v>
      </c>
      <c r="B737" s="1">
        <v>44985</v>
      </c>
      <c r="C737" s="2">
        <v>0.7680555555555556</v>
      </c>
      <c r="D737">
        <v>3</v>
      </c>
      <c r="E737" t="s">
        <v>14</v>
      </c>
      <c r="F737">
        <v>47</v>
      </c>
      <c r="G737" t="s">
        <v>13</v>
      </c>
      <c r="H737">
        <v>3</v>
      </c>
      <c r="I737">
        <v>500</v>
      </c>
      <c r="J737">
        <v>185</v>
      </c>
      <c r="K737">
        <v>1500</v>
      </c>
    </row>
    <row r="738" spans="1:11">
      <c r="A738">
        <v>425</v>
      </c>
      <c r="B738" s="1">
        <v>45088</v>
      </c>
      <c r="C738" s="2">
        <v>0.76944444444444449</v>
      </c>
      <c r="D738">
        <v>2</v>
      </c>
      <c r="E738" t="s">
        <v>14</v>
      </c>
      <c r="F738">
        <v>55</v>
      </c>
      <c r="G738" t="s">
        <v>15</v>
      </c>
      <c r="H738">
        <v>4</v>
      </c>
      <c r="I738">
        <v>30</v>
      </c>
      <c r="J738">
        <v>15.6</v>
      </c>
      <c r="K738">
        <v>120</v>
      </c>
    </row>
    <row r="739" spans="1:11">
      <c r="A739">
        <v>1123</v>
      </c>
      <c r="B739" s="1">
        <v>45271</v>
      </c>
      <c r="C739" s="2">
        <v>0.87777777777777777</v>
      </c>
      <c r="D739">
        <v>1</v>
      </c>
      <c r="E739" t="s">
        <v>14</v>
      </c>
      <c r="F739">
        <v>40</v>
      </c>
      <c r="G739" t="s">
        <v>15</v>
      </c>
      <c r="H739">
        <v>2</v>
      </c>
      <c r="I739">
        <v>30</v>
      </c>
      <c r="J739">
        <v>10.8</v>
      </c>
      <c r="K739">
        <v>60</v>
      </c>
    </row>
    <row r="740" spans="1:11">
      <c r="A740">
        <v>1164</v>
      </c>
      <c r="B740" s="1">
        <v>45023</v>
      </c>
      <c r="C740" s="2">
        <v>0.87013888888888891</v>
      </c>
      <c r="D740">
        <v>1</v>
      </c>
      <c r="E740" t="s">
        <v>14</v>
      </c>
      <c r="F740">
        <v>47</v>
      </c>
      <c r="G740" t="s">
        <v>13</v>
      </c>
      <c r="H740">
        <v>3</v>
      </c>
      <c r="I740">
        <v>500</v>
      </c>
      <c r="J740">
        <v>245</v>
      </c>
      <c r="K740">
        <v>1500</v>
      </c>
    </row>
    <row r="741" spans="1:11">
      <c r="A741">
        <v>1425</v>
      </c>
      <c r="B741" s="1">
        <v>45262</v>
      </c>
      <c r="C741" s="2">
        <v>0.92708333333333337</v>
      </c>
      <c r="D741">
        <v>1</v>
      </c>
      <c r="E741" t="s">
        <v>14</v>
      </c>
      <c r="F741">
        <v>55</v>
      </c>
      <c r="G741" t="s">
        <v>15</v>
      </c>
      <c r="H741">
        <v>4</v>
      </c>
      <c r="I741">
        <v>30</v>
      </c>
      <c r="J741">
        <v>10.199999999999999</v>
      </c>
      <c r="K741">
        <v>120</v>
      </c>
    </row>
    <row r="742" spans="1:11">
      <c r="A742">
        <v>48</v>
      </c>
      <c r="B742" s="1">
        <v>45205</v>
      </c>
      <c r="C742" s="2">
        <v>0.7319444444444444</v>
      </c>
      <c r="D742">
        <v>2</v>
      </c>
      <c r="E742" t="s">
        <v>11</v>
      </c>
      <c r="F742">
        <v>54</v>
      </c>
      <c r="G742" t="s">
        <v>15</v>
      </c>
      <c r="H742">
        <v>3</v>
      </c>
      <c r="I742">
        <v>300</v>
      </c>
      <c r="J742">
        <v>123</v>
      </c>
      <c r="K742">
        <v>900</v>
      </c>
    </row>
    <row r="743" spans="1:11">
      <c r="A743">
        <v>118</v>
      </c>
      <c r="B743" s="1">
        <v>44998</v>
      </c>
      <c r="C743" s="2">
        <v>0.83819444444444446</v>
      </c>
      <c r="D743">
        <v>3</v>
      </c>
      <c r="E743" t="s">
        <v>14</v>
      </c>
      <c r="F743">
        <v>30</v>
      </c>
      <c r="G743" t="s">
        <v>15</v>
      </c>
      <c r="H743">
        <v>4</v>
      </c>
      <c r="I743">
        <v>500</v>
      </c>
      <c r="J743">
        <v>270</v>
      </c>
      <c r="K743">
        <v>2000</v>
      </c>
    </row>
    <row r="744" spans="1:11">
      <c r="A744">
        <v>203</v>
      </c>
      <c r="B744" s="1">
        <v>44997</v>
      </c>
      <c r="C744" s="2">
        <v>0.8979166666666667</v>
      </c>
      <c r="D744">
        <v>4</v>
      </c>
      <c r="E744" t="s">
        <v>11</v>
      </c>
      <c r="F744">
        <v>56</v>
      </c>
      <c r="G744" t="s">
        <v>12</v>
      </c>
      <c r="H744">
        <v>2</v>
      </c>
      <c r="I744">
        <v>500</v>
      </c>
      <c r="J744">
        <v>175</v>
      </c>
      <c r="K744">
        <v>1000</v>
      </c>
    </row>
    <row r="745" spans="1:11">
      <c r="A745">
        <v>305</v>
      </c>
      <c r="B745" s="1">
        <v>45007</v>
      </c>
      <c r="C745" s="2">
        <v>0.92291666666666672</v>
      </c>
      <c r="D745">
        <v>4</v>
      </c>
      <c r="E745" t="s">
        <v>14</v>
      </c>
      <c r="F745">
        <v>18</v>
      </c>
      <c r="G745" t="s">
        <v>13</v>
      </c>
      <c r="H745">
        <v>1</v>
      </c>
      <c r="I745">
        <v>30</v>
      </c>
      <c r="J745">
        <v>14.4</v>
      </c>
      <c r="K745">
        <v>30</v>
      </c>
    </row>
    <row r="746" spans="1:11">
      <c r="A746">
        <v>358</v>
      </c>
      <c r="B746" s="1">
        <v>45211</v>
      </c>
      <c r="C746" s="2">
        <v>0.77222222222222225</v>
      </c>
      <c r="D746">
        <v>4</v>
      </c>
      <c r="E746" t="s">
        <v>14</v>
      </c>
      <c r="F746">
        <v>32</v>
      </c>
      <c r="G746" t="s">
        <v>13</v>
      </c>
      <c r="H746">
        <v>1</v>
      </c>
      <c r="I746">
        <v>300</v>
      </c>
      <c r="J746">
        <v>132</v>
      </c>
      <c r="K746">
        <v>300</v>
      </c>
    </row>
    <row r="747" spans="1:11">
      <c r="A747">
        <v>376</v>
      </c>
      <c r="B747" s="1">
        <v>44955</v>
      </c>
      <c r="C747" s="2">
        <v>0.76458333333333328</v>
      </c>
      <c r="D747">
        <v>4</v>
      </c>
      <c r="E747" t="s">
        <v>14</v>
      </c>
      <c r="F747">
        <v>64</v>
      </c>
      <c r="G747" t="s">
        <v>13</v>
      </c>
      <c r="H747">
        <v>1</v>
      </c>
      <c r="I747">
        <v>30</v>
      </c>
      <c r="J747">
        <v>12</v>
      </c>
      <c r="K747">
        <v>30</v>
      </c>
    </row>
    <row r="748" spans="1:11">
      <c r="A748">
        <v>398</v>
      </c>
      <c r="B748" s="1">
        <v>44980</v>
      </c>
      <c r="C748" s="2">
        <v>0.88680555555555551</v>
      </c>
      <c r="D748">
        <v>5</v>
      </c>
      <c r="E748" t="s">
        <v>14</v>
      </c>
      <c r="F748">
        <v>48</v>
      </c>
      <c r="G748" t="s">
        <v>12</v>
      </c>
      <c r="H748">
        <v>2</v>
      </c>
      <c r="I748">
        <v>300</v>
      </c>
      <c r="J748">
        <v>114</v>
      </c>
      <c r="K748">
        <v>600</v>
      </c>
    </row>
    <row r="749" spans="1:11">
      <c r="A749">
        <v>411</v>
      </c>
      <c r="B749" s="1">
        <v>45132</v>
      </c>
      <c r="C749" s="2">
        <v>0.83611111111111114</v>
      </c>
      <c r="D749">
        <v>3</v>
      </c>
      <c r="E749" t="s">
        <v>11</v>
      </c>
      <c r="F749">
        <v>62</v>
      </c>
      <c r="G749" t="s">
        <v>15</v>
      </c>
      <c r="H749">
        <v>4</v>
      </c>
      <c r="I749">
        <v>50</v>
      </c>
      <c r="J749">
        <v>24.5</v>
      </c>
      <c r="K749">
        <v>200</v>
      </c>
    </row>
    <row r="750" spans="1:11">
      <c r="A750">
        <v>504</v>
      </c>
      <c r="B750" s="1">
        <v>45016</v>
      </c>
      <c r="C750" s="2">
        <v>0.75486111111111109</v>
      </c>
      <c r="D750">
        <v>4</v>
      </c>
      <c r="E750" t="s">
        <v>14</v>
      </c>
      <c r="F750">
        <v>38</v>
      </c>
      <c r="G750" t="s">
        <v>13</v>
      </c>
      <c r="H750">
        <v>3</v>
      </c>
      <c r="I750">
        <v>50</v>
      </c>
      <c r="J750">
        <v>22</v>
      </c>
      <c r="K750">
        <v>150</v>
      </c>
    </row>
    <row r="751" spans="1:11">
      <c r="A751">
        <v>970</v>
      </c>
      <c r="B751" s="1">
        <v>45071</v>
      </c>
      <c r="C751" s="2">
        <v>0.75902777777777775</v>
      </c>
      <c r="D751">
        <v>2</v>
      </c>
      <c r="E751" t="s">
        <v>11</v>
      </c>
      <c r="F751">
        <v>59</v>
      </c>
      <c r="G751" t="s">
        <v>15</v>
      </c>
      <c r="H751">
        <v>4</v>
      </c>
      <c r="I751">
        <v>500</v>
      </c>
      <c r="J751">
        <v>220</v>
      </c>
      <c r="K751">
        <v>2000</v>
      </c>
    </row>
    <row r="752" spans="1:11">
      <c r="A752">
        <v>996</v>
      </c>
      <c r="B752" s="1">
        <v>45110</v>
      </c>
      <c r="C752" s="2">
        <v>0.73472222222222228</v>
      </c>
      <c r="D752">
        <v>2</v>
      </c>
      <c r="E752" t="s">
        <v>11</v>
      </c>
      <c r="F752">
        <v>62</v>
      </c>
      <c r="G752" t="s">
        <v>12</v>
      </c>
      <c r="H752">
        <v>1</v>
      </c>
      <c r="I752">
        <v>50</v>
      </c>
      <c r="J752">
        <v>13.5</v>
      </c>
      <c r="K752">
        <v>50</v>
      </c>
    </row>
    <row r="753" spans="1:11">
      <c r="A753">
        <v>1048</v>
      </c>
      <c r="B753" s="1">
        <v>45119</v>
      </c>
      <c r="C753" s="2">
        <v>0.80138888888888893</v>
      </c>
      <c r="D753">
        <v>3</v>
      </c>
      <c r="E753" t="s">
        <v>11</v>
      </c>
      <c r="F753">
        <v>54</v>
      </c>
      <c r="G753" t="s">
        <v>15</v>
      </c>
      <c r="H753">
        <v>3</v>
      </c>
      <c r="I753">
        <v>300</v>
      </c>
      <c r="J753">
        <v>93</v>
      </c>
      <c r="K753">
        <v>900</v>
      </c>
    </row>
    <row r="754" spans="1:11">
      <c r="A754">
        <v>1118</v>
      </c>
      <c r="B754" s="1">
        <v>45212</v>
      </c>
      <c r="C754" s="2">
        <v>0.72499999999999998</v>
      </c>
      <c r="D754">
        <v>1</v>
      </c>
      <c r="E754" t="s">
        <v>14</v>
      </c>
      <c r="F754">
        <v>30</v>
      </c>
      <c r="G754" t="s">
        <v>15</v>
      </c>
      <c r="H754">
        <v>4</v>
      </c>
      <c r="I754">
        <v>500</v>
      </c>
      <c r="J754">
        <v>170</v>
      </c>
      <c r="K754">
        <v>2000</v>
      </c>
    </row>
    <row r="755" spans="1:11">
      <c r="A755">
        <v>1203</v>
      </c>
      <c r="B755" s="1">
        <v>45256</v>
      </c>
      <c r="C755" s="2">
        <v>0.77500000000000002</v>
      </c>
      <c r="D755">
        <v>2</v>
      </c>
      <c r="E755" t="s">
        <v>11</v>
      </c>
      <c r="F755">
        <v>56</v>
      </c>
      <c r="G755" t="s">
        <v>12</v>
      </c>
      <c r="H755">
        <v>2</v>
      </c>
      <c r="I755">
        <v>500</v>
      </c>
      <c r="J755">
        <v>145</v>
      </c>
      <c r="K755">
        <v>1000</v>
      </c>
    </row>
    <row r="756" spans="1:11">
      <c r="A756">
        <v>1305</v>
      </c>
      <c r="B756" s="1">
        <v>45021</v>
      </c>
      <c r="C756" s="2">
        <v>0.76666666666666672</v>
      </c>
      <c r="D756">
        <v>5</v>
      </c>
      <c r="E756" t="s">
        <v>14</v>
      </c>
      <c r="F756">
        <v>18</v>
      </c>
      <c r="G756" t="s">
        <v>13</v>
      </c>
      <c r="H756">
        <v>1</v>
      </c>
      <c r="I756">
        <v>30</v>
      </c>
      <c r="J756">
        <v>7.8</v>
      </c>
      <c r="K756">
        <v>30</v>
      </c>
    </row>
    <row r="757" spans="1:11">
      <c r="A757">
        <v>1358</v>
      </c>
      <c r="B757" s="1">
        <v>45050</v>
      </c>
      <c r="C757" s="2">
        <v>0.90277777777777779</v>
      </c>
      <c r="D757">
        <v>5</v>
      </c>
      <c r="E757" t="s">
        <v>14</v>
      </c>
      <c r="F757">
        <v>32</v>
      </c>
      <c r="G757" t="s">
        <v>13</v>
      </c>
      <c r="H757">
        <v>1</v>
      </c>
      <c r="I757">
        <v>300</v>
      </c>
      <c r="J757">
        <v>156</v>
      </c>
      <c r="K757">
        <v>300</v>
      </c>
    </row>
    <row r="758" spans="1:11">
      <c r="A758">
        <v>1376</v>
      </c>
      <c r="B758" s="1">
        <v>45122</v>
      </c>
      <c r="C758" s="2">
        <v>0.8256944444444444</v>
      </c>
      <c r="D758">
        <v>3</v>
      </c>
      <c r="E758" t="s">
        <v>14</v>
      </c>
      <c r="F758">
        <v>64</v>
      </c>
      <c r="G758" t="s">
        <v>13</v>
      </c>
      <c r="H758">
        <v>1</v>
      </c>
      <c r="I758">
        <v>30</v>
      </c>
      <c r="J758">
        <v>9.9</v>
      </c>
      <c r="K758">
        <v>30</v>
      </c>
    </row>
    <row r="759" spans="1:11">
      <c r="A759">
        <v>1398</v>
      </c>
      <c r="B759" s="1">
        <v>45126</v>
      </c>
      <c r="C759" s="2">
        <v>0.72222222222222221</v>
      </c>
      <c r="D759">
        <v>1</v>
      </c>
      <c r="E759" t="s">
        <v>14</v>
      </c>
      <c r="F759">
        <v>48</v>
      </c>
      <c r="G759" t="s">
        <v>12</v>
      </c>
      <c r="H759">
        <v>2</v>
      </c>
      <c r="I759">
        <v>300</v>
      </c>
      <c r="J759">
        <v>120</v>
      </c>
      <c r="K759">
        <v>600</v>
      </c>
    </row>
    <row r="760" spans="1:11">
      <c r="A760">
        <v>1411</v>
      </c>
      <c r="B760" s="1">
        <v>45254</v>
      </c>
      <c r="C760" s="2">
        <v>0.8520833333333333</v>
      </c>
      <c r="D760">
        <v>1</v>
      </c>
      <c r="E760" t="s">
        <v>11</v>
      </c>
      <c r="F760">
        <v>62</v>
      </c>
      <c r="G760" t="s">
        <v>15</v>
      </c>
      <c r="H760">
        <v>4</v>
      </c>
      <c r="I760">
        <v>50</v>
      </c>
      <c r="J760">
        <v>26</v>
      </c>
      <c r="K760">
        <v>200</v>
      </c>
    </row>
    <row r="761" spans="1:11">
      <c r="A761">
        <v>1504</v>
      </c>
      <c r="B761" s="1">
        <v>44951</v>
      </c>
      <c r="C761" s="2">
        <v>0.70902777777777781</v>
      </c>
      <c r="D761">
        <v>4</v>
      </c>
      <c r="E761" t="s">
        <v>14</v>
      </c>
      <c r="F761">
        <v>38</v>
      </c>
      <c r="G761" t="s">
        <v>13</v>
      </c>
      <c r="H761">
        <v>3</v>
      </c>
      <c r="I761">
        <v>50</v>
      </c>
      <c r="J761">
        <v>25.5</v>
      </c>
      <c r="K761">
        <v>150</v>
      </c>
    </row>
    <row r="762" spans="1:11">
      <c r="A762">
        <v>1970</v>
      </c>
      <c r="B762" s="1">
        <v>45068</v>
      </c>
      <c r="C762" s="2">
        <v>0.73888888888888893</v>
      </c>
      <c r="D762">
        <v>5</v>
      </c>
      <c r="E762" t="s">
        <v>11</v>
      </c>
      <c r="F762">
        <v>59</v>
      </c>
      <c r="G762" t="s">
        <v>15</v>
      </c>
      <c r="H762">
        <v>4</v>
      </c>
      <c r="I762">
        <v>500</v>
      </c>
      <c r="J762">
        <v>230</v>
      </c>
      <c r="K762">
        <v>2000</v>
      </c>
    </row>
    <row r="763" spans="1:11">
      <c r="A763">
        <v>1996</v>
      </c>
      <c r="B763" s="1">
        <v>45267</v>
      </c>
      <c r="C763" s="2">
        <v>0.78402777777777777</v>
      </c>
      <c r="D763">
        <v>2</v>
      </c>
      <c r="E763" t="s">
        <v>11</v>
      </c>
      <c r="F763">
        <v>62</v>
      </c>
      <c r="G763" t="s">
        <v>12</v>
      </c>
      <c r="H763">
        <v>1</v>
      </c>
      <c r="I763">
        <v>50</v>
      </c>
      <c r="J763">
        <v>25</v>
      </c>
      <c r="K763">
        <v>50</v>
      </c>
    </row>
    <row r="764" spans="1:11">
      <c r="A764">
        <v>81</v>
      </c>
      <c r="B764" s="1">
        <v>45084</v>
      </c>
      <c r="C764" s="2">
        <v>0.95</v>
      </c>
      <c r="D764">
        <v>4</v>
      </c>
      <c r="E764" t="s">
        <v>11</v>
      </c>
      <c r="F764">
        <v>40</v>
      </c>
      <c r="G764" t="s">
        <v>15</v>
      </c>
      <c r="H764">
        <v>1</v>
      </c>
      <c r="I764">
        <v>50</v>
      </c>
      <c r="J764">
        <v>14.5</v>
      </c>
      <c r="K764">
        <v>50</v>
      </c>
    </row>
    <row r="765" spans="1:11">
      <c r="A765">
        <v>155</v>
      </c>
      <c r="B765" s="1">
        <v>45125</v>
      </c>
      <c r="C765" s="2">
        <v>0.75347222222222221</v>
      </c>
      <c r="D765">
        <v>3</v>
      </c>
      <c r="E765" t="s">
        <v>11</v>
      </c>
      <c r="F765">
        <v>31</v>
      </c>
      <c r="G765" t="s">
        <v>15</v>
      </c>
      <c r="H765">
        <v>4</v>
      </c>
      <c r="I765">
        <v>500</v>
      </c>
      <c r="J765">
        <v>150</v>
      </c>
      <c r="K765">
        <v>2000</v>
      </c>
    </row>
    <row r="766" spans="1:11">
      <c r="A766">
        <v>470</v>
      </c>
      <c r="B766" s="1">
        <v>45286</v>
      </c>
      <c r="C766" s="2">
        <v>0.79027777777777775</v>
      </c>
      <c r="D766">
        <v>4</v>
      </c>
      <c r="E766" t="s">
        <v>14</v>
      </c>
      <c r="F766">
        <v>57</v>
      </c>
      <c r="G766" t="s">
        <v>12</v>
      </c>
      <c r="H766">
        <v>2</v>
      </c>
      <c r="I766">
        <v>500</v>
      </c>
      <c r="J766">
        <v>165</v>
      </c>
      <c r="K766">
        <v>1000</v>
      </c>
    </row>
    <row r="767" spans="1:11">
      <c r="A767">
        <v>1081</v>
      </c>
      <c r="B767" s="1">
        <v>45104</v>
      </c>
      <c r="C767" s="2">
        <v>0.93263888888888891</v>
      </c>
      <c r="D767">
        <v>5</v>
      </c>
      <c r="E767" t="s">
        <v>11</v>
      </c>
      <c r="F767">
        <v>40</v>
      </c>
      <c r="G767" t="s">
        <v>15</v>
      </c>
      <c r="H767">
        <v>1</v>
      </c>
      <c r="I767">
        <v>50</v>
      </c>
      <c r="J767">
        <v>17</v>
      </c>
      <c r="K767">
        <v>50</v>
      </c>
    </row>
    <row r="768" spans="1:11">
      <c r="A768">
        <v>1155</v>
      </c>
      <c r="B768" s="1">
        <v>45263</v>
      </c>
      <c r="C768" s="2">
        <v>0.76527777777777772</v>
      </c>
      <c r="D768">
        <v>3</v>
      </c>
      <c r="E768" t="s">
        <v>11</v>
      </c>
      <c r="F768">
        <v>31</v>
      </c>
      <c r="G768" t="s">
        <v>15</v>
      </c>
      <c r="H768">
        <v>4</v>
      </c>
      <c r="I768">
        <v>500</v>
      </c>
      <c r="J768">
        <v>255</v>
      </c>
      <c r="K768">
        <v>2000</v>
      </c>
    </row>
    <row r="769" spans="1:11">
      <c r="A769">
        <v>1470</v>
      </c>
      <c r="B769" s="1">
        <v>45103</v>
      </c>
      <c r="C769" s="2">
        <v>0.82430555555555551</v>
      </c>
      <c r="D769">
        <v>1</v>
      </c>
      <c r="E769" t="s">
        <v>14</v>
      </c>
      <c r="F769">
        <v>57</v>
      </c>
      <c r="G769" t="s">
        <v>12</v>
      </c>
      <c r="H769">
        <v>2</v>
      </c>
      <c r="I769">
        <v>500</v>
      </c>
      <c r="J769">
        <v>165</v>
      </c>
      <c r="K769">
        <v>1000</v>
      </c>
    </row>
    <row r="770" spans="1:11">
      <c r="A770">
        <v>106</v>
      </c>
      <c r="B770" s="1">
        <v>45063</v>
      </c>
      <c r="C770" s="2">
        <v>0.79027777777777775</v>
      </c>
      <c r="D770">
        <v>1</v>
      </c>
      <c r="E770" t="s">
        <v>14</v>
      </c>
      <c r="F770">
        <v>46</v>
      </c>
      <c r="G770" t="s">
        <v>12</v>
      </c>
      <c r="H770">
        <v>1</v>
      </c>
      <c r="I770">
        <v>50</v>
      </c>
      <c r="J770">
        <v>15</v>
      </c>
      <c r="K770">
        <v>50</v>
      </c>
    </row>
    <row r="771" spans="1:11">
      <c r="A771">
        <v>818</v>
      </c>
      <c r="B771" s="1">
        <v>45075</v>
      </c>
      <c r="C771" s="2">
        <v>0.78888888888888886</v>
      </c>
      <c r="D771">
        <v>4</v>
      </c>
      <c r="E771" t="s">
        <v>11</v>
      </c>
      <c r="F771">
        <v>30</v>
      </c>
      <c r="G771" t="s">
        <v>15</v>
      </c>
      <c r="H771">
        <v>1</v>
      </c>
      <c r="I771">
        <v>500</v>
      </c>
      <c r="J771">
        <v>265</v>
      </c>
      <c r="K771">
        <v>500</v>
      </c>
    </row>
    <row r="772" spans="1:11">
      <c r="A772">
        <v>1106</v>
      </c>
      <c r="B772" s="1">
        <v>45150</v>
      </c>
      <c r="C772" s="2">
        <v>0.74305555555555558</v>
      </c>
      <c r="D772">
        <v>3</v>
      </c>
      <c r="E772" t="s">
        <v>14</v>
      </c>
      <c r="F772">
        <v>46</v>
      </c>
      <c r="G772" t="s">
        <v>12</v>
      </c>
      <c r="H772">
        <v>1</v>
      </c>
      <c r="I772">
        <v>50</v>
      </c>
      <c r="J772">
        <v>14</v>
      </c>
      <c r="K772">
        <v>50</v>
      </c>
    </row>
    <row r="773" spans="1:11">
      <c r="A773">
        <v>1818</v>
      </c>
      <c r="B773" s="1">
        <v>45189</v>
      </c>
      <c r="C773" s="2">
        <v>0.72847222222222219</v>
      </c>
      <c r="D773">
        <v>4</v>
      </c>
      <c r="E773" t="s">
        <v>11</v>
      </c>
      <c r="F773">
        <v>30</v>
      </c>
      <c r="G773" t="s">
        <v>15</v>
      </c>
      <c r="H773">
        <v>1</v>
      </c>
      <c r="I773">
        <v>500</v>
      </c>
      <c r="J773">
        <v>150</v>
      </c>
      <c r="K773">
        <v>500</v>
      </c>
    </row>
    <row r="774" spans="1:11">
      <c r="A774">
        <v>94</v>
      </c>
      <c r="B774" s="1">
        <v>44998</v>
      </c>
      <c r="C774" s="2">
        <v>0.94374999999999998</v>
      </c>
      <c r="D774">
        <v>5</v>
      </c>
      <c r="E774" t="s">
        <v>14</v>
      </c>
      <c r="F774">
        <v>47</v>
      </c>
      <c r="G774" t="s">
        <v>13</v>
      </c>
      <c r="H774">
        <v>2</v>
      </c>
      <c r="I774">
        <v>500</v>
      </c>
      <c r="J774">
        <v>250</v>
      </c>
      <c r="K774">
        <v>1000</v>
      </c>
    </row>
    <row r="775" spans="1:11">
      <c r="A775">
        <v>811</v>
      </c>
      <c r="B775" s="1">
        <v>45031</v>
      </c>
      <c r="C775" s="2">
        <v>0.77361111111111114</v>
      </c>
      <c r="D775">
        <v>2</v>
      </c>
      <c r="E775" t="s">
        <v>11</v>
      </c>
      <c r="F775">
        <v>61</v>
      </c>
      <c r="G775" t="s">
        <v>13</v>
      </c>
      <c r="H775">
        <v>2</v>
      </c>
      <c r="I775">
        <v>25</v>
      </c>
      <c r="J775">
        <v>6.75</v>
      </c>
      <c r="K775">
        <v>50</v>
      </c>
    </row>
    <row r="776" spans="1:11">
      <c r="A776">
        <v>881</v>
      </c>
      <c r="B776" s="1">
        <v>45281</v>
      </c>
      <c r="C776" s="2">
        <v>0.86944444444444446</v>
      </c>
      <c r="D776">
        <v>4</v>
      </c>
      <c r="E776" t="s">
        <v>11</v>
      </c>
      <c r="F776">
        <v>22</v>
      </c>
      <c r="G776" t="s">
        <v>15</v>
      </c>
      <c r="H776">
        <v>1</v>
      </c>
      <c r="I776">
        <v>300</v>
      </c>
      <c r="J776">
        <v>99</v>
      </c>
      <c r="K776">
        <v>300</v>
      </c>
    </row>
    <row r="777" spans="1:11">
      <c r="A777">
        <v>1094</v>
      </c>
      <c r="B777" s="1">
        <v>45092</v>
      </c>
      <c r="C777" s="2">
        <v>0.8569444444444444</v>
      </c>
      <c r="D777">
        <v>1</v>
      </c>
      <c r="E777" t="s">
        <v>14</v>
      </c>
      <c r="F777">
        <v>47</v>
      </c>
      <c r="G777" t="s">
        <v>13</v>
      </c>
      <c r="H777">
        <v>2</v>
      </c>
      <c r="I777">
        <v>500</v>
      </c>
      <c r="J777">
        <v>210</v>
      </c>
      <c r="K777">
        <v>1000</v>
      </c>
    </row>
    <row r="778" spans="1:11">
      <c r="A778">
        <v>1811</v>
      </c>
      <c r="B778" s="1">
        <v>45269</v>
      </c>
      <c r="C778" s="2">
        <v>0.91527777777777775</v>
      </c>
      <c r="D778">
        <v>5</v>
      </c>
      <c r="E778" t="s">
        <v>11</v>
      </c>
      <c r="F778">
        <v>61</v>
      </c>
      <c r="G778" t="s">
        <v>13</v>
      </c>
      <c r="H778">
        <v>2</v>
      </c>
      <c r="I778">
        <v>25</v>
      </c>
      <c r="J778">
        <v>8.5</v>
      </c>
      <c r="K778">
        <v>50</v>
      </c>
    </row>
    <row r="779" spans="1:11">
      <c r="A779">
        <v>1881</v>
      </c>
      <c r="B779" s="1">
        <v>45118</v>
      </c>
      <c r="C779" s="2">
        <v>0.72430555555555554</v>
      </c>
      <c r="D779">
        <v>5</v>
      </c>
      <c r="E779" t="s">
        <v>11</v>
      </c>
      <c r="F779">
        <v>22</v>
      </c>
      <c r="G779" t="s">
        <v>15</v>
      </c>
      <c r="H779">
        <v>1</v>
      </c>
      <c r="I779">
        <v>300</v>
      </c>
      <c r="J779">
        <v>147</v>
      </c>
      <c r="K779">
        <v>300</v>
      </c>
    </row>
    <row r="780" spans="1:11">
      <c r="A780">
        <v>403</v>
      </c>
      <c r="B780" s="1">
        <v>45038</v>
      </c>
      <c r="C780" s="2">
        <v>0.81319444444444444</v>
      </c>
      <c r="D780">
        <v>5</v>
      </c>
      <c r="E780" t="s">
        <v>11</v>
      </c>
      <c r="F780">
        <v>32</v>
      </c>
      <c r="G780" t="s">
        <v>12</v>
      </c>
      <c r="H780">
        <v>2</v>
      </c>
      <c r="I780">
        <v>300</v>
      </c>
      <c r="J780">
        <v>78</v>
      </c>
      <c r="K780">
        <v>600</v>
      </c>
    </row>
    <row r="781" spans="1:11">
      <c r="A781">
        <v>653</v>
      </c>
      <c r="B781" s="1">
        <v>45255</v>
      </c>
      <c r="C781" s="2">
        <v>0.95347222222222228</v>
      </c>
      <c r="D781">
        <v>3</v>
      </c>
      <c r="E781" t="s">
        <v>11</v>
      </c>
      <c r="F781">
        <v>54</v>
      </c>
      <c r="G781" t="s">
        <v>12</v>
      </c>
      <c r="H781">
        <v>3</v>
      </c>
      <c r="I781">
        <v>25</v>
      </c>
      <c r="J781">
        <v>9.25</v>
      </c>
      <c r="K781">
        <v>75</v>
      </c>
    </row>
    <row r="782" spans="1:11">
      <c r="A782">
        <v>694</v>
      </c>
      <c r="B782" s="1">
        <v>45107</v>
      </c>
      <c r="C782" s="2">
        <v>0.74097222222222225</v>
      </c>
      <c r="D782">
        <v>3</v>
      </c>
      <c r="E782" t="s">
        <v>14</v>
      </c>
      <c r="F782">
        <v>39</v>
      </c>
      <c r="G782" t="s">
        <v>15</v>
      </c>
      <c r="H782">
        <v>2</v>
      </c>
      <c r="I782">
        <v>25</v>
      </c>
      <c r="J782">
        <v>10</v>
      </c>
      <c r="K782">
        <v>50</v>
      </c>
    </row>
    <row r="783" spans="1:11">
      <c r="A783">
        <v>1403</v>
      </c>
      <c r="B783" s="1">
        <v>45010</v>
      </c>
      <c r="C783" s="2">
        <v>0.76388888888888884</v>
      </c>
      <c r="D783">
        <v>4</v>
      </c>
      <c r="E783" t="s">
        <v>11</v>
      </c>
      <c r="F783">
        <v>32</v>
      </c>
      <c r="G783" t="s">
        <v>12</v>
      </c>
      <c r="H783">
        <v>2</v>
      </c>
      <c r="I783">
        <v>300</v>
      </c>
      <c r="J783">
        <v>162</v>
      </c>
      <c r="K783">
        <v>600</v>
      </c>
    </row>
    <row r="784" spans="1:11">
      <c r="A784">
        <v>1653</v>
      </c>
      <c r="B784" s="1">
        <v>45130</v>
      </c>
      <c r="C784" s="2">
        <v>0.81527777777777777</v>
      </c>
      <c r="D784">
        <v>2</v>
      </c>
      <c r="E784" t="s">
        <v>11</v>
      </c>
      <c r="F784">
        <v>54</v>
      </c>
      <c r="G784" t="s">
        <v>12</v>
      </c>
      <c r="H784">
        <v>3</v>
      </c>
      <c r="I784">
        <v>25</v>
      </c>
      <c r="J784">
        <v>12.75</v>
      </c>
      <c r="K784">
        <v>75</v>
      </c>
    </row>
    <row r="785" spans="1:11">
      <c r="A785">
        <v>1694</v>
      </c>
      <c r="B785" s="1">
        <v>44936</v>
      </c>
      <c r="C785" s="2">
        <v>0.80694444444444446</v>
      </c>
      <c r="D785">
        <v>4</v>
      </c>
      <c r="E785" t="s">
        <v>14</v>
      </c>
      <c r="F785">
        <v>39</v>
      </c>
      <c r="G785" t="s">
        <v>15</v>
      </c>
      <c r="H785">
        <v>2</v>
      </c>
      <c r="I785">
        <v>25</v>
      </c>
      <c r="J785">
        <v>9.75</v>
      </c>
      <c r="K785">
        <v>50</v>
      </c>
    </row>
    <row r="786" spans="1:11">
      <c r="A786">
        <v>4</v>
      </c>
      <c r="B786" s="1">
        <v>45165</v>
      </c>
      <c r="C786" s="2">
        <v>0.7583333333333333</v>
      </c>
      <c r="D786">
        <v>3</v>
      </c>
      <c r="E786" t="s">
        <v>11</v>
      </c>
      <c r="F786">
        <v>37</v>
      </c>
      <c r="G786" t="s">
        <v>12</v>
      </c>
      <c r="H786">
        <v>1</v>
      </c>
      <c r="I786">
        <v>500</v>
      </c>
      <c r="J786">
        <v>200</v>
      </c>
      <c r="K786">
        <v>500</v>
      </c>
    </row>
    <row r="787" spans="1:11">
      <c r="A787">
        <v>647</v>
      </c>
      <c r="B787" s="1">
        <v>44986</v>
      </c>
      <c r="C787" s="2">
        <v>0.82847222222222228</v>
      </c>
      <c r="D787">
        <v>5</v>
      </c>
      <c r="E787" t="s">
        <v>11</v>
      </c>
      <c r="F787">
        <v>59</v>
      </c>
      <c r="G787" t="s">
        <v>12</v>
      </c>
      <c r="H787">
        <v>3</v>
      </c>
      <c r="I787">
        <v>500</v>
      </c>
      <c r="J787">
        <v>190</v>
      </c>
      <c r="K787">
        <v>1500</v>
      </c>
    </row>
    <row r="788" spans="1:11">
      <c r="A788">
        <v>911</v>
      </c>
      <c r="B788" s="1">
        <v>45122</v>
      </c>
      <c r="C788" s="2">
        <v>0.72847222222222219</v>
      </c>
      <c r="D788">
        <v>3</v>
      </c>
      <c r="E788" t="s">
        <v>11</v>
      </c>
      <c r="F788">
        <v>42</v>
      </c>
      <c r="G788" t="s">
        <v>15</v>
      </c>
      <c r="H788">
        <v>3</v>
      </c>
      <c r="I788">
        <v>300</v>
      </c>
      <c r="J788">
        <v>84</v>
      </c>
      <c r="K788">
        <v>900</v>
      </c>
    </row>
    <row r="789" spans="1:11">
      <c r="A789">
        <v>1004</v>
      </c>
      <c r="B789" s="1">
        <v>44937</v>
      </c>
      <c r="C789" s="2">
        <v>0.90694444444444444</v>
      </c>
      <c r="D789">
        <v>2</v>
      </c>
      <c r="E789" t="s">
        <v>11</v>
      </c>
      <c r="F789">
        <v>37</v>
      </c>
      <c r="G789" t="s">
        <v>12</v>
      </c>
      <c r="H789">
        <v>1</v>
      </c>
      <c r="I789">
        <v>500</v>
      </c>
      <c r="J789">
        <v>230</v>
      </c>
      <c r="K789">
        <v>500</v>
      </c>
    </row>
    <row r="790" spans="1:11">
      <c r="A790">
        <v>1647</v>
      </c>
      <c r="B790" s="1">
        <v>45047</v>
      </c>
      <c r="C790" s="2">
        <v>0.85138888888888886</v>
      </c>
      <c r="D790">
        <v>5</v>
      </c>
      <c r="E790" t="s">
        <v>11</v>
      </c>
      <c r="F790">
        <v>59</v>
      </c>
      <c r="G790" t="s">
        <v>12</v>
      </c>
      <c r="H790">
        <v>3</v>
      </c>
      <c r="I790">
        <v>500</v>
      </c>
      <c r="J790">
        <v>240</v>
      </c>
      <c r="K790">
        <v>1500</v>
      </c>
    </row>
    <row r="791" spans="1:11">
      <c r="A791">
        <v>1911</v>
      </c>
      <c r="B791" s="1">
        <v>45273</v>
      </c>
      <c r="C791" s="2">
        <v>0.7729166666666667</v>
      </c>
      <c r="D791">
        <v>4</v>
      </c>
      <c r="E791" t="s">
        <v>11</v>
      </c>
      <c r="F791">
        <v>42</v>
      </c>
      <c r="G791" t="s">
        <v>15</v>
      </c>
      <c r="H791">
        <v>3</v>
      </c>
      <c r="I791">
        <v>300</v>
      </c>
      <c r="J791">
        <v>75</v>
      </c>
      <c r="K791">
        <v>900</v>
      </c>
    </row>
    <row r="792" spans="1:11">
      <c r="A792">
        <v>419</v>
      </c>
      <c r="B792" s="1">
        <v>45016</v>
      </c>
      <c r="C792" s="2">
        <v>0.8041666666666667</v>
      </c>
      <c r="D792">
        <v>5</v>
      </c>
      <c r="E792" t="s">
        <v>14</v>
      </c>
      <c r="F792">
        <v>44</v>
      </c>
      <c r="G792" t="s">
        <v>12</v>
      </c>
      <c r="H792">
        <v>3</v>
      </c>
      <c r="I792">
        <v>30</v>
      </c>
      <c r="J792">
        <v>11.7</v>
      </c>
      <c r="K792">
        <v>90</v>
      </c>
    </row>
    <row r="793" spans="1:11">
      <c r="A793">
        <v>642</v>
      </c>
      <c r="B793" s="1">
        <v>45050</v>
      </c>
      <c r="C793" s="2">
        <v>0.90277777777777779</v>
      </c>
      <c r="D793">
        <v>1</v>
      </c>
      <c r="E793" t="s">
        <v>14</v>
      </c>
      <c r="F793">
        <v>54</v>
      </c>
      <c r="G793" t="s">
        <v>12</v>
      </c>
      <c r="H793">
        <v>4</v>
      </c>
      <c r="I793">
        <v>25</v>
      </c>
      <c r="J793">
        <v>12</v>
      </c>
      <c r="K793">
        <v>100</v>
      </c>
    </row>
    <row r="794" spans="1:11">
      <c r="A794">
        <v>843</v>
      </c>
      <c r="B794" s="1">
        <v>44951</v>
      </c>
      <c r="C794" s="2">
        <v>0.94861111111111107</v>
      </c>
      <c r="D794">
        <v>3</v>
      </c>
      <c r="E794" t="s">
        <v>11</v>
      </c>
      <c r="F794">
        <v>21</v>
      </c>
      <c r="G794" t="s">
        <v>13</v>
      </c>
      <c r="H794">
        <v>3</v>
      </c>
      <c r="I794">
        <v>500</v>
      </c>
      <c r="J794">
        <v>180</v>
      </c>
      <c r="K794">
        <v>1500</v>
      </c>
    </row>
    <row r="795" spans="1:11">
      <c r="A795">
        <v>895</v>
      </c>
      <c r="B795" s="1">
        <v>45169</v>
      </c>
      <c r="C795" s="2">
        <v>0.91041666666666665</v>
      </c>
      <c r="D795">
        <v>3</v>
      </c>
      <c r="E795" t="s">
        <v>14</v>
      </c>
      <c r="F795">
        <v>55</v>
      </c>
      <c r="G795" t="s">
        <v>12</v>
      </c>
      <c r="H795">
        <v>4</v>
      </c>
      <c r="I795">
        <v>30</v>
      </c>
      <c r="J795">
        <v>14.4</v>
      </c>
      <c r="K795">
        <v>120</v>
      </c>
    </row>
    <row r="796" spans="1:11">
      <c r="A796">
        <v>1419</v>
      </c>
      <c r="B796" s="1">
        <v>44962</v>
      </c>
      <c r="C796" s="2">
        <v>0.77916666666666667</v>
      </c>
      <c r="D796">
        <v>3</v>
      </c>
      <c r="E796" t="s">
        <v>14</v>
      </c>
      <c r="F796">
        <v>44</v>
      </c>
      <c r="G796" t="s">
        <v>12</v>
      </c>
      <c r="H796">
        <v>3</v>
      </c>
      <c r="I796">
        <v>30</v>
      </c>
      <c r="J796">
        <v>9.3000000000000007</v>
      </c>
      <c r="K796">
        <v>90</v>
      </c>
    </row>
    <row r="797" spans="1:11">
      <c r="A797">
        <v>1642</v>
      </c>
      <c r="B797" s="1">
        <v>45287</v>
      </c>
      <c r="C797" s="2">
        <v>0.77083333333333337</v>
      </c>
      <c r="D797">
        <v>4</v>
      </c>
      <c r="E797" t="s">
        <v>14</v>
      </c>
      <c r="F797">
        <v>54</v>
      </c>
      <c r="G797" t="s">
        <v>12</v>
      </c>
      <c r="H797">
        <v>4</v>
      </c>
      <c r="I797">
        <v>25</v>
      </c>
      <c r="J797">
        <v>11.5</v>
      </c>
      <c r="K797">
        <v>100</v>
      </c>
    </row>
    <row r="798" spans="1:11">
      <c r="A798">
        <v>1843</v>
      </c>
      <c r="B798" s="1">
        <v>45190</v>
      </c>
      <c r="C798" s="2">
        <v>0.79027777777777775</v>
      </c>
      <c r="D798">
        <v>1</v>
      </c>
      <c r="E798" t="s">
        <v>11</v>
      </c>
      <c r="F798">
        <v>21</v>
      </c>
      <c r="G798" t="s">
        <v>13</v>
      </c>
      <c r="H798">
        <v>3</v>
      </c>
      <c r="I798">
        <v>500</v>
      </c>
      <c r="J798">
        <v>240</v>
      </c>
      <c r="K798">
        <v>1500</v>
      </c>
    </row>
    <row r="799" spans="1:11">
      <c r="A799">
        <v>1895</v>
      </c>
      <c r="B799" s="1">
        <v>45012</v>
      </c>
      <c r="C799" s="2">
        <v>0.87430555555555556</v>
      </c>
      <c r="D799">
        <v>4</v>
      </c>
      <c r="E799" t="s">
        <v>14</v>
      </c>
      <c r="F799">
        <v>55</v>
      </c>
      <c r="G799" t="s">
        <v>12</v>
      </c>
      <c r="H799">
        <v>4</v>
      </c>
      <c r="I799">
        <v>30</v>
      </c>
      <c r="J799">
        <v>15.3</v>
      </c>
      <c r="K799">
        <v>120</v>
      </c>
    </row>
    <row r="800" spans="1:11">
      <c r="A800">
        <v>31</v>
      </c>
      <c r="B800" s="1">
        <v>45291</v>
      </c>
      <c r="C800" s="2">
        <v>0.74097222222222225</v>
      </c>
      <c r="D800">
        <v>3</v>
      </c>
      <c r="E800" t="s">
        <v>11</v>
      </c>
      <c r="F800">
        <v>44</v>
      </c>
      <c r="G800" t="s">
        <v>15</v>
      </c>
      <c r="H800">
        <v>4</v>
      </c>
      <c r="I800">
        <v>300</v>
      </c>
      <c r="J800">
        <v>129</v>
      </c>
      <c r="K800">
        <v>1200</v>
      </c>
    </row>
    <row r="801" spans="1:11">
      <c r="A801">
        <v>37</v>
      </c>
      <c r="B801" s="1">
        <v>45072</v>
      </c>
      <c r="C801" s="2">
        <v>0.9458333333333333</v>
      </c>
      <c r="D801">
        <v>2</v>
      </c>
      <c r="E801" t="s">
        <v>14</v>
      </c>
      <c r="F801">
        <v>18</v>
      </c>
      <c r="G801" t="s">
        <v>13</v>
      </c>
      <c r="H801">
        <v>3</v>
      </c>
      <c r="I801">
        <v>25</v>
      </c>
      <c r="J801">
        <v>8.75</v>
      </c>
      <c r="K801">
        <v>75</v>
      </c>
    </row>
    <row r="802" spans="1:11">
      <c r="A802">
        <v>72</v>
      </c>
      <c r="B802" s="1">
        <v>45266</v>
      </c>
      <c r="C802" s="2">
        <v>0.80486111111111114</v>
      </c>
      <c r="D802">
        <v>5</v>
      </c>
      <c r="E802" t="s">
        <v>14</v>
      </c>
      <c r="F802">
        <v>20</v>
      </c>
      <c r="G802" t="s">
        <v>15</v>
      </c>
      <c r="H802">
        <v>4</v>
      </c>
      <c r="I802">
        <v>500</v>
      </c>
      <c r="J802">
        <v>195</v>
      </c>
      <c r="K802">
        <v>2000</v>
      </c>
    </row>
    <row r="803" spans="1:11">
      <c r="A803">
        <v>243</v>
      </c>
      <c r="B803" s="1">
        <v>45101</v>
      </c>
      <c r="C803" s="2">
        <v>0.75138888888888888</v>
      </c>
      <c r="D803">
        <v>5</v>
      </c>
      <c r="E803" t="s">
        <v>14</v>
      </c>
      <c r="F803">
        <v>47</v>
      </c>
      <c r="G803" t="s">
        <v>15</v>
      </c>
      <c r="H803">
        <v>3</v>
      </c>
      <c r="I803">
        <v>300</v>
      </c>
      <c r="J803">
        <v>156</v>
      </c>
      <c r="K803">
        <v>900</v>
      </c>
    </row>
    <row r="804" spans="1:11">
      <c r="A804">
        <v>281</v>
      </c>
      <c r="B804" s="1">
        <v>45187</v>
      </c>
      <c r="C804" s="2">
        <v>0.83958333333333335</v>
      </c>
      <c r="D804">
        <v>4</v>
      </c>
      <c r="E804" t="s">
        <v>14</v>
      </c>
      <c r="F804">
        <v>29</v>
      </c>
      <c r="G804" t="s">
        <v>13</v>
      </c>
      <c r="H804">
        <v>4</v>
      </c>
      <c r="I804">
        <v>500</v>
      </c>
      <c r="J804">
        <v>275</v>
      </c>
      <c r="K804">
        <v>2000</v>
      </c>
    </row>
    <row r="805" spans="1:11">
      <c r="A805">
        <v>489</v>
      </c>
      <c r="B805" s="1">
        <v>45230</v>
      </c>
      <c r="C805" s="2">
        <v>0.91736111111111107</v>
      </c>
      <c r="D805">
        <v>1</v>
      </c>
      <c r="E805" t="s">
        <v>11</v>
      </c>
      <c r="F805">
        <v>44</v>
      </c>
      <c r="G805" t="s">
        <v>15</v>
      </c>
      <c r="H805">
        <v>1</v>
      </c>
      <c r="I805">
        <v>30</v>
      </c>
      <c r="J805">
        <v>14.4</v>
      </c>
      <c r="K805">
        <v>30</v>
      </c>
    </row>
    <row r="806" spans="1:11">
      <c r="A806">
        <v>491</v>
      </c>
      <c r="B806" s="1">
        <v>45290</v>
      </c>
      <c r="C806" s="2">
        <v>0.88263888888888886</v>
      </c>
      <c r="D806">
        <v>4</v>
      </c>
      <c r="E806" t="s">
        <v>14</v>
      </c>
      <c r="F806">
        <v>60</v>
      </c>
      <c r="G806" t="s">
        <v>15</v>
      </c>
      <c r="H806">
        <v>3</v>
      </c>
      <c r="I806">
        <v>300</v>
      </c>
      <c r="J806">
        <v>78</v>
      </c>
      <c r="K806">
        <v>900</v>
      </c>
    </row>
    <row r="807" spans="1:11">
      <c r="A807">
        <v>729</v>
      </c>
      <c r="B807" s="1">
        <v>45164</v>
      </c>
      <c r="C807" s="2">
        <v>0.93680555555555556</v>
      </c>
      <c r="D807">
        <v>3</v>
      </c>
      <c r="E807" t="s">
        <v>11</v>
      </c>
      <c r="F807">
        <v>29</v>
      </c>
      <c r="G807" t="s">
        <v>12</v>
      </c>
      <c r="H807">
        <v>4</v>
      </c>
      <c r="I807">
        <v>300</v>
      </c>
      <c r="J807">
        <v>84</v>
      </c>
      <c r="K807">
        <v>1200</v>
      </c>
    </row>
    <row r="808" spans="1:11">
      <c r="A808">
        <v>822</v>
      </c>
      <c r="B808" s="1">
        <v>44973</v>
      </c>
      <c r="C808" s="2">
        <v>0.73541666666666672</v>
      </c>
      <c r="D808">
        <v>3</v>
      </c>
      <c r="E808" t="s">
        <v>14</v>
      </c>
      <c r="F808">
        <v>52</v>
      </c>
      <c r="G808" t="s">
        <v>13</v>
      </c>
      <c r="H808">
        <v>3</v>
      </c>
      <c r="I808">
        <v>50</v>
      </c>
      <c r="J808">
        <v>13.5</v>
      </c>
      <c r="K808">
        <v>150</v>
      </c>
    </row>
    <row r="809" spans="1:11">
      <c r="A809">
        <v>1031</v>
      </c>
      <c r="B809" s="1">
        <v>45242</v>
      </c>
      <c r="C809" s="2">
        <v>0.88541666666666663</v>
      </c>
      <c r="D809">
        <v>3</v>
      </c>
      <c r="E809" t="s">
        <v>11</v>
      </c>
      <c r="F809">
        <v>44</v>
      </c>
      <c r="G809" t="s">
        <v>15</v>
      </c>
      <c r="H809">
        <v>4</v>
      </c>
      <c r="I809">
        <v>300</v>
      </c>
      <c r="J809">
        <v>126</v>
      </c>
      <c r="K809">
        <v>1200</v>
      </c>
    </row>
    <row r="810" spans="1:11">
      <c r="A810">
        <v>1037</v>
      </c>
      <c r="B810" s="1">
        <v>45216</v>
      </c>
      <c r="C810" s="2">
        <v>0.73472222222222228</v>
      </c>
      <c r="D810">
        <v>2</v>
      </c>
      <c r="E810" t="s">
        <v>14</v>
      </c>
      <c r="F810">
        <v>18</v>
      </c>
      <c r="G810" t="s">
        <v>13</v>
      </c>
      <c r="H810">
        <v>3</v>
      </c>
      <c r="I810">
        <v>25</v>
      </c>
      <c r="J810">
        <v>11.5</v>
      </c>
      <c r="K810">
        <v>75</v>
      </c>
    </row>
    <row r="811" spans="1:11">
      <c r="A811">
        <v>1072</v>
      </c>
      <c r="B811" s="1">
        <v>44981</v>
      </c>
      <c r="C811" s="2">
        <v>0.75694444444444442</v>
      </c>
      <c r="D811">
        <v>4</v>
      </c>
      <c r="E811" t="s">
        <v>14</v>
      </c>
      <c r="F811">
        <v>20</v>
      </c>
      <c r="G811" t="s">
        <v>15</v>
      </c>
      <c r="H811">
        <v>4</v>
      </c>
      <c r="I811">
        <v>500</v>
      </c>
      <c r="J811">
        <v>180</v>
      </c>
      <c r="K811">
        <v>2000</v>
      </c>
    </row>
    <row r="812" spans="1:11">
      <c r="A812">
        <v>1243</v>
      </c>
      <c r="B812" s="1">
        <v>45268</v>
      </c>
      <c r="C812" s="2">
        <v>0.71597222222222223</v>
      </c>
      <c r="D812">
        <v>4</v>
      </c>
      <c r="E812" t="s">
        <v>14</v>
      </c>
      <c r="F812">
        <v>47</v>
      </c>
      <c r="G812" t="s">
        <v>15</v>
      </c>
      <c r="H812">
        <v>3</v>
      </c>
      <c r="I812">
        <v>300</v>
      </c>
      <c r="J812">
        <v>138</v>
      </c>
      <c r="K812">
        <v>900</v>
      </c>
    </row>
    <row r="813" spans="1:11">
      <c r="A813">
        <v>1281</v>
      </c>
      <c r="B813" s="1">
        <v>44999</v>
      </c>
      <c r="C813" s="2">
        <v>0.81527777777777777</v>
      </c>
      <c r="D813">
        <v>4</v>
      </c>
      <c r="E813" t="s">
        <v>14</v>
      </c>
      <c r="F813">
        <v>29</v>
      </c>
      <c r="G813" t="s">
        <v>13</v>
      </c>
      <c r="H813">
        <v>4</v>
      </c>
      <c r="I813">
        <v>500</v>
      </c>
      <c r="J813">
        <v>165</v>
      </c>
      <c r="K813">
        <v>2000</v>
      </c>
    </row>
    <row r="814" spans="1:11">
      <c r="A814">
        <v>1489</v>
      </c>
      <c r="B814" s="1">
        <v>45044</v>
      </c>
      <c r="C814" s="2">
        <v>0.77083333333333337</v>
      </c>
      <c r="D814">
        <v>2</v>
      </c>
      <c r="E814" t="s">
        <v>11</v>
      </c>
      <c r="F814">
        <v>44</v>
      </c>
      <c r="G814" t="s">
        <v>15</v>
      </c>
      <c r="H814">
        <v>1</v>
      </c>
      <c r="I814">
        <v>30</v>
      </c>
      <c r="J814">
        <v>10.5</v>
      </c>
      <c r="K814">
        <v>30</v>
      </c>
    </row>
    <row r="815" spans="1:11">
      <c r="A815">
        <v>1491</v>
      </c>
      <c r="B815" s="1">
        <v>45072</v>
      </c>
      <c r="C815" s="2">
        <v>0.92638888888888893</v>
      </c>
      <c r="D815">
        <v>107</v>
      </c>
      <c r="E815" t="s">
        <v>14</v>
      </c>
      <c r="F815">
        <v>60</v>
      </c>
      <c r="G815" t="s">
        <v>15</v>
      </c>
      <c r="H815">
        <v>3</v>
      </c>
      <c r="I815">
        <v>300</v>
      </c>
      <c r="J815">
        <v>129</v>
      </c>
      <c r="K815">
        <v>900</v>
      </c>
    </row>
    <row r="816" spans="1:11">
      <c r="A816">
        <v>1729</v>
      </c>
      <c r="B816" s="1">
        <v>45252</v>
      </c>
      <c r="C816" s="2">
        <v>0.78819444444444442</v>
      </c>
      <c r="D816">
        <v>82</v>
      </c>
      <c r="E816" t="s">
        <v>11</v>
      </c>
      <c r="F816">
        <v>29</v>
      </c>
      <c r="G816" t="s">
        <v>12</v>
      </c>
      <c r="H816">
        <v>4</v>
      </c>
      <c r="I816">
        <v>300</v>
      </c>
      <c r="J816">
        <v>81</v>
      </c>
      <c r="K816">
        <v>1200</v>
      </c>
    </row>
    <row r="817" spans="1:11">
      <c r="A817">
        <v>1822</v>
      </c>
      <c r="B817" s="1">
        <v>45178</v>
      </c>
      <c r="C817" s="2">
        <v>0.71875</v>
      </c>
      <c r="D817">
        <v>15</v>
      </c>
      <c r="E817" t="s">
        <v>14</v>
      </c>
      <c r="F817">
        <v>52</v>
      </c>
      <c r="G817" t="s">
        <v>13</v>
      </c>
      <c r="H817">
        <v>3</v>
      </c>
      <c r="I817">
        <v>50</v>
      </c>
      <c r="J817">
        <v>21</v>
      </c>
      <c r="K817">
        <v>150</v>
      </c>
    </row>
    <row r="818" spans="1:11">
      <c r="A818">
        <v>840</v>
      </c>
      <c r="B818" s="1">
        <v>45108</v>
      </c>
      <c r="C818" s="2">
        <v>0.79097222222222219</v>
      </c>
      <c r="D818">
        <v>60</v>
      </c>
      <c r="E818" t="s">
        <v>11</v>
      </c>
      <c r="F818">
        <v>62</v>
      </c>
      <c r="G818" t="s">
        <v>12</v>
      </c>
      <c r="H818">
        <v>2</v>
      </c>
      <c r="I818">
        <v>25</v>
      </c>
      <c r="J818">
        <v>11.75</v>
      </c>
      <c r="K818">
        <v>50</v>
      </c>
    </row>
    <row r="819" spans="1:11">
      <c r="A819">
        <v>1840</v>
      </c>
      <c r="B819" s="1">
        <v>45058</v>
      </c>
      <c r="C819" s="2">
        <v>0.84861111111111109</v>
      </c>
      <c r="D819">
        <v>138</v>
      </c>
      <c r="E819" t="s">
        <v>11</v>
      </c>
      <c r="F819">
        <v>62</v>
      </c>
      <c r="G819" t="s">
        <v>12</v>
      </c>
      <c r="H819">
        <v>2</v>
      </c>
      <c r="I819">
        <v>25</v>
      </c>
      <c r="J819">
        <v>11</v>
      </c>
      <c r="K819">
        <v>50</v>
      </c>
    </row>
    <row r="820" spans="1:11">
      <c r="A820">
        <v>404</v>
      </c>
      <c r="B820" s="1">
        <v>44970</v>
      </c>
      <c r="C820" s="2">
        <v>0.82986111111111116</v>
      </c>
      <c r="D820">
        <v>59</v>
      </c>
      <c r="E820" t="s">
        <v>11</v>
      </c>
      <c r="F820">
        <v>46</v>
      </c>
      <c r="G820" t="s">
        <v>15</v>
      </c>
      <c r="H820">
        <v>2</v>
      </c>
      <c r="I820">
        <v>500</v>
      </c>
      <c r="J820">
        <v>160</v>
      </c>
      <c r="K820">
        <v>1000</v>
      </c>
    </row>
    <row r="821" spans="1:11">
      <c r="A821">
        <v>899</v>
      </c>
      <c r="B821" s="1">
        <v>45068</v>
      </c>
      <c r="C821" s="2">
        <v>0.89861111111111114</v>
      </c>
      <c r="D821">
        <v>147</v>
      </c>
      <c r="E821" t="s">
        <v>11</v>
      </c>
      <c r="F821">
        <v>26</v>
      </c>
      <c r="G821" t="s">
        <v>12</v>
      </c>
      <c r="H821">
        <v>2</v>
      </c>
      <c r="I821">
        <v>300</v>
      </c>
      <c r="J821">
        <v>153</v>
      </c>
      <c r="K821">
        <v>600</v>
      </c>
    </row>
    <row r="822" spans="1:11">
      <c r="A822">
        <v>990</v>
      </c>
      <c r="B822" s="1">
        <v>45014</v>
      </c>
      <c r="C822" s="2">
        <v>0.90625</v>
      </c>
      <c r="D822">
        <v>68</v>
      </c>
      <c r="E822" t="s">
        <v>14</v>
      </c>
      <c r="F822">
        <v>58</v>
      </c>
      <c r="G822" t="s">
        <v>13</v>
      </c>
      <c r="H822">
        <v>2</v>
      </c>
      <c r="I822">
        <v>500</v>
      </c>
      <c r="J822">
        <v>235</v>
      </c>
      <c r="K822">
        <v>1000</v>
      </c>
    </row>
    <row r="823" spans="1:11">
      <c r="A823">
        <v>1404</v>
      </c>
      <c r="B823" s="1">
        <v>45158</v>
      </c>
      <c r="C823" s="2">
        <v>0.76041666666666663</v>
      </c>
      <c r="D823">
        <v>155</v>
      </c>
      <c r="E823" t="s">
        <v>11</v>
      </c>
      <c r="F823">
        <v>46</v>
      </c>
      <c r="G823" t="s">
        <v>15</v>
      </c>
      <c r="H823">
        <v>2</v>
      </c>
      <c r="I823">
        <v>500</v>
      </c>
      <c r="J823">
        <v>185</v>
      </c>
      <c r="K823">
        <v>1000</v>
      </c>
    </row>
    <row r="824" spans="1:11">
      <c r="A824">
        <v>1899</v>
      </c>
      <c r="B824" s="1">
        <v>45049</v>
      </c>
      <c r="C824" s="2">
        <v>0.87708333333333333</v>
      </c>
      <c r="D824">
        <v>51</v>
      </c>
      <c r="E824" t="s">
        <v>11</v>
      </c>
      <c r="F824">
        <v>26</v>
      </c>
      <c r="G824" t="s">
        <v>12</v>
      </c>
      <c r="H824">
        <v>2</v>
      </c>
      <c r="I824">
        <v>300</v>
      </c>
      <c r="J824">
        <v>99</v>
      </c>
      <c r="K824">
        <v>600</v>
      </c>
    </row>
    <row r="825" spans="1:11">
      <c r="A825">
        <v>1990</v>
      </c>
      <c r="B825" s="1">
        <v>45252</v>
      </c>
      <c r="C825" s="2">
        <v>0.70972222222222225</v>
      </c>
      <c r="D825">
        <v>48</v>
      </c>
      <c r="E825" t="s">
        <v>14</v>
      </c>
      <c r="F825">
        <v>58</v>
      </c>
      <c r="G825" t="s">
        <v>13</v>
      </c>
      <c r="H825">
        <v>2</v>
      </c>
      <c r="I825">
        <v>500</v>
      </c>
      <c r="J825">
        <v>155</v>
      </c>
      <c r="K825">
        <v>1000</v>
      </c>
    </row>
    <row r="826" spans="1:11">
      <c r="A826">
        <v>382</v>
      </c>
      <c r="B826" s="1">
        <v>45121</v>
      </c>
      <c r="C826" s="2">
        <v>0.88888888888888884</v>
      </c>
      <c r="D826">
        <v>29</v>
      </c>
      <c r="E826" t="s">
        <v>14</v>
      </c>
      <c r="F826">
        <v>53</v>
      </c>
      <c r="G826" t="s">
        <v>12</v>
      </c>
      <c r="H826">
        <v>2</v>
      </c>
      <c r="I826">
        <v>500</v>
      </c>
      <c r="J826">
        <v>245</v>
      </c>
      <c r="K826">
        <v>1000</v>
      </c>
    </row>
    <row r="827" spans="1:11">
      <c r="A827">
        <v>578</v>
      </c>
      <c r="B827" s="1">
        <v>45265</v>
      </c>
      <c r="C827" s="2">
        <v>0.9458333333333333</v>
      </c>
      <c r="D827">
        <v>68</v>
      </c>
      <c r="E827" t="s">
        <v>14</v>
      </c>
      <c r="F827">
        <v>54</v>
      </c>
      <c r="G827" t="s">
        <v>12</v>
      </c>
      <c r="H827">
        <v>4</v>
      </c>
      <c r="I827">
        <v>30</v>
      </c>
      <c r="J827">
        <v>9.3000000000000007</v>
      </c>
      <c r="K827">
        <v>120</v>
      </c>
    </row>
    <row r="828" spans="1:11">
      <c r="A828">
        <v>923</v>
      </c>
      <c r="B828" s="1">
        <v>45087</v>
      </c>
      <c r="C828" s="2">
        <v>0.72222222222222221</v>
      </c>
      <c r="D828">
        <v>62</v>
      </c>
      <c r="E828" t="s">
        <v>11</v>
      </c>
      <c r="F828">
        <v>32</v>
      </c>
      <c r="G828" t="s">
        <v>13</v>
      </c>
      <c r="H828">
        <v>3</v>
      </c>
      <c r="I828">
        <v>300</v>
      </c>
      <c r="J828">
        <v>165</v>
      </c>
      <c r="K828">
        <v>900</v>
      </c>
    </row>
    <row r="829" spans="1:11">
      <c r="A829">
        <v>1382</v>
      </c>
      <c r="B829" s="1">
        <v>45066</v>
      </c>
      <c r="C829" s="2">
        <v>0.75902777777777775</v>
      </c>
      <c r="D829">
        <v>139</v>
      </c>
      <c r="E829" t="s">
        <v>14</v>
      </c>
      <c r="F829">
        <v>53</v>
      </c>
      <c r="G829" t="s">
        <v>12</v>
      </c>
      <c r="H829">
        <v>2</v>
      </c>
      <c r="I829">
        <v>500</v>
      </c>
      <c r="J829">
        <v>185</v>
      </c>
      <c r="K829">
        <v>1000</v>
      </c>
    </row>
    <row r="830" spans="1:11">
      <c r="A830">
        <v>1578</v>
      </c>
      <c r="B830" s="1">
        <v>45250</v>
      </c>
      <c r="C830" s="2">
        <v>0.77986111111111112</v>
      </c>
      <c r="D830">
        <v>66</v>
      </c>
      <c r="E830" t="s">
        <v>14</v>
      </c>
      <c r="F830">
        <v>54</v>
      </c>
      <c r="G830" t="s">
        <v>12</v>
      </c>
      <c r="H830">
        <v>4</v>
      </c>
      <c r="I830">
        <v>30</v>
      </c>
      <c r="J830">
        <v>12</v>
      </c>
      <c r="K830">
        <v>120</v>
      </c>
    </row>
    <row r="831" spans="1:11">
      <c r="A831">
        <v>1923</v>
      </c>
      <c r="B831" s="1">
        <v>44654</v>
      </c>
      <c r="C831" s="2">
        <v>0.73472222222222228</v>
      </c>
      <c r="D831">
        <v>74</v>
      </c>
      <c r="E831" t="s">
        <v>11</v>
      </c>
      <c r="F831">
        <v>32</v>
      </c>
      <c r="G831" t="s">
        <v>13</v>
      </c>
      <c r="H831">
        <v>3</v>
      </c>
      <c r="I831">
        <v>300</v>
      </c>
      <c r="J831">
        <v>159</v>
      </c>
      <c r="K831">
        <v>900</v>
      </c>
    </row>
    <row r="832" spans="1:11">
      <c r="A832">
        <v>307</v>
      </c>
      <c r="B832" s="1">
        <v>44876</v>
      </c>
      <c r="C832" s="2">
        <v>0.95416666666666672</v>
      </c>
      <c r="D832">
        <v>32</v>
      </c>
      <c r="E832" t="s">
        <v>14</v>
      </c>
      <c r="F832">
        <v>26</v>
      </c>
      <c r="G832" t="s">
        <v>15</v>
      </c>
      <c r="H832">
        <v>2</v>
      </c>
      <c r="I832">
        <v>25</v>
      </c>
      <c r="J832">
        <v>8.5</v>
      </c>
      <c r="K832">
        <v>50</v>
      </c>
    </row>
    <row r="833" spans="1:11">
      <c r="A833">
        <v>561</v>
      </c>
      <c r="B833" s="1">
        <v>44771</v>
      </c>
      <c r="C833" s="2">
        <v>0.71111111111111114</v>
      </c>
      <c r="D833">
        <v>34</v>
      </c>
      <c r="E833" t="s">
        <v>14</v>
      </c>
      <c r="F833">
        <v>64</v>
      </c>
      <c r="G833" t="s">
        <v>12</v>
      </c>
      <c r="H833">
        <v>4</v>
      </c>
      <c r="I833">
        <v>500</v>
      </c>
      <c r="J833">
        <v>250</v>
      </c>
      <c r="K833">
        <v>2000</v>
      </c>
    </row>
    <row r="834" spans="1:11">
      <c r="A834">
        <v>651</v>
      </c>
      <c r="B834" s="1">
        <v>45197</v>
      </c>
      <c r="C834" s="2">
        <v>0.87638888888888888</v>
      </c>
      <c r="D834">
        <v>30</v>
      </c>
      <c r="E834" t="s">
        <v>11</v>
      </c>
      <c r="F834">
        <v>51</v>
      </c>
      <c r="G834" t="s">
        <v>12</v>
      </c>
      <c r="H834">
        <v>3</v>
      </c>
      <c r="I834">
        <v>50</v>
      </c>
      <c r="J834">
        <v>26</v>
      </c>
      <c r="K834">
        <v>150</v>
      </c>
    </row>
    <row r="835" spans="1:11">
      <c r="A835">
        <v>1307</v>
      </c>
      <c r="B835" s="1">
        <v>44590</v>
      </c>
      <c r="C835" s="2">
        <v>0.9243055555555556</v>
      </c>
      <c r="D835">
        <v>68</v>
      </c>
      <c r="E835" t="s">
        <v>14</v>
      </c>
      <c r="F835">
        <v>26</v>
      </c>
      <c r="G835" t="s">
        <v>15</v>
      </c>
      <c r="H835">
        <v>2</v>
      </c>
      <c r="I835">
        <v>25</v>
      </c>
      <c r="J835">
        <v>11.75</v>
      </c>
      <c r="K835">
        <v>50</v>
      </c>
    </row>
    <row r="836" spans="1:11">
      <c r="A836">
        <v>1561</v>
      </c>
      <c r="B836" s="1">
        <v>45186</v>
      </c>
      <c r="C836" s="2">
        <v>0.81805555555555554</v>
      </c>
      <c r="D836">
        <v>16</v>
      </c>
      <c r="E836" t="s">
        <v>14</v>
      </c>
      <c r="F836">
        <v>64</v>
      </c>
      <c r="G836" t="s">
        <v>12</v>
      </c>
      <c r="H836">
        <v>4</v>
      </c>
      <c r="I836">
        <v>500</v>
      </c>
      <c r="J836">
        <v>170</v>
      </c>
      <c r="K836">
        <v>2000</v>
      </c>
    </row>
    <row r="837" spans="1:11">
      <c r="A837">
        <v>1651</v>
      </c>
      <c r="B837" s="1">
        <v>44899</v>
      </c>
      <c r="C837" s="2">
        <v>0.89513888888888893</v>
      </c>
      <c r="D837">
        <v>155</v>
      </c>
      <c r="E837" t="s">
        <v>11</v>
      </c>
      <c r="F837">
        <v>51</v>
      </c>
      <c r="G837" t="s">
        <v>12</v>
      </c>
      <c r="H837">
        <v>3</v>
      </c>
      <c r="I837">
        <v>50</v>
      </c>
      <c r="J837">
        <v>23.5</v>
      </c>
      <c r="K837">
        <v>150</v>
      </c>
    </row>
    <row r="838" spans="1:11">
      <c r="A838">
        <v>988</v>
      </c>
      <c r="B838" s="1">
        <v>44778</v>
      </c>
      <c r="C838" s="2">
        <v>0.77847222222222223</v>
      </c>
      <c r="D838">
        <v>85</v>
      </c>
      <c r="E838" t="s">
        <v>14</v>
      </c>
      <c r="F838">
        <v>63</v>
      </c>
      <c r="G838" t="s">
        <v>12</v>
      </c>
      <c r="H838">
        <v>3</v>
      </c>
      <c r="I838">
        <v>25</v>
      </c>
      <c r="J838">
        <v>8</v>
      </c>
      <c r="K838">
        <v>75</v>
      </c>
    </row>
    <row r="839" spans="1:11">
      <c r="A839">
        <v>1988</v>
      </c>
      <c r="B839" s="1">
        <v>45260</v>
      </c>
      <c r="C839" s="2">
        <v>0.78263888888888888</v>
      </c>
      <c r="D839">
        <v>144</v>
      </c>
      <c r="E839" t="s">
        <v>14</v>
      </c>
      <c r="F839">
        <v>63</v>
      </c>
      <c r="G839" t="s">
        <v>12</v>
      </c>
      <c r="H839">
        <v>3</v>
      </c>
      <c r="I839">
        <v>25</v>
      </c>
      <c r="J839">
        <v>7.25</v>
      </c>
      <c r="K839">
        <v>75</v>
      </c>
    </row>
    <row r="840" spans="1:11">
      <c r="A840">
        <v>67</v>
      </c>
      <c r="B840" s="1">
        <v>45157</v>
      </c>
      <c r="C840" s="2">
        <v>0.84652777777777777</v>
      </c>
      <c r="D840">
        <v>119</v>
      </c>
      <c r="E840" t="s">
        <v>14</v>
      </c>
      <c r="F840">
        <v>48</v>
      </c>
      <c r="G840" t="s">
        <v>13</v>
      </c>
      <c r="H840">
        <v>4</v>
      </c>
      <c r="I840">
        <v>300</v>
      </c>
      <c r="J840">
        <v>129</v>
      </c>
      <c r="K840">
        <v>1200</v>
      </c>
    </row>
    <row r="841" spans="1:11">
      <c r="A841">
        <v>1067</v>
      </c>
      <c r="B841" s="1">
        <v>45202</v>
      </c>
      <c r="C841" s="2">
        <v>0.70902777777777781</v>
      </c>
      <c r="D841">
        <v>105</v>
      </c>
      <c r="E841" t="s">
        <v>14</v>
      </c>
      <c r="F841">
        <v>48</v>
      </c>
      <c r="G841" t="s">
        <v>13</v>
      </c>
      <c r="H841">
        <v>4</v>
      </c>
      <c r="I841">
        <v>300</v>
      </c>
      <c r="J841">
        <v>129</v>
      </c>
      <c r="K841">
        <v>1200</v>
      </c>
    </row>
    <row r="842" spans="1:11">
      <c r="A842">
        <v>915</v>
      </c>
      <c r="B842" s="1">
        <v>45210</v>
      </c>
      <c r="C842" s="2">
        <v>0.79583333333333328</v>
      </c>
      <c r="D842">
        <v>95</v>
      </c>
      <c r="E842" t="s">
        <v>14</v>
      </c>
      <c r="F842">
        <v>26</v>
      </c>
      <c r="G842" t="s">
        <v>13</v>
      </c>
      <c r="H842">
        <v>3</v>
      </c>
      <c r="I842">
        <v>30</v>
      </c>
      <c r="J842">
        <v>12.9</v>
      </c>
      <c r="K842">
        <v>90</v>
      </c>
    </row>
    <row r="843" spans="1:11">
      <c r="A843">
        <v>985</v>
      </c>
      <c r="B843" s="1">
        <v>45090</v>
      </c>
      <c r="C843" s="2">
        <v>0.93958333333333333</v>
      </c>
      <c r="D843">
        <v>113</v>
      </c>
      <c r="E843" t="s">
        <v>14</v>
      </c>
      <c r="F843">
        <v>19</v>
      </c>
      <c r="G843" t="s">
        <v>15</v>
      </c>
      <c r="H843">
        <v>2</v>
      </c>
      <c r="I843">
        <v>25</v>
      </c>
      <c r="J843">
        <v>9</v>
      </c>
      <c r="K843">
        <v>50</v>
      </c>
    </row>
    <row r="844" spans="1:11">
      <c r="A844">
        <v>1915</v>
      </c>
      <c r="B844" s="1">
        <v>45117</v>
      </c>
      <c r="C844" s="2">
        <v>0.95138888888888884</v>
      </c>
      <c r="D844">
        <v>53</v>
      </c>
      <c r="E844" t="s">
        <v>14</v>
      </c>
      <c r="F844">
        <v>26</v>
      </c>
      <c r="G844" t="s">
        <v>13</v>
      </c>
      <c r="H844">
        <v>3</v>
      </c>
      <c r="I844">
        <v>30</v>
      </c>
      <c r="J844">
        <v>9.3000000000000007</v>
      </c>
      <c r="K844">
        <v>90</v>
      </c>
    </row>
    <row r="845" spans="1:11">
      <c r="A845">
        <v>1985</v>
      </c>
      <c r="B845" s="1">
        <v>45016</v>
      </c>
      <c r="C845" s="2">
        <v>0.84375</v>
      </c>
      <c r="D845">
        <v>113</v>
      </c>
      <c r="E845" t="s">
        <v>14</v>
      </c>
      <c r="F845">
        <v>19</v>
      </c>
      <c r="G845" t="s">
        <v>15</v>
      </c>
      <c r="H845">
        <v>2</v>
      </c>
      <c r="I845">
        <v>25</v>
      </c>
      <c r="J845">
        <v>9.75</v>
      </c>
      <c r="K845">
        <v>50</v>
      </c>
    </row>
    <row r="846" spans="1:11">
      <c r="A846">
        <v>56</v>
      </c>
      <c r="B846" s="1">
        <v>44922</v>
      </c>
      <c r="C846" s="2">
        <v>0.81736111111111109</v>
      </c>
      <c r="D846">
        <v>97</v>
      </c>
      <c r="E846" t="s">
        <v>14</v>
      </c>
      <c r="F846">
        <v>26</v>
      </c>
      <c r="G846" t="s">
        <v>12</v>
      </c>
      <c r="H846">
        <v>3</v>
      </c>
      <c r="I846">
        <v>300</v>
      </c>
      <c r="J846">
        <v>120</v>
      </c>
      <c r="K846">
        <v>900</v>
      </c>
    </row>
    <row r="847" spans="1:11">
      <c r="A847">
        <v>159</v>
      </c>
      <c r="B847" s="1">
        <v>44875</v>
      </c>
      <c r="C847" s="2">
        <v>0.89583333333333337</v>
      </c>
      <c r="D847">
        <v>42</v>
      </c>
      <c r="E847" t="s">
        <v>11</v>
      </c>
      <c r="F847">
        <v>26</v>
      </c>
      <c r="G847" t="s">
        <v>12</v>
      </c>
      <c r="H847">
        <v>4</v>
      </c>
      <c r="I847">
        <v>50</v>
      </c>
      <c r="J847">
        <v>23.5</v>
      </c>
      <c r="K847">
        <v>200</v>
      </c>
    </row>
    <row r="848" spans="1:11">
      <c r="A848">
        <v>862</v>
      </c>
      <c r="B848" s="1">
        <v>44906</v>
      </c>
      <c r="C848" s="2">
        <v>0.90069444444444446</v>
      </c>
      <c r="D848">
        <v>29</v>
      </c>
      <c r="E848" t="s">
        <v>11</v>
      </c>
      <c r="F848">
        <v>28</v>
      </c>
      <c r="G848" t="s">
        <v>15</v>
      </c>
      <c r="H848">
        <v>4</v>
      </c>
      <c r="I848">
        <v>300</v>
      </c>
      <c r="J848">
        <v>78</v>
      </c>
      <c r="K848">
        <v>1200</v>
      </c>
    </row>
    <row r="849" spans="1:11">
      <c r="A849">
        <v>1056</v>
      </c>
      <c r="B849" s="1">
        <v>44668</v>
      </c>
      <c r="C849" s="2">
        <v>0.82361111111111107</v>
      </c>
      <c r="D849">
        <v>54</v>
      </c>
      <c r="E849" t="s">
        <v>14</v>
      </c>
      <c r="F849">
        <v>26</v>
      </c>
      <c r="G849" t="s">
        <v>12</v>
      </c>
      <c r="H849">
        <v>3</v>
      </c>
      <c r="I849">
        <v>300</v>
      </c>
      <c r="J849">
        <v>114</v>
      </c>
      <c r="K849">
        <v>900</v>
      </c>
    </row>
    <row r="850" spans="1:11">
      <c r="A850">
        <v>1159</v>
      </c>
      <c r="B850" s="1">
        <v>45018</v>
      </c>
      <c r="C850" s="2">
        <v>0.75555555555555554</v>
      </c>
      <c r="D850">
        <v>41</v>
      </c>
      <c r="E850" t="s">
        <v>11</v>
      </c>
      <c r="F850">
        <v>26</v>
      </c>
      <c r="G850" t="s">
        <v>12</v>
      </c>
      <c r="H850">
        <v>4</v>
      </c>
      <c r="I850">
        <v>50</v>
      </c>
      <c r="J850">
        <v>18</v>
      </c>
      <c r="K850">
        <v>200</v>
      </c>
    </row>
    <row r="851" spans="1:11">
      <c r="A851">
        <v>1862</v>
      </c>
      <c r="B851" s="1">
        <v>44598</v>
      </c>
      <c r="C851" s="2">
        <v>0.95138888888888884</v>
      </c>
      <c r="D851">
        <v>64</v>
      </c>
      <c r="E851" t="s">
        <v>11</v>
      </c>
      <c r="F851">
        <v>28</v>
      </c>
      <c r="G851" t="s">
        <v>15</v>
      </c>
      <c r="H851">
        <v>4</v>
      </c>
      <c r="I851">
        <v>300</v>
      </c>
      <c r="J851">
        <v>165</v>
      </c>
      <c r="K851">
        <v>1200</v>
      </c>
    </row>
    <row r="852" spans="1:11">
      <c r="A852">
        <v>315</v>
      </c>
      <c r="B852" s="1">
        <v>45110</v>
      </c>
      <c r="C852" s="2">
        <v>0.78680555555555554</v>
      </c>
      <c r="D852">
        <v>122</v>
      </c>
      <c r="E852" t="s">
        <v>11</v>
      </c>
      <c r="F852">
        <v>47</v>
      </c>
      <c r="G852" t="s">
        <v>12</v>
      </c>
      <c r="H852">
        <v>2</v>
      </c>
      <c r="I852">
        <v>30</v>
      </c>
      <c r="J852">
        <v>15</v>
      </c>
      <c r="K852">
        <v>60</v>
      </c>
    </row>
    <row r="853" spans="1:11">
      <c r="A853">
        <v>545</v>
      </c>
      <c r="B853" s="1">
        <v>45279</v>
      </c>
      <c r="C853" s="2">
        <v>0.72083333333333333</v>
      </c>
      <c r="D853">
        <v>61</v>
      </c>
      <c r="E853" t="s">
        <v>11</v>
      </c>
      <c r="F853">
        <v>27</v>
      </c>
      <c r="G853" t="s">
        <v>12</v>
      </c>
      <c r="H853">
        <v>2</v>
      </c>
      <c r="I853">
        <v>25</v>
      </c>
      <c r="J853">
        <v>8.25</v>
      </c>
      <c r="K853">
        <v>50</v>
      </c>
    </row>
    <row r="854" spans="1:11">
      <c r="A854">
        <v>902</v>
      </c>
      <c r="B854" s="1">
        <v>44606</v>
      </c>
      <c r="C854" s="2">
        <v>0.71944444444444444</v>
      </c>
      <c r="D854">
        <v>108</v>
      </c>
      <c r="E854" t="s">
        <v>14</v>
      </c>
      <c r="F854">
        <v>54</v>
      </c>
      <c r="G854" t="s">
        <v>13</v>
      </c>
      <c r="H854">
        <v>1</v>
      </c>
      <c r="I854">
        <v>50</v>
      </c>
      <c r="J854">
        <v>21.5</v>
      </c>
      <c r="K854">
        <v>50</v>
      </c>
    </row>
    <row r="855" spans="1:11">
      <c r="A855">
        <v>1315</v>
      </c>
      <c r="B855" s="1">
        <v>44804</v>
      </c>
      <c r="C855" s="2">
        <v>0.86944444444444446</v>
      </c>
      <c r="D855">
        <v>14</v>
      </c>
      <c r="E855" t="s">
        <v>11</v>
      </c>
      <c r="F855">
        <v>47</v>
      </c>
      <c r="G855" t="s">
        <v>12</v>
      </c>
      <c r="H855">
        <v>2</v>
      </c>
      <c r="I855">
        <v>30</v>
      </c>
      <c r="J855">
        <v>12.9</v>
      </c>
      <c r="K855">
        <v>60</v>
      </c>
    </row>
    <row r="856" spans="1:11">
      <c r="A856">
        <v>1545</v>
      </c>
      <c r="B856" s="1">
        <v>45122</v>
      </c>
      <c r="C856" s="2">
        <v>0.76458333333333328</v>
      </c>
      <c r="D856">
        <v>16</v>
      </c>
      <c r="E856" t="s">
        <v>11</v>
      </c>
      <c r="F856">
        <v>27</v>
      </c>
      <c r="G856" t="s">
        <v>12</v>
      </c>
      <c r="H856">
        <v>2</v>
      </c>
      <c r="I856">
        <v>25</v>
      </c>
      <c r="J856">
        <v>8.25</v>
      </c>
      <c r="K856">
        <v>50</v>
      </c>
    </row>
    <row r="857" spans="1:11">
      <c r="A857">
        <v>1902</v>
      </c>
      <c r="B857" s="1">
        <v>44916</v>
      </c>
      <c r="C857" s="2">
        <v>0.71666666666666667</v>
      </c>
      <c r="D857">
        <v>97</v>
      </c>
      <c r="E857" t="s">
        <v>14</v>
      </c>
      <c r="F857">
        <v>54</v>
      </c>
      <c r="G857" t="s">
        <v>13</v>
      </c>
      <c r="H857">
        <v>1</v>
      </c>
      <c r="I857">
        <v>50</v>
      </c>
      <c r="J857">
        <v>14</v>
      </c>
      <c r="K857">
        <v>50</v>
      </c>
    </row>
    <row r="858" spans="1:11">
      <c r="A858">
        <v>170</v>
      </c>
      <c r="B858" s="1">
        <v>45190</v>
      </c>
      <c r="C858" s="2">
        <v>0.86527777777777781</v>
      </c>
      <c r="D858">
        <v>125</v>
      </c>
      <c r="E858" t="s">
        <v>14</v>
      </c>
      <c r="F858">
        <v>25</v>
      </c>
      <c r="G858" t="s">
        <v>12</v>
      </c>
      <c r="H858">
        <v>2</v>
      </c>
      <c r="I858">
        <v>25</v>
      </c>
      <c r="J858">
        <v>12.5</v>
      </c>
      <c r="K858">
        <v>50</v>
      </c>
    </row>
    <row r="859" spans="1:11">
      <c r="A859">
        <v>685</v>
      </c>
      <c r="B859" s="1">
        <v>45111</v>
      </c>
      <c r="C859" s="2">
        <v>0.92708333333333337</v>
      </c>
      <c r="D859">
        <v>90</v>
      </c>
      <c r="E859" t="s">
        <v>11</v>
      </c>
      <c r="F859">
        <v>57</v>
      </c>
      <c r="G859" t="s">
        <v>15</v>
      </c>
      <c r="H859">
        <v>2</v>
      </c>
      <c r="I859">
        <v>25</v>
      </c>
      <c r="J859">
        <v>7.75</v>
      </c>
      <c r="K859">
        <v>50</v>
      </c>
    </row>
    <row r="860" spans="1:11">
      <c r="A860">
        <v>958</v>
      </c>
      <c r="B860" s="1">
        <v>44562</v>
      </c>
      <c r="C860" s="2">
        <v>0.88472222222222219</v>
      </c>
      <c r="D860">
        <v>116</v>
      </c>
      <c r="E860" t="s">
        <v>11</v>
      </c>
      <c r="F860">
        <v>62</v>
      </c>
      <c r="G860" t="s">
        <v>15</v>
      </c>
      <c r="H860">
        <v>2</v>
      </c>
      <c r="I860">
        <v>25</v>
      </c>
      <c r="J860">
        <v>11</v>
      </c>
      <c r="K860">
        <v>50</v>
      </c>
    </row>
    <row r="861" spans="1:11">
      <c r="A861">
        <v>1170</v>
      </c>
      <c r="B861" s="1">
        <v>44932</v>
      </c>
      <c r="C861" s="2">
        <v>0.71736111111111112</v>
      </c>
      <c r="D861">
        <v>96</v>
      </c>
      <c r="E861" t="s">
        <v>14</v>
      </c>
      <c r="F861">
        <v>25</v>
      </c>
      <c r="G861" t="s">
        <v>12</v>
      </c>
      <c r="H861">
        <v>2</v>
      </c>
      <c r="I861">
        <v>25</v>
      </c>
      <c r="J861">
        <v>8</v>
      </c>
      <c r="K861">
        <v>50</v>
      </c>
    </row>
    <row r="862" spans="1:11">
      <c r="A862">
        <v>1685</v>
      </c>
      <c r="B862" s="1">
        <v>44671</v>
      </c>
      <c r="C862" s="2">
        <v>0.85555555555555551</v>
      </c>
      <c r="D862">
        <v>76</v>
      </c>
      <c r="E862" t="s">
        <v>11</v>
      </c>
      <c r="F862">
        <v>57</v>
      </c>
      <c r="G862" t="s">
        <v>15</v>
      </c>
      <c r="H862">
        <v>2</v>
      </c>
      <c r="I862">
        <v>25</v>
      </c>
      <c r="J862">
        <v>8.75</v>
      </c>
      <c r="K862">
        <v>50</v>
      </c>
    </row>
    <row r="863" spans="1:11">
      <c r="A863">
        <v>1958</v>
      </c>
      <c r="B863" s="1">
        <v>44892</v>
      </c>
      <c r="C863" s="2">
        <v>0.80486111111111114</v>
      </c>
      <c r="D863">
        <v>125</v>
      </c>
      <c r="E863" t="s">
        <v>11</v>
      </c>
      <c r="F863">
        <v>62</v>
      </c>
      <c r="G863" t="s">
        <v>15</v>
      </c>
      <c r="H863">
        <v>2</v>
      </c>
      <c r="I863">
        <v>25</v>
      </c>
      <c r="J863">
        <v>11.75</v>
      </c>
      <c r="K863">
        <v>50</v>
      </c>
    </row>
    <row r="864" spans="1:11">
      <c r="A864">
        <v>363</v>
      </c>
      <c r="B864" s="1">
        <v>44704</v>
      </c>
      <c r="C864" s="2">
        <v>0.95208333333333328</v>
      </c>
      <c r="D864">
        <v>92</v>
      </c>
      <c r="E864" t="s">
        <v>11</v>
      </c>
      <c r="F864">
        <v>64</v>
      </c>
      <c r="G864" t="s">
        <v>13</v>
      </c>
      <c r="H864">
        <v>1</v>
      </c>
      <c r="I864">
        <v>25</v>
      </c>
      <c r="J864">
        <v>13.5</v>
      </c>
      <c r="K864">
        <v>25</v>
      </c>
    </row>
    <row r="865" spans="1:11">
      <c r="A865">
        <v>394</v>
      </c>
      <c r="B865" s="1">
        <v>44792</v>
      </c>
      <c r="C865" s="2">
        <v>0.81041666666666667</v>
      </c>
      <c r="D865">
        <v>105</v>
      </c>
      <c r="E865" t="s">
        <v>14</v>
      </c>
      <c r="F865">
        <v>27</v>
      </c>
      <c r="G865" t="s">
        <v>12</v>
      </c>
      <c r="H865">
        <v>1</v>
      </c>
      <c r="I865">
        <v>500</v>
      </c>
      <c r="J865">
        <v>165</v>
      </c>
      <c r="K865">
        <v>500</v>
      </c>
    </row>
    <row r="866" spans="1:11">
      <c r="A866">
        <v>537</v>
      </c>
      <c r="B866" s="1">
        <v>45200</v>
      </c>
      <c r="C866" s="2">
        <v>0.75486111111111109</v>
      </c>
      <c r="D866">
        <v>98</v>
      </c>
      <c r="E866" t="s">
        <v>14</v>
      </c>
      <c r="F866">
        <v>21</v>
      </c>
      <c r="G866" t="s">
        <v>13</v>
      </c>
      <c r="H866">
        <v>1</v>
      </c>
      <c r="I866">
        <v>500</v>
      </c>
      <c r="J866">
        <v>275</v>
      </c>
      <c r="K866">
        <v>500</v>
      </c>
    </row>
    <row r="867" spans="1:11">
      <c r="A867">
        <v>1363</v>
      </c>
      <c r="B867" s="1">
        <v>45111</v>
      </c>
      <c r="C867" s="2">
        <v>0.8520833333333333</v>
      </c>
      <c r="D867">
        <v>33</v>
      </c>
      <c r="E867" t="s">
        <v>11</v>
      </c>
      <c r="F867">
        <v>64</v>
      </c>
      <c r="G867" t="s">
        <v>13</v>
      </c>
      <c r="H867">
        <v>1</v>
      </c>
      <c r="I867">
        <v>25</v>
      </c>
      <c r="J867">
        <v>7.75</v>
      </c>
      <c r="K867">
        <v>25</v>
      </c>
    </row>
    <row r="868" spans="1:11">
      <c r="A868">
        <v>1394</v>
      </c>
      <c r="B868" s="1">
        <v>44668</v>
      </c>
      <c r="C868" s="2">
        <v>0.83750000000000002</v>
      </c>
      <c r="D868">
        <v>14</v>
      </c>
      <c r="E868" t="s">
        <v>14</v>
      </c>
      <c r="F868">
        <v>27</v>
      </c>
      <c r="G868" t="s">
        <v>12</v>
      </c>
      <c r="H868">
        <v>1</v>
      </c>
      <c r="I868">
        <v>500</v>
      </c>
      <c r="J868">
        <v>250</v>
      </c>
      <c r="K868">
        <v>500</v>
      </c>
    </row>
    <row r="869" spans="1:11">
      <c r="A869">
        <v>1537</v>
      </c>
      <c r="B869" s="1">
        <v>44894</v>
      </c>
      <c r="C869" s="2">
        <v>0.74791666666666667</v>
      </c>
      <c r="D869">
        <v>116</v>
      </c>
      <c r="E869" t="s">
        <v>14</v>
      </c>
      <c r="F869">
        <v>21</v>
      </c>
      <c r="G869" t="s">
        <v>13</v>
      </c>
      <c r="H869">
        <v>1</v>
      </c>
      <c r="I869">
        <v>500</v>
      </c>
      <c r="J869">
        <v>140</v>
      </c>
      <c r="K869">
        <v>500</v>
      </c>
    </row>
    <row r="870" spans="1:11">
      <c r="A870">
        <v>387</v>
      </c>
      <c r="B870" s="1">
        <v>44952</v>
      </c>
      <c r="C870" s="2">
        <v>0.91527777777777775</v>
      </c>
      <c r="D870">
        <v>118</v>
      </c>
      <c r="E870" t="s">
        <v>11</v>
      </c>
      <c r="F870">
        <v>44</v>
      </c>
      <c r="G870" t="s">
        <v>13</v>
      </c>
      <c r="H870">
        <v>1</v>
      </c>
      <c r="I870">
        <v>30</v>
      </c>
      <c r="J870">
        <v>9</v>
      </c>
      <c r="K870">
        <v>30</v>
      </c>
    </row>
    <row r="871" spans="1:11">
      <c r="A871">
        <v>556</v>
      </c>
      <c r="B871" s="1">
        <v>44597</v>
      </c>
      <c r="C871" s="2">
        <v>0.73402777777777772</v>
      </c>
      <c r="D871">
        <v>42</v>
      </c>
      <c r="E871" t="s">
        <v>14</v>
      </c>
      <c r="F871">
        <v>18</v>
      </c>
      <c r="G871" t="s">
        <v>15</v>
      </c>
      <c r="H871">
        <v>1</v>
      </c>
      <c r="I871">
        <v>50</v>
      </c>
      <c r="J871">
        <v>12.5</v>
      </c>
      <c r="K871">
        <v>50</v>
      </c>
    </row>
    <row r="872" spans="1:11">
      <c r="A872">
        <v>782</v>
      </c>
      <c r="B872" s="1">
        <v>44664</v>
      </c>
      <c r="C872" s="2">
        <v>0.91041666666666665</v>
      </c>
      <c r="D872">
        <v>71</v>
      </c>
      <c r="E872" t="s">
        <v>11</v>
      </c>
      <c r="F872">
        <v>59</v>
      </c>
      <c r="G872" t="s">
        <v>12</v>
      </c>
      <c r="H872">
        <v>3</v>
      </c>
      <c r="I872">
        <v>300</v>
      </c>
      <c r="J872">
        <v>150</v>
      </c>
      <c r="K872">
        <v>900</v>
      </c>
    </row>
    <row r="873" spans="1:11">
      <c r="A873">
        <v>906</v>
      </c>
      <c r="B873" s="1">
        <v>44761</v>
      </c>
      <c r="C873" s="2">
        <v>0.74652777777777779</v>
      </c>
      <c r="D873">
        <v>6</v>
      </c>
      <c r="E873" t="s">
        <v>14</v>
      </c>
      <c r="F873">
        <v>20</v>
      </c>
      <c r="G873" t="s">
        <v>12</v>
      </c>
      <c r="H873">
        <v>1</v>
      </c>
      <c r="I873">
        <v>50</v>
      </c>
      <c r="J873">
        <v>17</v>
      </c>
      <c r="K873">
        <v>50</v>
      </c>
    </row>
    <row r="874" spans="1:11">
      <c r="A874">
        <v>1387</v>
      </c>
      <c r="B874" s="1">
        <v>44768</v>
      </c>
      <c r="C874" s="2">
        <v>0.7416666666666667</v>
      </c>
      <c r="D874">
        <v>37</v>
      </c>
      <c r="E874" t="s">
        <v>11</v>
      </c>
      <c r="F874">
        <v>44</v>
      </c>
      <c r="G874" t="s">
        <v>13</v>
      </c>
      <c r="H874">
        <v>1</v>
      </c>
      <c r="I874">
        <v>30</v>
      </c>
      <c r="J874">
        <v>15.6</v>
      </c>
      <c r="K874">
        <v>30</v>
      </c>
    </row>
    <row r="875" spans="1:11">
      <c r="A875">
        <v>1556</v>
      </c>
      <c r="B875" s="1">
        <v>45063</v>
      </c>
      <c r="C875" s="2">
        <v>0.80069444444444449</v>
      </c>
      <c r="D875">
        <v>35</v>
      </c>
      <c r="E875" t="s">
        <v>14</v>
      </c>
      <c r="F875">
        <v>18</v>
      </c>
      <c r="G875" t="s">
        <v>15</v>
      </c>
      <c r="H875">
        <v>1</v>
      </c>
      <c r="I875">
        <v>50</v>
      </c>
      <c r="J875">
        <v>22.5</v>
      </c>
      <c r="K875">
        <v>50</v>
      </c>
    </row>
    <row r="876" spans="1:11">
      <c r="A876">
        <v>1782</v>
      </c>
      <c r="B876" s="1">
        <v>45023</v>
      </c>
      <c r="C876" s="2">
        <v>0.84930555555555554</v>
      </c>
      <c r="D876">
        <v>116</v>
      </c>
      <c r="E876" t="s">
        <v>11</v>
      </c>
      <c r="F876">
        <v>59</v>
      </c>
      <c r="G876" t="s">
        <v>12</v>
      </c>
      <c r="H876">
        <v>3</v>
      </c>
      <c r="I876">
        <v>300</v>
      </c>
      <c r="J876">
        <v>141</v>
      </c>
      <c r="K876">
        <v>900</v>
      </c>
    </row>
    <row r="877" spans="1:11">
      <c r="A877">
        <v>1906</v>
      </c>
      <c r="B877" s="1">
        <v>44835</v>
      </c>
      <c r="C877" s="2">
        <v>0.84027777777777779</v>
      </c>
      <c r="D877">
        <v>58</v>
      </c>
      <c r="E877" t="s">
        <v>14</v>
      </c>
      <c r="F877">
        <v>20</v>
      </c>
      <c r="G877" t="s">
        <v>12</v>
      </c>
      <c r="H877">
        <v>1</v>
      </c>
      <c r="I877">
        <v>50</v>
      </c>
      <c r="J877">
        <v>26.5</v>
      </c>
      <c r="K877">
        <v>50</v>
      </c>
    </row>
    <row r="878" spans="1:11">
      <c r="A878">
        <v>560</v>
      </c>
      <c r="B878" s="1">
        <v>45222</v>
      </c>
      <c r="C878" s="2">
        <v>0.95208333333333328</v>
      </c>
      <c r="D878">
        <v>7</v>
      </c>
      <c r="E878" t="s">
        <v>14</v>
      </c>
      <c r="F878">
        <v>25</v>
      </c>
      <c r="G878" t="s">
        <v>15</v>
      </c>
      <c r="H878">
        <v>1</v>
      </c>
      <c r="I878">
        <v>50</v>
      </c>
      <c r="J878">
        <v>19</v>
      </c>
      <c r="K878">
        <v>50</v>
      </c>
    </row>
    <row r="879" spans="1:11">
      <c r="A879">
        <v>944</v>
      </c>
      <c r="B879" s="1">
        <v>44796</v>
      </c>
      <c r="C879" s="2">
        <v>0.84861111111111109</v>
      </c>
      <c r="D879">
        <v>136</v>
      </c>
      <c r="E879" t="s">
        <v>11</v>
      </c>
      <c r="F879">
        <v>44</v>
      </c>
      <c r="G879" t="s">
        <v>12</v>
      </c>
      <c r="H879">
        <v>2</v>
      </c>
      <c r="I879">
        <v>25</v>
      </c>
      <c r="J879">
        <v>12</v>
      </c>
      <c r="K879">
        <v>50</v>
      </c>
    </row>
    <row r="880" spans="1:11">
      <c r="A880">
        <v>1560</v>
      </c>
      <c r="B880" s="1">
        <v>44878</v>
      </c>
      <c r="C880" s="2">
        <v>0.71944444444444444</v>
      </c>
      <c r="D880">
        <v>91</v>
      </c>
      <c r="E880" t="s">
        <v>14</v>
      </c>
      <c r="F880">
        <v>25</v>
      </c>
      <c r="G880" t="s">
        <v>15</v>
      </c>
      <c r="H880">
        <v>1</v>
      </c>
      <c r="I880">
        <v>50</v>
      </c>
      <c r="J880">
        <v>18.5</v>
      </c>
      <c r="K880">
        <v>50</v>
      </c>
    </row>
    <row r="881" spans="1:11">
      <c r="A881">
        <v>1944</v>
      </c>
      <c r="B881" s="1">
        <v>45125</v>
      </c>
      <c r="C881" s="2">
        <v>0.88055555555555554</v>
      </c>
      <c r="D881">
        <v>63</v>
      </c>
      <c r="E881" t="s">
        <v>11</v>
      </c>
      <c r="F881">
        <v>44</v>
      </c>
      <c r="G881" t="s">
        <v>12</v>
      </c>
      <c r="H881">
        <v>2</v>
      </c>
      <c r="I881">
        <v>25</v>
      </c>
      <c r="J881">
        <v>6.5</v>
      </c>
      <c r="K881">
        <v>50</v>
      </c>
    </row>
    <row r="882" spans="1:11">
      <c r="A882">
        <v>481</v>
      </c>
      <c r="B882" s="1">
        <v>45120</v>
      </c>
      <c r="C882" s="2">
        <v>0.71666666666666667</v>
      </c>
      <c r="D882">
        <v>48</v>
      </c>
      <c r="E882" t="s">
        <v>14</v>
      </c>
      <c r="F882">
        <v>43</v>
      </c>
      <c r="G882" t="s">
        <v>15</v>
      </c>
      <c r="H882">
        <v>4</v>
      </c>
      <c r="I882">
        <v>300</v>
      </c>
      <c r="J882">
        <v>114</v>
      </c>
      <c r="K882">
        <v>1200</v>
      </c>
    </row>
    <row r="883" spans="1:11">
      <c r="A883">
        <v>867</v>
      </c>
      <c r="B883" s="1">
        <v>44766</v>
      </c>
      <c r="C883" s="2">
        <v>0.94444444444444442</v>
      </c>
      <c r="D883">
        <v>152</v>
      </c>
      <c r="E883" t="s">
        <v>11</v>
      </c>
      <c r="F883">
        <v>21</v>
      </c>
      <c r="G883" t="s">
        <v>15</v>
      </c>
      <c r="H883">
        <v>1</v>
      </c>
      <c r="I883">
        <v>500</v>
      </c>
      <c r="J883">
        <v>185</v>
      </c>
      <c r="K883">
        <v>500</v>
      </c>
    </row>
    <row r="884" spans="1:11">
      <c r="A884">
        <v>882</v>
      </c>
      <c r="B884" s="1">
        <v>45221</v>
      </c>
      <c r="C884" s="2">
        <v>0.90347222222222223</v>
      </c>
      <c r="D884">
        <v>144</v>
      </c>
      <c r="E884" t="s">
        <v>14</v>
      </c>
      <c r="F884">
        <v>64</v>
      </c>
      <c r="G884" t="s">
        <v>15</v>
      </c>
      <c r="H884">
        <v>2</v>
      </c>
      <c r="I884">
        <v>25</v>
      </c>
      <c r="J884">
        <v>13.25</v>
      </c>
      <c r="K884">
        <v>50</v>
      </c>
    </row>
    <row r="885" spans="1:11">
      <c r="A885">
        <v>961</v>
      </c>
      <c r="B885" s="1">
        <v>45007</v>
      </c>
      <c r="C885" s="2">
        <v>0.94166666666666665</v>
      </c>
      <c r="D885">
        <v>86</v>
      </c>
      <c r="E885" t="s">
        <v>11</v>
      </c>
      <c r="F885">
        <v>53</v>
      </c>
      <c r="G885" t="s">
        <v>13</v>
      </c>
      <c r="H885">
        <v>4</v>
      </c>
      <c r="I885">
        <v>50</v>
      </c>
      <c r="J885">
        <v>23</v>
      </c>
      <c r="K885">
        <v>200</v>
      </c>
    </row>
    <row r="886" spans="1:11">
      <c r="A886">
        <v>1481</v>
      </c>
      <c r="B886" s="1">
        <v>45239</v>
      </c>
      <c r="C886" s="2">
        <v>0.72361111111111109</v>
      </c>
      <c r="D886">
        <v>20</v>
      </c>
      <c r="E886" t="s">
        <v>14</v>
      </c>
      <c r="F886">
        <v>43</v>
      </c>
      <c r="G886" t="s">
        <v>15</v>
      </c>
      <c r="H886">
        <v>4</v>
      </c>
      <c r="I886">
        <v>300</v>
      </c>
      <c r="J886">
        <v>114</v>
      </c>
      <c r="K886">
        <v>1200</v>
      </c>
    </row>
    <row r="887" spans="1:11">
      <c r="A887">
        <v>1867</v>
      </c>
      <c r="B887" s="1">
        <v>45062</v>
      </c>
      <c r="C887" s="2">
        <v>0.82986111111111116</v>
      </c>
      <c r="D887">
        <v>144</v>
      </c>
      <c r="E887" t="s">
        <v>11</v>
      </c>
      <c r="F887">
        <v>21</v>
      </c>
      <c r="G887" t="s">
        <v>15</v>
      </c>
      <c r="H887">
        <v>1</v>
      </c>
      <c r="I887">
        <v>500</v>
      </c>
      <c r="J887">
        <v>190</v>
      </c>
      <c r="K887">
        <v>500</v>
      </c>
    </row>
    <row r="888" spans="1:11">
      <c r="A888">
        <v>1882</v>
      </c>
      <c r="B888" s="1">
        <v>45098</v>
      </c>
      <c r="C888" s="2">
        <v>0.87222222222222223</v>
      </c>
      <c r="D888">
        <v>15</v>
      </c>
      <c r="E888" t="s">
        <v>14</v>
      </c>
      <c r="F888">
        <v>64</v>
      </c>
      <c r="G888" t="s">
        <v>15</v>
      </c>
      <c r="H888">
        <v>2</v>
      </c>
      <c r="I888">
        <v>25</v>
      </c>
      <c r="J888">
        <v>9</v>
      </c>
      <c r="K888">
        <v>50</v>
      </c>
    </row>
    <row r="889" spans="1:11">
      <c r="A889">
        <v>1961</v>
      </c>
      <c r="B889" s="1">
        <v>44696</v>
      </c>
      <c r="C889" s="2">
        <v>0.88680555555555551</v>
      </c>
      <c r="D889">
        <v>95</v>
      </c>
      <c r="E889" t="s">
        <v>11</v>
      </c>
      <c r="F889">
        <v>53</v>
      </c>
      <c r="G889" t="s">
        <v>13</v>
      </c>
      <c r="H889">
        <v>4</v>
      </c>
      <c r="I889">
        <v>50</v>
      </c>
      <c r="J889">
        <v>20.5</v>
      </c>
      <c r="K889">
        <v>200</v>
      </c>
    </row>
    <row r="890" spans="1:11">
      <c r="A890">
        <v>187</v>
      </c>
      <c r="B890" s="1">
        <v>44612</v>
      </c>
      <c r="C890" s="2">
        <v>0.84652777777777777</v>
      </c>
      <c r="D890">
        <v>88</v>
      </c>
      <c r="E890" t="s">
        <v>14</v>
      </c>
      <c r="F890">
        <v>64</v>
      </c>
      <c r="G890" t="s">
        <v>12</v>
      </c>
      <c r="H890">
        <v>2</v>
      </c>
      <c r="I890">
        <v>50</v>
      </c>
      <c r="J890">
        <v>21</v>
      </c>
      <c r="K890">
        <v>100</v>
      </c>
    </row>
    <row r="891" spans="1:11">
      <c r="A891">
        <v>446</v>
      </c>
      <c r="B891" s="1">
        <v>44867</v>
      </c>
      <c r="C891" s="2">
        <v>0.83125000000000004</v>
      </c>
      <c r="D891">
        <v>104</v>
      </c>
      <c r="E891" t="s">
        <v>11</v>
      </c>
      <c r="F891">
        <v>21</v>
      </c>
      <c r="G891" t="s">
        <v>15</v>
      </c>
      <c r="H891">
        <v>1</v>
      </c>
      <c r="I891">
        <v>50</v>
      </c>
      <c r="J891">
        <v>13</v>
      </c>
      <c r="K891">
        <v>50</v>
      </c>
    </row>
    <row r="892" spans="1:11">
      <c r="A892">
        <v>1187</v>
      </c>
      <c r="B892" s="1">
        <v>45114</v>
      </c>
      <c r="C892" s="2">
        <v>0.71180555555555558</v>
      </c>
      <c r="D892">
        <v>52</v>
      </c>
      <c r="E892" t="s">
        <v>14</v>
      </c>
      <c r="F892">
        <v>64</v>
      </c>
      <c r="G892" t="s">
        <v>12</v>
      </c>
      <c r="H892">
        <v>2</v>
      </c>
      <c r="I892">
        <v>50</v>
      </c>
      <c r="J892">
        <v>12.5</v>
      </c>
      <c r="K892">
        <v>100</v>
      </c>
    </row>
    <row r="893" spans="1:11">
      <c r="A893">
        <v>1446</v>
      </c>
      <c r="B893" s="1">
        <v>44584</v>
      </c>
      <c r="C893" s="2">
        <v>0.78819444444444442</v>
      </c>
      <c r="D893">
        <v>155</v>
      </c>
      <c r="E893" t="s">
        <v>11</v>
      </c>
      <c r="F893">
        <v>21</v>
      </c>
      <c r="G893" t="s">
        <v>15</v>
      </c>
      <c r="H893">
        <v>1</v>
      </c>
      <c r="I893">
        <v>50</v>
      </c>
      <c r="J893">
        <v>23.5</v>
      </c>
      <c r="K893">
        <v>50</v>
      </c>
    </row>
    <row r="894" spans="1:11">
      <c r="A894">
        <v>539</v>
      </c>
      <c r="B894" s="1">
        <v>45260</v>
      </c>
      <c r="C894" s="2">
        <v>0.75902777777777775</v>
      </c>
      <c r="D894">
        <v>135</v>
      </c>
      <c r="E894" t="s">
        <v>11</v>
      </c>
      <c r="F894">
        <v>25</v>
      </c>
      <c r="G894" t="s">
        <v>13</v>
      </c>
      <c r="H894">
        <v>1</v>
      </c>
      <c r="I894">
        <v>500</v>
      </c>
      <c r="J894">
        <v>205</v>
      </c>
      <c r="K894">
        <v>500</v>
      </c>
    </row>
    <row r="895" spans="1:11">
      <c r="A895">
        <v>587</v>
      </c>
      <c r="B895" s="1">
        <v>45173</v>
      </c>
      <c r="C895" s="2">
        <v>0.79166666666666663</v>
      </c>
      <c r="D895">
        <v>91</v>
      </c>
      <c r="E895" t="s">
        <v>14</v>
      </c>
      <c r="F895">
        <v>40</v>
      </c>
      <c r="G895" t="s">
        <v>13</v>
      </c>
      <c r="H895">
        <v>4</v>
      </c>
      <c r="I895">
        <v>300</v>
      </c>
      <c r="J895">
        <v>99</v>
      </c>
      <c r="K895">
        <v>1200</v>
      </c>
    </row>
    <row r="896" spans="1:11">
      <c r="A896">
        <v>1539</v>
      </c>
      <c r="B896" s="1">
        <v>44901</v>
      </c>
      <c r="C896" s="2">
        <v>0.91111111111111109</v>
      </c>
      <c r="D896">
        <v>96</v>
      </c>
      <c r="E896" t="s">
        <v>11</v>
      </c>
      <c r="F896">
        <v>25</v>
      </c>
      <c r="G896" t="s">
        <v>13</v>
      </c>
      <c r="H896">
        <v>1</v>
      </c>
      <c r="I896">
        <v>500</v>
      </c>
      <c r="J896">
        <v>170</v>
      </c>
      <c r="K896">
        <v>500</v>
      </c>
    </row>
    <row r="897" spans="1:11">
      <c r="A897">
        <v>1587</v>
      </c>
      <c r="B897" s="1">
        <v>44870</v>
      </c>
      <c r="C897" s="2">
        <v>0.83750000000000002</v>
      </c>
      <c r="D897">
        <v>140</v>
      </c>
      <c r="E897" t="s">
        <v>14</v>
      </c>
      <c r="F897">
        <v>40</v>
      </c>
      <c r="G897" t="s">
        <v>13</v>
      </c>
      <c r="H897">
        <v>4</v>
      </c>
      <c r="I897">
        <v>300</v>
      </c>
      <c r="J897">
        <v>105</v>
      </c>
      <c r="K897">
        <v>1200</v>
      </c>
    </row>
    <row r="898" spans="1:11">
      <c r="A898">
        <v>212</v>
      </c>
      <c r="B898" s="1">
        <v>45211</v>
      </c>
      <c r="C898" s="2">
        <v>0.75902777777777775</v>
      </c>
      <c r="D898">
        <v>105</v>
      </c>
      <c r="E898" t="s">
        <v>11</v>
      </c>
      <c r="F898">
        <v>21</v>
      </c>
      <c r="G898" t="s">
        <v>12</v>
      </c>
      <c r="H898">
        <v>3</v>
      </c>
      <c r="I898">
        <v>500</v>
      </c>
      <c r="J898">
        <v>215</v>
      </c>
      <c r="K898">
        <v>1500</v>
      </c>
    </row>
    <row r="899" spans="1:11">
      <c r="A899">
        <v>765</v>
      </c>
      <c r="B899" s="1">
        <v>44850</v>
      </c>
      <c r="C899" s="2">
        <v>0.79374999999999996</v>
      </c>
      <c r="D899">
        <v>77</v>
      </c>
      <c r="E899" t="s">
        <v>11</v>
      </c>
      <c r="F899">
        <v>43</v>
      </c>
      <c r="G899" t="s">
        <v>12</v>
      </c>
      <c r="H899">
        <v>4</v>
      </c>
      <c r="I899">
        <v>50</v>
      </c>
      <c r="J899">
        <v>12.5</v>
      </c>
      <c r="K899">
        <v>200</v>
      </c>
    </row>
    <row r="900" spans="1:11">
      <c r="A900">
        <v>769</v>
      </c>
      <c r="B900" s="1">
        <v>44813</v>
      </c>
      <c r="C900" s="2">
        <v>0.7895833333333333</v>
      </c>
      <c r="D900">
        <v>18</v>
      </c>
      <c r="E900" t="s">
        <v>14</v>
      </c>
      <c r="F900">
        <v>31</v>
      </c>
      <c r="G900" t="s">
        <v>15</v>
      </c>
      <c r="H900">
        <v>4</v>
      </c>
      <c r="I900">
        <v>30</v>
      </c>
      <c r="J900">
        <v>10.199999999999999</v>
      </c>
      <c r="K900">
        <v>120</v>
      </c>
    </row>
    <row r="901" spans="1:11">
      <c r="A901">
        <v>1212</v>
      </c>
      <c r="B901" s="1">
        <v>44636</v>
      </c>
      <c r="C901" s="2">
        <v>0.75347222222222221</v>
      </c>
      <c r="D901">
        <v>142</v>
      </c>
      <c r="E901" t="s">
        <v>11</v>
      </c>
      <c r="F901">
        <v>21</v>
      </c>
      <c r="G901" t="s">
        <v>12</v>
      </c>
      <c r="H901">
        <v>3</v>
      </c>
      <c r="I901">
        <v>500</v>
      </c>
      <c r="J901">
        <v>265</v>
      </c>
      <c r="K901">
        <v>1500</v>
      </c>
    </row>
    <row r="902" spans="1:11">
      <c r="A902">
        <v>1765</v>
      </c>
      <c r="B902" s="1">
        <v>44852</v>
      </c>
      <c r="C902" s="2">
        <v>0.9506944444444444</v>
      </c>
      <c r="D902">
        <v>13</v>
      </c>
      <c r="E902" t="s">
        <v>11</v>
      </c>
      <c r="F902">
        <v>43</v>
      </c>
      <c r="G902" t="s">
        <v>12</v>
      </c>
      <c r="H902">
        <v>4</v>
      </c>
      <c r="I902">
        <v>50</v>
      </c>
      <c r="J902">
        <v>16</v>
      </c>
      <c r="K902">
        <v>200</v>
      </c>
    </row>
    <row r="903" spans="1:11">
      <c r="A903">
        <v>1769</v>
      </c>
      <c r="B903" s="1">
        <v>45207</v>
      </c>
      <c r="C903" s="2">
        <v>0.95138888888888884</v>
      </c>
      <c r="D903">
        <v>116</v>
      </c>
      <c r="E903" t="s">
        <v>14</v>
      </c>
      <c r="F903">
        <v>31</v>
      </c>
      <c r="G903" t="s">
        <v>15</v>
      </c>
      <c r="H903">
        <v>4</v>
      </c>
      <c r="I903">
        <v>30</v>
      </c>
      <c r="J903">
        <v>9.3000000000000007</v>
      </c>
      <c r="K903">
        <v>120</v>
      </c>
    </row>
    <row r="904" spans="1:11">
      <c r="A904">
        <v>321</v>
      </c>
      <c r="B904" s="1">
        <v>45193</v>
      </c>
      <c r="C904" s="2">
        <v>0.82847222222222228</v>
      </c>
      <c r="D904">
        <v>30</v>
      </c>
      <c r="E904" t="s">
        <v>14</v>
      </c>
      <c r="F904">
        <v>26</v>
      </c>
      <c r="G904" t="s">
        <v>15</v>
      </c>
      <c r="H904">
        <v>2</v>
      </c>
      <c r="I904">
        <v>25</v>
      </c>
      <c r="J904">
        <v>9.5</v>
      </c>
      <c r="K904">
        <v>50</v>
      </c>
    </row>
    <row r="905" spans="1:11">
      <c r="A905">
        <v>356</v>
      </c>
      <c r="B905" s="1">
        <v>45165</v>
      </c>
      <c r="C905" s="2">
        <v>0.77430555555555558</v>
      </c>
      <c r="D905">
        <v>71</v>
      </c>
      <c r="E905" t="s">
        <v>11</v>
      </c>
      <c r="F905">
        <v>50</v>
      </c>
      <c r="G905" t="s">
        <v>15</v>
      </c>
      <c r="H905">
        <v>3</v>
      </c>
      <c r="I905">
        <v>500</v>
      </c>
      <c r="J905">
        <v>255</v>
      </c>
      <c r="K905">
        <v>1500</v>
      </c>
    </row>
    <row r="906" spans="1:11">
      <c r="A906">
        <v>510</v>
      </c>
      <c r="B906" s="1">
        <v>45075</v>
      </c>
      <c r="C906" s="2">
        <v>0.71111111111111114</v>
      </c>
      <c r="D906">
        <v>14</v>
      </c>
      <c r="E906" t="s">
        <v>14</v>
      </c>
      <c r="F906">
        <v>39</v>
      </c>
      <c r="G906" t="s">
        <v>13</v>
      </c>
      <c r="H906">
        <v>4</v>
      </c>
      <c r="I906">
        <v>50</v>
      </c>
      <c r="J906">
        <v>13</v>
      </c>
      <c r="K906">
        <v>200</v>
      </c>
    </row>
    <row r="907" spans="1:11">
      <c r="A907">
        <v>534</v>
      </c>
      <c r="B907" s="1">
        <v>45043</v>
      </c>
      <c r="C907" s="2">
        <v>0.9375</v>
      </c>
      <c r="D907">
        <v>112</v>
      </c>
      <c r="E907" t="s">
        <v>11</v>
      </c>
      <c r="F907">
        <v>45</v>
      </c>
      <c r="G907" t="s">
        <v>12</v>
      </c>
      <c r="H907">
        <v>2</v>
      </c>
      <c r="I907">
        <v>500</v>
      </c>
      <c r="J907">
        <v>140</v>
      </c>
      <c r="K907">
        <v>1000</v>
      </c>
    </row>
    <row r="908" spans="1:11">
      <c r="A908">
        <v>1321</v>
      </c>
      <c r="B908" s="1">
        <v>45039</v>
      </c>
      <c r="C908" s="2">
        <v>0.95416666666666672</v>
      </c>
      <c r="D908">
        <v>155</v>
      </c>
      <c r="E908" t="s">
        <v>14</v>
      </c>
      <c r="F908">
        <v>26</v>
      </c>
      <c r="G908" t="s">
        <v>15</v>
      </c>
      <c r="H908">
        <v>2</v>
      </c>
      <c r="I908">
        <v>25</v>
      </c>
      <c r="J908">
        <v>10.5</v>
      </c>
      <c r="K908">
        <v>50</v>
      </c>
    </row>
    <row r="909" spans="1:11">
      <c r="A909">
        <v>1356</v>
      </c>
      <c r="B909" s="1">
        <v>45278</v>
      </c>
      <c r="C909" s="2">
        <v>0.89652777777777781</v>
      </c>
      <c r="D909">
        <v>11</v>
      </c>
      <c r="E909" t="s">
        <v>11</v>
      </c>
      <c r="F909">
        <v>50</v>
      </c>
      <c r="G909" t="s">
        <v>15</v>
      </c>
      <c r="H909">
        <v>3</v>
      </c>
      <c r="I909">
        <v>500</v>
      </c>
      <c r="J909">
        <v>245</v>
      </c>
      <c r="K909">
        <v>1500</v>
      </c>
    </row>
    <row r="910" spans="1:11">
      <c r="A910">
        <v>1510</v>
      </c>
      <c r="B910" s="1">
        <v>44885</v>
      </c>
      <c r="C910" s="2">
        <v>0.76458333333333328</v>
      </c>
      <c r="D910">
        <v>124</v>
      </c>
      <c r="E910" t="s">
        <v>14</v>
      </c>
      <c r="F910">
        <v>39</v>
      </c>
      <c r="G910" t="s">
        <v>13</v>
      </c>
      <c r="H910">
        <v>4</v>
      </c>
      <c r="I910">
        <v>50</v>
      </c>
      <c r="J910">
        <v>19</v>
      </c>
      <c r="K910">
        <v>200</v>
      </c>
    </row>
    <row r="911" spans="1:11">
      <c r="A911">
        <v>1534</v>
      </c>
      <c r="B911" s="1">
        <v>44725</v>
      </c>
      <c r="C911" s="2">
        <v>0.82222222222222219</v>
      </c>
      <c r="D911">
        <v>72</v>
      </c>
      <c r="E911" t="s">
        <v>11</v>
      </c>
      <c r="F911">
        <v>45</v>
      </c>
      <c r="G911" t="s">
        <v>12</v>
      </c>
      <c r="H911">
        <v>2</v>
      </c>
      <c r="I911">
        <v>500</v>
      </c>
      <c r="J911">
        <v>270</v>
      </c>
      <c r="K911">
        <v>1000</v>
      </c>
    </row>
    <row r="912" spans="1:11">
      <c r="A912">
        <v>104</v>
      </c>
      <c r="B912" s="1">
        <v>44721</v>
      </c>
      <c r="C912" s="2">
        <v>0.95694444444444449</v>
      </c>
      <c r="D912">
        <v>129</v>
      </c>
      <c r="E912" t="s">
        <v>14</v>
      </c>
      <c r="F912">
        <v>34</v>
      </c>
      <c r="G912" t="s">
        <v>13</v>
      </c>
      <c r="H912">
        <v>2</v>
      </c>
      <c r="I912">
        <v>500</v>
      </c>
      <c r="J912">
        <v>190</v>
      </c>
      <c r="K912">
        <v>1000</v>
      </c>
    </row>
    <row r="913" spans="1:11">
      <c r="A913">
        <v>110</v>
      </c>
      <c r="B913" s="1">
        <v>44883</v>
      </c>
      <c r="C913" s="2">
        <v>0.72777777777777775</v>
      </c>
      <c r="D913">
        <v>149</v>
      </c>
      <c r="E913" t="s">
        <v>11</v>
      </c>
      <c r="F913">
        <v>27</v>
      </c>
      <c r="G913" t="s">
        <v>12</v>
      </c>
      <c r="H913">
        <v>3</v>
      </c>
      <c r="I913">
        <v>300</v>
      </c>
      <c r="J913">
        <v>99</v>
      </c>
      <c r="K913">
        <v>900</v>
      </c>
    </row>
    <row r="914" spans="1:11">
      <c r="A914">
        <v>352</v>
      </c>
      <c r="B914" s="1">
        <v>45135</v>
      </c>
      <c r="C914" s="2">
        <v>0.74652777777777779</v>
      </c>
      <c r="D914">
        <v>54</v>
      </c>
      <c r="E914" t="s">
        <v>11</v>
      </c>
      <c r="F914">
        <v>57</v>
      </c>
      <c r="G914" t="s">
        <v>15</v>
      </c>
      <c r="H914">
        <v>2</v>
      </c>
      <c r="I914">
        <v>500</v>
      </c>
      <c r="J914">
        <v>175</v>
      </c>
      <c r="K914">
        <v>1000</v>
      </c>
    </row>
    <row r="915" spans="1:11">
      <c r="A915">
        <v>365</v>
      </c>
      <c r="B915" s="1">
        <v>44980</v>
      </c>
      <c r="C915" s="2">
        <v>0.92500000000000004</v>
      </c>
      <c r="D915">
        <v>151</v>
      </c>
      <c r="E915" t="s">
        <v>11</v>
      </c>
      <c r="F915">
        <v>31</v>
      </c>
      <c r="G915" t="s">
        <v>12</v>
      </c>
      <c r="H915">
        <v>1</v>
      </c>
      <c r="I915">
        <v>300</v>
      </c>
      <c r="J915">
        <v>93</v>
      </c>
      <c r="K915">
        <v>300</v>
      </c>
    </row>
    <row r="916" spans="1:11">
      <c r="A916">
        <v>887</v>
      </c>
      <c r="B916" s="1">
        <v>44616</v>
      </c>
      <c r="C916" s="2">
        <v>0.80555555555555558</v>
      </c>
      <c r="D916">
        <v>44</v>
      </c>
      <c r="E916" t="s">
        <v>11</v>
      </c>
      <c r="F916">
        <v>59</v>
      </c>
      <c r="G916" t="s">
        <v>12</v>
      </c>
      <c r="H916">
        <v>4</v>
      </c>
      <c r="I916">
        <v>25</v>
      </c>
      <c r="J916">
        <v>10</v>
      </c>
      <c r="K916">
        <v>100</v>
      </c>
    </row>
    <row r="917" spans="1:11">
      <c r="A917">
        <v>1104</v>
      </c>
      <c r="B917" s="1">
        <v>44753</v>
      </c>
      <c r="C917" s="2">
        <v>0.84236111111111112</v>
      </c>
      <c r="D917">
        <v>70</v>
      </c>
      <c r="E917" t="s">
        <v>14</v>
      </c>
      <c r="F917">
        <v>34</v>
      </c>
      <c r="G917" t="s">
        <v>13</v>
      </c>
      <c r="H917">
        <v>2</v>
      </c>
      <c r="I917">
        <v>500</v>
      </c>
      <c r="J917">
        <v>150</v>
      </c>
      <c r="K917">
        <v>1000</v>
      </c>
    </row>
    <row r="918" spans="1:11">
      <c r="A918">
        <v>1110</v>
      </c>
      <c r="B918" s="1">
        <v>44860</v>
      </c>
      <c r="C918" s="2">
        <v>0.80138888888888893</v>
      </c>
      <c r="D918">
        <v>62</v>
      </c>
      <c r="E918" t="s">
        <v>11</v>
      </c>
      <c r="F918">
        <v>27</v>
      </c>
      <c r="G918" t="s">
        <v>12</v>
      </c>
      <c r="H918">
        <v>3</v>
      </c>
      <c r="I918">
        <v>300</v>
      </c>
      <c r="J918">
        <v>114</v>
      </c>
      <c r="K918">
        <v>900</v>
      </c>
    </row>
    <row r="919" spans="1:11">
      <c r="A919">
        <v>1352</v>
      </c>
      <c r="B919" s="1">
        <v>45218</v>
      </c>
      <c r="C919" s="2">
        <v>0.73611111111111116</v>
      </c>
      <c r="D919">
        <v>14</v>
      </c>
      <c r="E919" t="s">
        <v>11</v>
      </c>
      <c r="F919">
        <v>57</v>
      </c>
      <c r="G919" t="s">
        <v>15</v>
      </c>
      <c r="H919">
        <v>2</v>
      </c>
      <c r="I919">
        <v>500</v>
      </c>
      <c r="J919">
        <v>260</v>
      </c>
      <c r="K919">
        <v>1000</v>
      </c>
    </row>
    <row r="920" spans="1:11">
      <c r="A920">
        <v>1365</v>
      </c>
      <c r="B920" s="1">
        <v>45238</v>
      </c>
      <c r="C920" s="2">
        <v>0.84861111111111109</v>
      </c>
      <c r="D920">
        <v>18</v>
      </c>
      <c r="E920" t="s">
        <v>11</v>
      </c>
      <c r="F920">
        <v>31</v>
      </c>
      <c r="G920" t="s">
        <v>12</v>
      </c>
      <c r="H920">
        <v>1</v>
      </c>
      <c r="I920">
        <v>300</v>
      </c>
      <c r="J920">
        <v>156</v>
      </c>
      <c r="K920">
        <v>300</v>
      </c>
    </row>
    <row r="921" spans="1:11">
      <c r="A921">
        <v>1887</v>
      </c>
      <c r="B921" s="1">
        <v>45271</v>
      </c>
      <c r="C921" s="2">
        <v>0.81527777777777777</v>
      </c>
      <c r="D921">
        <v>113</v>
      </c>
      <c r="E921" t="s">
        <v>11</v>
      </c>
      <c r="F921">
        <v>59</v>
      </c>
      <c r="G921" t="s">
        <v>12</v>
      </c>
      <c r="H921">
        <v>4</v>
      </c>
      <c r="I921">
        <v>25</v>
      </c>
      <c r="J921">
        <v>10</v>
      </c>
      <c r="K921">
        <v>100</v>
      </c>
    </row>
    <row r="922" spans="1:11">
      <c r="A922">
        <v>629</v>
      </c>
      <c r="B922" s="1">
        <v>44931</v>
      </c>
      <c r="C922" s="2">
        <v>0.82986111111111116</v>
      </c>
      <c r="D922">
        <v>39</v>
      </c>
      <c r="E922" t="s">
        <v>11</v>
      </c>
      <c r="F922">
        <v>62</v>
      </c>
      <c r="G922" t="s">
        <v>15</v>
      </c>
      <c r="H922">
        <v>2</v>
      </c>
      <c r="I922">
        <v>25</v>
      </c>
      <c r="J922">
        <v>8</v>
      </c>
      <c r="K922">
        <v>50</v>
      </c>
    </row>
    <row r="923" spans="1:11">
      <c r="A923">
        <v>1629</v>
      </c>
      <c r="B923" s="1">
        <v>44609</v>
      </c>
      <c r="C923" s="2">
        <v>0.84583333333333333</v>
      </c>
      <c r="D923">
        <v>144</v>
      </c>
      <c r="E923" t="s">
        <v>11</v>
      </c>
      <c r="F923">
        <v>62</v>
      </c>
      <c r="G923" t="s">
        <v>15</v>
      </c>
      <c r="H923">
        <v>2</v>
      </c>
      <c r="I923">
        <v>25</v>
      </c>
      <c r="J923">
        <v>10.75</v>
      </c>
      <c r="K923">
        <v>50</v>
      </c>
    </row>
    <row r="924" spans="1:11">
      <c r="A924">
        <v>655</v>
      </c>
      <c r="B924" s="1">
        <v>44865</v>
      </c>
      <c r="C924" s="2">
        <v>0.77986111111111112</v>
      </c>
      <c r="D924">
        <v>19</v>
      </c>
      <c r="E924" t="s">
        <v>14</v>
      </c>
      <c r="F924">
        <v>55</v>
      </c>
      <c r="G924" t="s">
        <v>12</v>
      </c>
      <c r="H924">
        <v>1</v>
      </c>
      <c r="I924">
        <v>500</v>
      </c>
      <c r="J924">
        <v>210</v>
      </c>
      <c r="K924">
        <v>500</v>
      </c>
    </row>
    <row r="925" spans="1:11">
      <c r="A925">
        <v>1655</v>
      </c>
      <c r="B925" s="1">
        <v>45074</v>
      </c>
      <c r="C925" s="2">
        <v>0.74791666666666667</v>
      </c>
      <c r="D925">
        <v>8</v>
      </c>
      <c r="E925" t="s">
        <v>14</v>
      </c>
      <c r="F925">
        <v>55</v>
      </c>
      <c r="G925" t="s">
        <v>12</v>
      </c>
      <c r="H925">
        <v>1</v>
      </c>
      <c r="I925">
        <v>500</v>
      </c>
      <c r="J925">
        <v>125</v>
      </c>
      <c r="K925">
        <v>500</v>
      </c>
    </row>
    <row r="926" spans="1:11">
      <c r="A926">
        <v>567</v>
      </c>
      <c r="B926" s="1">
        <v>45054</v>
      </c>
      <c r="C926" s="2">
        <v>0.82847222222222228</v>
      </c>
      <c r="D926">
        <v>5</v>
      </c>
      <c r="E926" t="s">
        <v>14</v>
      </c>
      <c r="F926">
        <v>25</v>
      </c>
      <c r="G926" t="s">
        <v>12</v>
      </c>
      <c r="H926">
        <v>3</v>
      </c>
      <c r="I926">
        <v>300</v>
      </c>
      <c r="J926">
        <v>144</v>
      </c>
      <c r="K926">
        <v>900</v>
      </c>
    </row>
    <row r="927" spans="1:11">
      <c r="A927">
        <v>1567</v>
      </c>
      <c r="B927" s="1">
        <v>45023</v>
      </c>
      <c r="C927" s="2">
        <v>0.71527777777777779</v>
      </c>
      <c r="D927">
        <v>76</v>
      </c>
      <c r="E927" t="s">
        <v>14</v>
      </c>
      <c r="F927">
        <v>25</v>
      </c>
      <c r="G927" t="s">
        <v>12</v>
      </c>
      <c r="H927">
        <v>3</v>
      </c>
      <c r="I927">
        <v>300</v>
      </c>
      <c r="J927">
        <v>162</v>
      </c>
      <c r="K927">
        <v>900</v>
      </c>
    </row>
    <row r="928" spans="1:11">
      <c r="A928">
        <v>182</v>
      </c>
      <c r="B928" s="1">
        <v>45098</v>
      </c>
      <c r="C928" s="2">
        <v>0.81041666666666667</v>
      </c>
      <c r="D928">
        <v>27</v>
      </c>
      <c r="E928" t="s">
        <v>11</v>
      </c>
      <c r="F928">
        <v>62</v>
      </c>
      <c r="G928" t="s">
        <v>13</v>
      </c>
      <c r="H928">
        <v>4</v>
      </c>
      <c r="I928">
        <v>30</v>
      </c>
      <c r="J928">
        <v>10.199999999999999</v>
      </c>
      <c r="K928">
        <v>120</v>
      </c>
    </row>
    <row r="929" spans="1:11">
      <c r="A929">
        <v>819</v>
      </c>
      <c r="B929" s="1">
        <v>45153</v>
      </c>
      <c r="C929" s="2">
        <v>0.91597222222222219</v>
      </c>
      <c r="D929">
        <v>111</v>
      </c>
      <c r="E929" t="s">
        <v>14</v>
      </c>
      <c r="F929">
        <v>35</v>
      </c>
      <c r="G929" t="s">
        <v>13</v>
      </c>
      <c r="H929">
        <v>2</v>
      </c>
      <c r="I929">
        <v>50</v>
      </c>
      <c r="J929">
        <v>26</v>
      </c>
      <c r="K929">
        <v>100</v>
      </c>
    </row>
    <row r="930" spans="1:11">
      <c r="A930">
        <v>1182</v>
      </c>
      <c r="B930" s="1">
        <v>44929</v>
      </c>
      <c r="C930" s="2">
        <v>0.8930555555555556</v>
      </c>
      <c r="D930">
        <v>14</v>
      </c>
      <c r="E930" t="s">
        <v>11</v>
      </c>
      <c r="F930">
        <v>62</v>
      </c>
      <c r="G930" t="s">
        <v>13</v>
      </c>
      <c r="H930">
        <v>4</v>
      </c>
      <c r="I930">
        <v>30</v>
      </c>
      <c r="J930">
        <v>12.9</v>
      </c>
      <c r="K930">
        <v>120</v>
      </c>
    </row>
    <row r="931" spans="1:11">
      <c r="A931">
        <v>1819</v>
      </c>
      <c r="B931" s="1">
        <v>44870</v>
      </c>
      <c r="C931" s="2">
        <v>0.86388888888888893</v>
      </c>
      <c r="D931">
        <v>83</v>
      </c>
      <c r="E931" t="s">
        <v>14</v>
      </c>
      <c r="F931">
        <v>35</v>
      </c>
      <c r="G931" t="s">
        <v>13</v>
      </c>
      <c r="H931">
        <v>2</v>
      </c>
      <c r="I931">
        <v>50</v>
      </c>
      <c r="J931">
        <v>13.5</v>
      </c>
      <c r="K931">
        <v>100</v>
      </c>
    </row>
    <row r="932" spans="1:11">
      <c r="A932">
        <v>100</v>
      </c>
      <c r="B932" s="1">
        <v>44600</v>
      </c>
      <c r="C932" s="2">
        <v>0.81527777777777777</v>
      </c>
      <c r="D932">
        <v>21</v>
      </c>
      <c r="E932" t="s">
        <v>11</v>
      </c>
      <c r="F932">
        <v>41</v>
      </c>
      <c r="G932" t="s">
        <v>15</v>
      </c>
      <c r="H932">
        <v>1</v>
      </c>
      <c r="I932">
        <v>30</v>
      </c>
      <c r="J932">
        <v>9.3000000000000007</v>
      </c>
      <c r="K932">
        <v>30</v>
      </c>
    </row>
    <row r="933" spans="1:11">
      <c r="A933">
        <v>833</v>
      </c>
      <c r="B933" s="1">
        <v>45055</v>
      </c>
      <c r="C933" s="2">
        <v>0.77708333333333335</v>
      </c>
      <c r="D933">
        <v>85</v>
      </c>
      <c r="E933" t="s">
        <v>11</v>
      </c>
      <c r="F933">
        <v>42</v>
      </c>
      <c r="G933" t="s">
        <v>13</v>
      </c>
      <c r="H933">
        <v>4</v>
      </c>
      <c r="I933">
        <v>50</v>
      </c>
      <c r="J933">
        <v>24.5</v>
      </c>
      <c r="K933">
        <v>200</v>
      </c>
    </row>
    <row r="934" spans="1:11">
      <c r="A934">
        <v>1100</v>
      </c>
      <c r="B934" s="1">
        <v>44946</v>
      </c>
      <c r="C934" s="2">
        <v>0.76041666666666663</v>
      </c>
      <c r="D934">
        <v>136</v>
      </c>
      <c r="E934" t="s">
        <v>11</v>
      </c>
      <c r="F934">
        <v>41</v>
      </c>
      <c r="G934" t="s">
        <v>15</v>
      </c>
      <c r="H934">
        <v>1</v>
      </c>
      <c r="I934">
        <v>30</v>
      </c>
      <c r="J934">
        <v>13.2</v>
      </c>
      <c r="K934">
        <v>30</v>
      </c>
    </row>
    <row r="935" spans="1:11">
      <c r="A935">
        <v>1833</v>
      </c>
      <c r="B935" s="1">
        <v>44591</v>
      </c>
      <c r="C935" s="2">
        <v>0.72222222222222221</v>
      </c>
      <c r="D935">
        <v>56</v>
      </c>
      <c r="E935" t="s">
        <v>11</v>
      </c>
      <c r="F935">
        <v>42</v>
      </c>
      <c r="G935" t="s">
        <v>13</v>
      </c>
      <c r="H935">
        <v>4</v>
      </c>
      <c r="I935">
        <v>50</v>
      </c>
      <c r="J935">
        <v>18</v>
      </c>
      <c r="K935">
        <v>200</v>
      </c>
    </row>
    <row r="936" spans="1:11">
      <c r="A936">
        <v>542</v>
      </c>
      <c r="B936" s="1">
        <v>45078</v>
      </c>
      <c r="C936" s="2">
        <v>0.77847222222222223</v>
      </c>
      <c r="D936">
        <v>50</v>
      </c>
      <c r="E936" t="s">
        <v>14</v>
      </c>
      <c r="F936">
        <v>20</v>
      </c>
      <c r="G936" t="s">
        <v>13</v>
      </c>
      <c r="H936">
        <v>1</v>
      </c>
      <c r="I936">
        <v>50</v>
      </c>
      <c r="J936">
        <v>24</v>
      </c>
      <c r="K936">
        <v>50</v>
      </c>
    </row>
    <row r="937" spans="1:11">
      <c r="A937">
        <v>723</v>
      </c>
      <c r="B937" s="1">
        <v>44756</v>
      </c>
      <c r="C937" s="2">
        <v>0.9145833333333333</v>
      </c>
      <c r="D937">
        <v>120</v>
      </c>
      <c r="E937" t="s">
        <v>14</v>
      </c>
      <c r="F937">
        <v>54</v>
      </c>
      <c r="G937" t="s">
        <v>13</v>
      </c>
      <c r="H937">
        <v>4</v>
      </c>
      <c r="I937">
        <v>50</v>
      </c>
      <c r="J937">
        <v>20.5</v>
      </c>
      <c r="K937">
        <v>200</v>
      </c>
    </row>
    <row r="938" spans="1:11">
      <c r="A938">
        <v>726</v>
      </c>
      <c r="B938" s="1">
        <v>44717</v>
      </c>
      <c r="C938" s="2">
        <v>0.81736111111111109</v>
      </c>
      <c r="D938">
        <v>72</v>
      </c>
      <c r="E938" t="s">
        <v>11</v>
      </c>
      <c r="F938">
        <v>47</v>
      </c>
      <c r="G938" t="s">
        <v>12</v>
      </c>
      <c r="H938">
        <v>4</v>
      </c>
      <c r="I938">
        <v>300</v>
      </c>
      <c r="J938">
        <v>126</v>
      </c>
      <c r="K938">
        <v>1200</v>
      </c>
    </row>
    <row r="939" spans="1:11">
      <c r="A939">
        <v>1542</v>
      </c>
      <c r="B939" s="1">
        <v>45063</v>
      </c>
      <c r="C939" s="2">
        <v>0.85416666666666663</v>
      </c>
      <c r="D939">
        <v>147</v>
      </c>
      <c r="E939" t="s">
        <v>14</v>
      </c>
      <c r="F939">
        <v>20</v>
      </c>
      <c r="G939" t="s">
        <v>13</v>
      </c>
      <c r="H939">
        <v>1</v>
      </c>
      <c r="I939">
        <v>50</v>
      </c>
      <c r="J939">
        <v>14.5</v>
      </c>
      <c r="K939">
        <v>50</v>
      </c>
    </row>
    <row r="940" spans="1:11">
      <c r="A940">
        <v>1723</v>
      </c>
      <c r="B940" s="1">
        <v>44602</v>
      </c>
      <c r="C940" s="2">
        <v>0.73819444444444449</v>
      </c>
      <c r="D940">
        <v>40</v>
      </c>
      <c r="E940" t="s">
        <v>14</v>
      </c>
      <c r="F940">
        <v>54</v>
      </c>
      <c r="G940" t="s">
        <v>13</v>
      </c>
      <c r="H940">
        <v>4</v>
      </c>
      <c r="I940">
        <v>50</v>
      </c>
      <c r="J940">
        <v>18</v>
      </c>
      <c r="K940">
        <v>200</v>
      </c>
    </row>
    <row r="941" spans="1:11">
      <c r="A941">
        <v>1726</v>
      </c>
      <c r="B941" s="1">
        <v>45103</v>
      </c>
      <c r="C941" s="2">
        <v>0.7583333333333333</v>
      </c>
      <c r="D941">
        <v>13</v>
      </c>
      <c r="E941" t="s">
        <v>11</v>
      </c>
      <c r="F941">
        <v>47</v>
      </c>
      <c r="G941" t="s">
        <v>12</v>
      </c>
      <c r="H941">
        <v>4</v>
      </c>
      <c r="I941">
        <v>300</v>
      </c>
      <c r="J941">
        <v>93</v>
      </c>
      <c r="K941">
        <v>1200</v>
      </c>
    </row>
    <row r="942" spans="1:11">
      <c r="A942">
        <v>488</v>
      </c>
      <c r="B942" s="1">
        <v>44747</v>
      </c>
      <c r="C942" s="2">
        <v>0.72777777777777775</v>
      </c>
      <c r="D942">
        <v>26</v>
      </c>
      <c r="E942" t="s">
        <v>14</v>
      </c>
      <c r="F942">
        <v>51</v>
      </c>
      <c r="G942" t="s">
        <v>15</v>
      </c>
      <c r="H942">
        <v>3</v>
      </c>
      <c r="I942">
        <v>300</v>
      </c>
      <c r="J942">
        <v>123</v>
      </c>
      <c r="K942">
        <v>900</v>
      </c>
    </row>
    <row r="943" spans="1:11">
      <c r="A943">
        <v>1488</v>
      </c>
      <c r="B943" s="1">
        <v>44877</v>
      </c>
      <c r="C943" s="2">
        <v>0.80833333333333335</v>
      </c>
      <c r="D943">
        <v>9</v>
      </c>
      <c r="E943" t="s">
        <v>14</v>
      </c>
      <c r="F943">
        <v>51</v>
      </c>
      <c r="G943" t="s">
        <v>15</v>
      </c>
      <c r="H943">
        <v>3</v>
      </c>
      <c r="I943">
        <v>300</v>
      </c>
      <c r="J943">
        <v>126</v>
      </c>
      <c r="K943">
        <v>900</v>
      </c>
    </row>
    <row r="944" spans="1:11">
      <c r="A944">
        <v>239</v>
      </c>
      <c r="B944" s="1">
        <v>44823</v>
      </c>
      <c r="C944" s="2">
        <v>0.81527777777777777</v>
      </c>
      <c r="D944">
        <v>1</v>
      </c>
      <c r="E944" t="s">
        <v>11</v>
      </c>
      <c r="F944">
        <v>38</v>
      </c>
      <c r="G944" t="s">
        <v>15</v>
      </c>
      <c r="H944">
        <v>3</v>
      </c>
      <c r="I944">
        <v>500</v>
      </c>
      <c r="J944">
        <v>165</v>
      </c>
      <c r="K944">
        <v>1500</v>
      </c>
    </row>
    <row r="945" spans="1:11">
      <c r="A945">
        <v>498</v>
      </c>
      <c r="B945" s="1">
        <v>44642</v>
      </c>
      <c r="C945" s="2">
        <v>0.93055555555555558</v>
      </c>
      <c r="D945">
        <v>41</v>
      </c>
      <c r="E945" t="s">
        <v>14</v>
      </c>
      <c r="F945">
        <v>50</v>
      </c>
      <c r="G945" t="s">
        <v>12</v>
      </c>
      <c r="H945">
        <v>4</v>
      </c>
      <c r="I945">
        <v>25</v>
      </c>
      <c r="J945">
        <v>8.25</v>
      </c>
      <c r="K945">
        <v>100</v>
      </c>
    </row>
    <row r="946" spans="1:11">
      <c r="A946">
        <v>532</v>
      </c>
      <c r="B946" s="1">
        <v>44788</v>
      </c>
      <c r="C946" s="2">
        <v>0.75277777777777777</v>
      </c>
      <c r="D946">
        <v>92</v>
      </c>
      <c r="E946" t="s">
        <v>14</v>
      </c>
      <c r="F946">
        <v>64</v>
      </c>
      <c r="G946" t="s">
        <v>12</v>
      </c>
      <c r="H946">
        <v>4</v>
      </c>
      <c r="I946">
        <v>30</v>
      </c>
      <c r="J946">
        <v>12.9</v>
      </c>
      <c r="K946">
        <v>120</v>
      </c>
    </row>
    <row r="947" spans="1:11">
      <c r="A947">
        <v>669</v>
      </c>
      <c r="B947" s="1">
        <v>44584</v>
      </c>
      <c r="C947" s="2">
        <v>0.85</v>
      </c>
      <c r="D947">
        <v>110</v>
      </c>
      <c r="E947" t="s">
        <v>11</v>
      </c>
      <c r="F947">
        <v>24</v>
      </c>
      <c r="G947" t="s">
        <v>13</v>
      </c>
      <c r="H947">
        <v>4</v>
      </c>
      <c r="I947">
        <v>300</v>
      </c>
      <c r="J947">
        <v>87</v>
      </c>
      <c r="K947">
        <v>1200</v>
      </c>
    </row>
    <row r="948" spans="1:11">
      <c r="A948">
        <v>877</v>
      </c>
      <c r="B948" s="1">
        <v>44835</v>
      </c>
      <c r="C948" s="2">
        <v>0.82777777777777772</v>
      </c>
      <c r="D948">
        <v>134</v>
      </c>
      <c r="E948" t="s">
        <v>14</v>
      </c>
      <c r="F948">
        <v>58</v>
      </c>
      <c r="G948" t="s">
        <v>12</v>
      </c>
      <c r="H948">
        <v>1</v>
      </c>
      <c r="I948">
        <v>25</v>
      </c>
      <c r="J948">
        <v>6.75</v>
      </c>
      <c r="K948">
        <v>25</v>
      </c>
    </row>
    <row r="949" spans="1:11">
      <c r="A949">
        <v>1239</v>
      </c>
      <c r="B949" s="1">
        <v>44750</v>
      </c>
      <c r="C949" s="2">
        <v>0.86250000000000004</v>
      </c>
      <c r="D949">
        <v>134</v>
      </c>
      <c r="E949" t="s">
        <v>11</v>
      </c>
      <c r="F949">
        <v>38</v>
      </c>
      <c r="G949" t="s">
        <v>15</v>
      </c>
      <c r="H949">
        <v>3</v>
      </c>
      <c r="I949">
        <v>500</v>
      </c>
      <c r="J949">
        <v>255</v>
      </c>
      <c r="K949">
        <v>1500</v>
      </c>
    </row>
    <row r="950" spans="1:11">
      <c r="A950">
        <v>1498</v>
      </c>
      <c r="B950" s="1">
        <v>44802</v>
      </c>
      <c r="C950" s="2">
        <v>0.71388888888888891</v>
      </c>
      <c r="D950">
        <v>51</v>
      </c>
      <c r="E950" t="s">
        <v>14</v>
      </c>
      <c r="F950">
        <v>50</v>
      </c>
      <c r="G950" t="s">
        <v>12</v>
      </c>
      <c r="H950">
        <v>4</v>
      </c>
      <c r="I950">
        <v>25</v>
      </c>
      <c r="J950">
        <v>12.5</v>
      </c>
      <c r="K950">
        <v>100</v>
      </c>
    </row>
    <row r="951" spans="1:11">
      <c r="A951">
        <v>1532</v>
      </c>
      <c r="B951" s="1">
        <v>44643</v>
      </c>
      <c r="C951" s="2">
        <v>0.95</v>
      </c>
      <c r="D951">
        <v>51</v>
      </c>
      <c r="E951" t="s">
        <v>14</v>
      </c>
      <c r="F951">
        <v>64</v>
      </c>
      <c r="G951" t="s">
        <v>12</v>
      </c>
      <c r="H951">
        <v>4</v>
      </c>
      <c r="I951">
        <v>30</v>
      </c>
      <c r="J951">
        <v>15.6</v>
      </c>
      <c r="K951">
        <v>120</v>
      </c>
    </row>
    <row r="952" spans="1:11">
      <c r="A952">
        <v>1669</v>
      </c>
      <c r="B952" s="1">
        <v>44777</v>
      </c>
      <c r="C952" s="2">
        <v>0.93611111111111112</v>
      </c>
      <c r="D952">
        <v>83</v>
      </c>
      <c r="E952" t="s">
        <v>11</v>
      </c>
      <c r="F952">
        <v>24</v>
      </c>
      <c r="G952" t="s">
        <v>13</v>
      </c>
      <c r="H952">
        <v>4</v>
      </c>
      <c r="I952">
        <v>300</v>
      </c>
      <c r="J952">
        <v>123</v>
      </c>
      <c r="K952">
        <v>1200</v>
      </c>
    </row>
    <row r="953" spans="1:11">
      <c r="A953">
        <v>1877</v>
      </c>
      <c r="B953" s="1">
        <v>44951</v>
      </c>
      <c r="C953" s="2">
        <v>0.84652777777777777</v>
      </c>
      <c r="D953">
        <v>72</v>
      </c>
      <c r="E953" t="s">
        <v>14</v>
      </c>
      <c r="F953">
        <v>58</v>
      </c>
      <c r="G953" t="s">
        <v>12</v>
      </c>
      <c r="H953">
        <v>1</v>
      </c>
      <c r="I953">
        <v>25</v>
      </c>
      <c r="J953">
        <v>10.5</v>
      </c>
      <c r="K953">
        <v>25</v>
      </c>
    </row>
    <row r="954" spans="1:11">
      <c r="A954">
        <v>422</v>
      </c>
      <c r="B954" s="1">
        <v>44794</v>
      </c>
      <c r="C954" s="2">
        <v>0.94027777777777777</v>
      </c>
      <c r="D954">
        <v>67</v>
      </c>
      <c r="E954" t="s">
        <v>14</v>
      </c>
      <c r="F954">
        <v>28</v>
      </c>
      <c r="G954" t="s">
        <v>12</v>
      </c>
      <c r="H954">
        <v>3</v>
      </c>
      <c r="I954">
        <v>30</v>
      </c>
      <c r="J954">
        <v>13.2</v>
      </c>
      <c r="K954">
        <v>90</v>
      </c>
    </row>
    <row r="955" spans="1:11">
      <c r="A955">
        <v>466</v>
      </c>
      <c r="B955" s="1">
        <v>44937</v>
      </c>
      <c r="C955" s="2">
        <v>0.91111111111111109</v>
      </c>
      <c r="D955">
        <v>66</v>
      </c>
      <c r="E955" t="s">
        <v>11</v>
      </c>
      <c r="F955">
        <v>63</v>
      </c>
      <c r="G955" t="s">
        <v>15</v>
      </c>
      <c r="H955">
        <v>4</v>
      </c>
      <c r="I955">
        <v>25</v>
      </c>
      <c r="J955">
        <v>13.75</v>
      </c>
      <c r="K955">
        <v>100</v>
      </c>
    </row>
    <row r="956" spans="1:11">
      <c r="A956">
        <v>1422</v>
      </c>
      <c r="B956" s="1">
        <v>44688</v>
      </c>
      <c r="C956" s="2">
        <v>0.8618055555555556</v>
      </c>
      <c r="D956">
        <v>35</v>
      </c>
      <c r="E956" t="s">
        <v>14</v>
      </c>
      <c r="F956">
        <v>28</v>
      </c>
      <c r="G956" t="s">
        <v>12</v>
      </c>
      <c r="H956">
        <v>3</v>
      </c>
      <c r="I956">
        <v>30</v>
      </c>
      <c r="J956">
        <v>13.5</v>
      </c>
      <c r="K956">
        <v>90</v>
      </c>
    </row>
    <row r="957" spans="1:11">
      <c r="A957">
        <v>1466</v>
      </c>
      <c r="B957" s="1">
        <v>44942</v>
      </c>
      <c r="C957" s="2">
        <v>0.93541666666666667</v>
      </c>
      <c r="D957">
        <v>64</v>
      </c>
      <c r="E957" t="s">
        <v>11</v>
      </c>
      <c r="F957">
        <v>63</v>
      </c>
      <c r="G957" t="s">
        <v>15</v>
      </c>
      <c r="H957">
        <v>4</v>
      </c>
      <c r="I957">
        <v>25</v>
      </c>
      <c r="J957">
        <v>10.75</v>
      </c>
      <c r="K957">
        <v>100</v>
      </c>
    </row>
    <row r="958" spans="1:11">
      <c r="A958">
        <v>583</v>
      </c>
      <c r="B958" s="1">
        <v>44589</v>
      </c>
      <c r="C958" s="2">
        <v>0.82222222222222219</v>
      </c>
      <c r="D958">
        <v>131</v>
      </c>
      <c r="E958" t="s">
        <v>14</v>
      </c>
      <c r="F958">
        <v>24</v>
      </c>
      <c r="G958" t="s">
        <v>15</v>
      </c>
      <c r="H958">
        <v>4</v>
      </c>
      <c r="I958">
        <v>25</v>
      </c>
      <c r="J958">
        <v>7.75</v>
      </c>
      <c r="K958">
        <v>100</v>
      </c>
    </row>
    <row r="959" spans="1:11">
      <c r="A959">
        <v>654</v>
      </c>
      <c r="B959" s="1">
        <v>45152</v>
      </c>
      <c r="C959" s="2">
        <v>0.73611111111111116</v>
      </c>
      <c r="D959">
        <v>92</v>
      </c>
      <c r="E959" t="s">
        <v>11</v>
      </c>
      <c r="F959">
        <v>42</v>
      </c>
      <c r="G959" t="s">
        <v>12</v>
      </c>
      <c r="H959">
        <v>3</v>
      </c>
      <c r="I959">
        <v>25</v>
      </c>
      <c r="J959">
        <v>9.25</v>
      </c>
      <c r="K959">
        <v>75</v>
      </c>
    </row>
    <row r="960" spans="1:11">
      <c r="A960">
        <v>1583</v>
      </c>
      <c r="B960" s="1">
        <v>45242</v>
      </c>
      <c r="C960" s="2">
        <v>0.95416666666666672</v>
      </c>
      <c r="D960">
        <v>102</v>
      </c>
      <c r="E960" t="s">
        <v>14</v>
      </c>
      <c r="F960">
        <v>24</v>
      </c>
      <c r="G960" t="s">
        <v>15</v>
      </c>
      <c r="H960">
        <v>4</v>
      </c>
      <c r="I960">
        <v>25</v>
      </c>
      <c r="J960">
        <v>13</v>
      </c>
      <c r="K960">
        <v>100</v>
      </c>
    </row>
    <row r="961" spans="1:11">
      <c r="A961">
        <v>1654</v>
      </c>
      <c r="B961" s="1">
        <v>45212</v>
      </c>
      <c r="C961" s="2">
        <v>0.86597222222222225</v>
      </c>
      <c r="D961">
        <v>111</v>
      </c>
      <c r="E961" t="s">
        <v>11</v>
      </c>
      <c r="F961">
        <v>42</v>
      </c>
      <c r="G961" t="s">
        <v>12</v>
      </c>
      <c r="H961">
        <v>3</v>
      </c>
      <c r="I961">
        <v>25</v>
      </c>
      <c r="J961">
        <v>6.25</v>
      </c>
      <c r="K961">
        <v>75</v>
      </c>
    </row>
    <row r="962" spans="1:11">
      <c r="A962">
        <v>40</v>
      </c>
      <c r="B962" s="1">
        <v>44719</v>
      </c>
      <c r="C962" s="2">
        <v>0.8979166666666667</v>
      </c>
      <c r="D962">
        <v>78</v>
      </c>
      <c r="E962" t="s">
        <v>11</v>
      </c>
      <c r="F962">
        <v>45</v>
      </c>
      <c r="G962" t="s">
        <v>13</v>
      </c>
      <c r="H962">
        <v>1</v>
      </c>
      <c r="I962">
        <v>50</v>
      </c>
      <c r="J962">
        <v>24.5</v>
      </c>
      <c r="K962">
        <v>50</v>
      </c>
    </row>
    <row r="963" spans="1:11">
      <c r="A963">
        <v>699</v>
      </c>
      <c r="B963" s="1">
        <v>44886</v>
      </c>
      <c r="C963" s="2">
        <v>0.93125000000000002</v>
      </c>
      <c r="D963">
        <v>129</v>
      </c>
      <c r="E963" t="s">
        <v>14</v>
      </c>
      <c r="F963">
        <v>37</v>
      </c>
      <c r="G963" t="s">
        <v>12</v>
      </c>
      <c r="H963">
        <v>4</v>
      </c>
      <c r="I963">
        <v>30</v>
      </c>
      <c r="J963">
        <v>16.2</v>
      </c>
      <c r="K963">
        <v>120</v>
      </c>
    </row>
    <row r="964" spans="1:11">
      <c r="A964">
        <v>727</v>
      </c>
      <c r="B964" s="1">
        <v>45245</v>
      </c>
      <c r="C964" s="2">
        <v>0.77569444444444446</v>
      </c>
      <c r="D964">
        <v>32</v>
      </c>
      <c r="E964" t="s">
        <v>11</v>
      </c>
      <c r="F964">
        <v>55</v>
      </c>
      <c r="G964" t="s">
        <v>13</v>
      </c>
      <c r="H964">
        <v>3</v>
      </c>
      <c r="I964">
        <v>300</v>
      </c>
      <c r="J964">
        <v>105</v>
      </c>
      <c r="K964">
        <v>900</v>
      </c>
    </row>
    <row r="965" spans="1:11">
      <c r="A965">
        <v>830</v>
      </c>
      <c r="B965" s="1">
        <v>44833</v>
      </c>
      <c r="C965" s="2">
        <v>0.84652777777777777</v>
      </c>
      <c r="D965">
        <v>77</v>
      </c>
      <c r="E965" t="s">
        <v>14</v>
      </c>
      <c r="F965">
        <v>64</v>
      </c>
      <c r="G965" t="s">
        <v>12</v>
      </c>
      <c r="H965">
        <v>3</v>
      </c>
      <c r="I965">
        <v>50</v>
      </c>
      <c r="J965">
        <v>18.5</v>
      </c>
      <c r="K965">
        <v>150</v>
      </c>
    </row>
    <row r="966" spans="1:11">
      <c r="A966">
        <v>1040</v>
      </c>
      <c r="B966" s="1">
        <v>45272</v>
      </c>
      <c r="C966" s="2">
        <v>0.89166666666666672</v>
      </c>
      <c r="D966">
        <v>112</v>
      </c>
      <c r="E966" t="s">
        <v>11</v>
      </c>
      <c r="F966">
        <v>45</v>
      </c>
      <c r="G966" t="s">
        <v>13</v>
      </c>
      <c r="H966">
        <v>1</v>
      </c>
      <c r="I966">
        <v>50</v>
      </c>
      <c r="J966">
        <v>21</v>
      </c>
      <c r="K966">
        <v>50</v>
      </c>
    </row>
    <row r="967" spans="1:11">
      <c r="A967">
        <v>1699</v>
      </c>
      <c r="B967" s="1">
        <v>45136</v>
      </c>
      <c r="C967" s="2">
        <v>0.90625</v>
      </c>
      <c r="D967">
        <v>23</v>
      </c>
      <c r="E967" t="s">
        <v>14</v>
      </c>
      <c r="F967">
        <v>37</v>
      </c>
      <c r="G967" t="s">
        <v>12</v>
      </c>
      <c r="H967">
        <v>4</v>
      </c>
      <c r="I967">
        <v>30</v>
      </c>
      <c r="J967">
        <v>12.9</v>
      </c>
      <c r="K967">
        <v>120</v>
      </c>
    </row>
    <row r="968" spans="1:11">
      <c r="A968">
        <v>1727</v>
      </c>
      <c r="B968" s="1">
        <v>45146</v>
      </c>
      <c r="C968" s="2">
        <v>0.87916666666666665</v>
      </c>
      <c r="D968">
        <v>72</v>
      </c>
      <c r="E968" t="s">
        <v>11</v>
      </c>
      <c r="F968">
        <v>55</v>
      </c>
      <c r="G968" t="s">
        <v>13</v>
      </c>
      <c r="H968">
        <v>3</v>
      </c>
      <c r="I968">
        <v>300</v>
      </c>
      <c r="J968">
        <v>75</v>
      </c>
      <c r="K968">
        <v>900</v>
      </c>
    </row>
    <row r="969" spans="1:11">
      <c r="A969">
        <v>1830</v>
      </c>
      <c r="B969" s="1">
        <v>44989</v>
      </c>
      <c r="C969" s="2">
        <v>0.75277777777777777</v>
      </c>
      <c r="D969">
        <v>87</v>
      </c>
      <c r="E969" t="s">
        <v>14</v>
      </c>
      <c r="F969">
        <v>64</v>
      </c>
      <c r="G969" t="s">
        <v>12</v>
      </c>
      <c r="H969">
        <v>3</v>
      </c>
      <c r="I969">
        <v>50</v>
      </c>
      <c r="J969">
        <v>21</v>
      </c>
      <c r="K969">
        <v>150</v>
      </c>
    </row>
    <row r="970" spans="1:11">
      <c r="A970">
        <v>224</v>
      </c>
      <c r="B970" s="1">
        <v>44876</v>
      </c>
      <c r="C970" s="2">
        <v>0.89722222222222225</v>
      </c>
      <c r="D970">
        <v>99</v>
      </c>
      <c r="E970" t="s">
        <v>14</v>
      </c>
      <c r="F970">
        <v>25</v>
      </c>
      <c r="G970" t="s">
        <v>12</v>
      </c>
      <c r="H970">
        <v>1</v>
      </c>
      <c r="I970">
        <v>50</v>
      </c>
      <c r="J970">
        <v>24</v>
      </c>
      <c r="K970">
        <v>50</v>
      </c>
    </row>
    <row r="971" spans="1:11">
      <c r="A971">
        <v>271</v>
      </c>
      <c r="B971" s="1">
        <v>45181</v>
      </c>
      <c r="C971" s="2">
        <v>0.76597222222222228</v>
      </c>
      <c r="D971">
        <v>44</v>
      </c>
      <c r="E971" t="s">
        <v>14</v>
      </c>
      <c r="F971">
        <v>62</v>
      </c>
      <c r="G971" t="s">
        <v>13</v>
      </c>
      <c r="H971">
        <v>4</v>
      </c>
      <c r="I971">
        <v>30</v>
      </c>
      <c r="J971">
        <v>9.3000000000000007</v>
      </c>
      <c r="K971">
        <v>120</v>
      </c>
    </row>
    <row r="972" spans="1:11">
      <c r="A972">
        <v>1224</v>
      </c>
      <c r="B972" s="1">
        <v>44581</v>
      </c>
      <c r="C972" s="2">
        <v>0.71527777777777779</v>
      </c>
      <c r="D972">
        <v>103</v>
      </c>
      <c r="E972" t="s">
        <v>14</v>
      </c>
      <c r="F972">
        <v>25</v>
      </c>
      <c r="G972" t="s">
        <v>12</v>
      </c>
      <c r="H972">
        <v>1</v>
      </c>
      <c r="I972">
        <v>50</v>
      </c>
      <c r="J972">
        <v>20</v>
      </c>
      <c r="K972">
        <v>50</v>
      </c>
    </row>
    <row r="973" spans="1:11">
      <c r="A973">
        <v>1271</v>
      </c>
      <c r="B973" s="1">
        <v>44580</v>
      </c>
      <c r="C973" s="2">
        <v>0.81319444444444444</v>
      </c>
      <c r="D973">
        <v>27</v>
      </c>
      <c r="E973" t="s">
        <v>14</v>
      </c>
      <c r="F973">
        <v>62</v>
      </c>
      <c r="G973" t="s">
        <v>13</v>
      </c>
      <c r="H973">
        <v>4</v>
      </c>
      <c r="I973">
        <v>30</v>
      </c>
      <c r="J973">
        <v>9</v>
      </c>
      <c r="K973">
        <v>120</v>
      </c>
    </row>
    <row r="974" spans="1:11">
      <c r="A974">
        <v>36</v>
      </c>
      <c r="B974" s="1">
        <v>44979</v>
      </c>
      <c r="C974" s="2">
        <v>0.92083333333333328</v>
      </c>
      <c r="D974">
        <v>40</v>
      </c>
      <c r="E974" t="s">
        <v>11</v>
      </c>
      <c r="F974">
        <v>52</v>
      </c>
      <c r="G974" t="s">
        <v>13</v>
      </c>
      <c r="H974">
        <v>3</v>
      </c>
      <c r="I974">
        <v>300</v>
      </c>
      <c r="J974">
        <v>144</v>
      </c>
      <c r="K974">
        <v>900</v>
      </c>
    </row>
    <row r="975" spans="1:11">
      <c r="A975">
        <v>157</v>
      </c>
      <c r="B975" s="1">
        <v>44696</v>
      </c>
      <c r="C975" s="2">
        <v>0.91597222222222219</v>
      </c>
      <c r="D975">
        <v>98</v>
      </c>
      <c r="E975" t="s">
        <v>11</v>
      </c>
      <c r="F975">
        <v>62</v>
      </c>
      <c r="G975" t="s">
        <v>15</v>
      </c>
      <c r="H975">
        <v>4</v>
      </c>
      <c r="I975">
        <v>500</v>
      </c>
      <c r="J975">
        <v>170</v>
      </c>
      <c r="K975">
        <v>2000</v>
      </c>
    </row>
    <row r="976" spans="1:11">
      <c r="A976">
        <v>796</v>
      </c>
      <c r="B976" s="1">
        <v>44835</v>
      </c>
      <c r="C976" s="2">
        <v>0.82638888888888884</v>
      </c>
      <c r="D976">
        <v>38</v>
      </c>
      <c r="E976" t="s">
        <v>11</v>
      </c>
      <c r="F976">
        <v>43</v>
      </c>
      <c r="G976" t="s">
        <v>13</v>
      </c>
      <c r="H976">
        <v>4</v>
      </c>
      <c r="I976">
        <v>30</v>
      </c>
      <c r="J976">
        <v>7.8</v>
      </c>
      <c r="K976">
        <v>120</v>
      </c>
    </row>
    <row r="977" spans="1:11">
      <c r="A977">
        <v>839</v>
      </c>
      <c r="B977" s="1">
        <v>45241</v>
      </c>
      <c r="C977" s="2">
        <v>0.87638888888888888</v>
      </c>
      <c r="D977">
        <v>130</v>
      </c>
      <c r="E977" t="s">
        <v>14</v>
      </c>
      <c r="F977">
        <v>20</v>
      </c>
      <c r="G977" t="s">
        <v>15</v>
      </c>
      <c r="H977">
        <v>4</v>
      </c>
      <c r="I977">
        <v>300</v>
      </c>
      <c r="J977">
        <v>96</v>
      </c>
      <c r="K977">
        <v>1200</v>
      </c>
    </row>
    <row r="978" spans="1:11">
      <c r="A978">
        <v>927</v>
      </c>
      <c r="B978" s="1">
        <v>44613</v>
      </c>
      <c r="C978" s="2">
        <v>0.71736111111111112</v>
      </c>
      <c r="D978">
        <v>83</v>
      </c>
      <c r="E978" t="s">
        <v>11</v>
      </c>
      <c r="F978">
        <v>43</v>
      </c>
      <c r="G978" t="s">
        <v>15</v>
      </c>
      <c r="H978">
        <v>4</v>
      </c>
      <c r="I978">
        <v>500</v>
      </c>
      <c r="J978">
        <v>250</v>
      </c>
      <c r="K978">
        <v>2000</v>
      </c>
    </row>
    <row r="979" spans="1:11">
      <c r="A979">
        <v>1036</v>
      </c>
      <c r="B979" s="1">
        <v>44790</v>
      </c>
      <c r="C979" s="2">
        <v>0.75208333333333333</v>
      </c>
      <c r="D979">
        <v>121</v>
      </c>
      <c r="E979" t="s">
        <v>11</v>
      </c>
      <c r="F979">
        <v>52</v>
      </c>
      <c r="G979" t="s">
        <v>13</v>
      </c>
      <c r="H979">
        <v>3</v>
      </c>
      <c r="I979">
        <v>300</v>
      </c>
      <c r="J979">
        <v>117</v>
      </c>
      <c r="K979">
        <v>900</v>
      </c>
    </row>
    <row r="980" spans="1:11">
      <c r="A980">
        <v>1157</v>
      </c>
      <c r="B980" s="1">
        <v>44918</v>
      </c>
      <c r="C980" s="2">
        <v>0.89166666666666672</v>
      </c>
      <c r="D980">
        <v>81</v>
      </c>
      <c r="E980" t="s">
        <v>11</v>
      </c>
      <c r="F980">
        <v>62</v>
      </c>
      <c r="G980" t="s">
        <v>15</v>
      </c>
      <c r="H980">
        <v>4</v>
      </c>
      <c r="I980">
        <v>500</v>
      </c>
      <c r="J980">
        <v>270</v>
      </c>
      <c r="K980">
        <v>2000</v>
      </c>
    </row>
    <row r="981" spans="1:11">
      <c r="A981">
        <v>1796</v>
      </c>
      <c r="B981" s="1">
        <v>45242</v>
      </c>
      <c r="C981" s="2">
        <v>0.77500000000000002</v>
      </c>
      <c r="D981">
        <v>69</v>
      </c>
      <c r="E981" t="s">
        <v>11</v>
      </c>
      <c r="F981">
        <v>43</v>
      </c>
      <c r="G981" t="s">
        <v>13</v>
      </c>
      <c r="H981">
        <v>4</v>
      </c>
      <c r="I981">
        <v>30</v>
      </c>
      <c r="J981">
        <v>11.1</v>
      </c>
      <c r="K981">
        <v>120</v>
      </c>
    </row>
    <row r="982" spans="1:11">
      <c r="A982">
        <v>1839</v>
      </c>
      <c r="B982" s="1">
        <v>44801</v>
      </c>
      <c r="C982" s="2">
        <v>0.9145833333333333</v>
      </c>
      <c r="D982">
        <v>92</v>
      </c>
      <c r="E982" t="s">
        <v>14</v>
      </c>
      <c r="F982">
        <v>20</v>
      </c>
      <c r="G982" t="s">
        <v>15</v>
      </c>
      <c r="H982">
        <v>4</v>
      </c>
      <c r="I982">
        <v>300</v>
      </c>
      <c r="J982">
        <v>156</v>
      </c>
      <c r="K982">
        <v>1200</v>
      </c>
    </row>
    <row r="983" spans="1:11">
      <c r="A983">
        <v>1927</v>
      </c>
      <c r="B983" s="1">
        <v>45175</v>
      </c>
      <c r="C983" s="2">
        <v>0.82222222222222219</v>
      </c>
      <c r="D983">
        <v>46</v>
      </c>
      <c r="E983" t="s">
        <v>11</v>
      </c>
      <c r="F983">
        <v>43</v>
      </c>
      <c r="G983" t="s">
        <v>15</v>
      </c>
      <c r="H983">
        <v>4</v>
      </c>
      <c r="I983">
        <v>500</v>
      </c>
      <c r="J983">
        <v>180</v>
      </c>
      <c r="K983">
        <v>2000</v>
      </c>
    </row>
    <row r="984" spans="1:11">
      <c r="A984">
        <v>407</v>
      </c>
      <c r="B984" s="1">
        <v>44758</v>
      </c>
      <c r="C984" s="2">
        <v>0.92847222222222225</v>
      </c>
      <c r="D984">
        <v>117</v>
      </c>
      <c r="E984" t="s">
        <v>14</v>
      </c>
      <c r="F984">
        <v>46</v>
      </c>
      <c r="G984" t="s">
        <v>15</v>
      </c>
      <c r="H984">
        <v>3</v>
      </c>
      <c r="I984">
        <v>300</v>
      </c>
      <c r="J984">
        <v>138</v>
      </c>
      <c r="K984">
        <v>900</v>
      </c>
    </row>
    <row r="985" spans="1:11">
      <c r="A985">
        <v>1407</v>
      </c>
      <c r="B985" s="1">
        <v>44661</v>
      </c>
      <c r="C985" s="2">
        <v>0.82013888888888886</v>
      </c>
      <c r="D985">
        <v>54</v>
      </c>
      <c r="E985" t="s">
        <v>14</v>
      </c>
      <c r="F985">
        <v>46</v>
      </c>
      <c r="G985" t="s">
        <v>15</v>
      </c>
      <c r="H985">
        <v>3</v>
      </c>
      <c r="I985">
        <v>300</v>
      </c>
      <c r="J985">
        <v>120</v>
      </c>
      <c r="K985">
        <v>900</v>
      </c>
    </row>
    <row r="986" spans="1:11">
      <c r="A986">
        <v>46</v>
      </c>
      <c r="B986" s="1">
        <v>44873</v>
      </c>
      <c r="C986" s="2">
        <v>0.74305555555555558</v>
      </c>
      <c r="D986">
        <v>54</v>
      </c>
      <c r="E986" t="s">
        <v>14</v>
      </c>
      <c r="F986">
        <v>20</v>
      </c>
      <c r="G986" t="s">
        <v>15</v>
      </c>
      <c r="H986">
        <v>4</v>
      </c>
      <c r="I986">
        <v>300</v>
      </c>
      <c r="J986">
        <v>84</v>
      </c>
      <c r="K986">
        <v>1200</v>
      </c>
    </row>
    <row r="987" spans="1:11">
      <c r="A987">
        <v>509</v>
      </c>
      <c r="B987" s="1">
        <v>45117</v>
      </c>
      <c r="C987" s="2">
        <v>0.81597222222222221</v>
      </c>
      <c r="D987">
        <v>70</v>
      </c>
      <c r="E987" t="s">
        <v>14</v>
      </c>
      <c r="F987">
        <v>37</v>
      </c>
      <c r="G987" t="s">
        <v>15</v>
      </c>
      <c r="H987">
        <v>3</v>
      </c>
      <c r="I987">
        <v>300</v>
      </c>
      <c r="J987">
        <v>141</v>
      </c>
      <c r="K987">
        <v>900</v>
      </c>
    </row>
    <row r="988" spans="1:11">
      <c r="A988">
        <v>874</v>
      </c>
      <c r="B988" s="1">
        <v>44578</v>
      </c>
      <c r="C988" s="2">
        <v>0.75972222222222219</v>
      </c>
      <c r="D988">
        <v>90</v>
      </c>
      <c r="E988" t="s">
        <v>11</v>
      </c>
      <c r="F988">
        <v>60</v>
      </c>
      <c r="G988" t="s">
        <v>13</v>
      </c>
      <c r="H988">
        <v>1</v>
      </c>
      <c r="I988">
        <v>30</v>
      </c>
      <c r="J988">
        <v>12.6</v>
      </c>
      <c r="K988">
        <v>30</v>
      </c>
    </row>
    <row r="989" spans="1:11">
      <c r="A989">
        <v>1046</v>
      </c>
      <c r="B989" s="1">
        <v>45128</v>
      </c>
      <c r="C989" s="2">
        <v>0.90763888888888888</v>
      </c>
      <c r="D989">
        <v>5</v>
      </c>
      <c r="E989" t="s">
        <v>14</v>
      </c>
      <c r="F989">
        <v>20</v>
      </c>
      <c r="G989" t="s">
        <v>15</v>
      </c>
      <c r="H989">
        <v>4</v>
      </c>
      <c r="I989">
        <v>300</v>
      </c>
      <c r="J989">
        <v>156</v>
      </c>
      <c r="K989">
        <v>1200</v>
      </c>
    </row>
    <row r="990" spans="1:11">
      <c r="A990">
        <v>1509</v>
      </c>
      <c r="B990" s="1">
        <v>44890</v>
      </c>
      <c r="C990" s="2">
        <v>0.86111111111111116</v>
      </c>
      <c r="D990">
        <v>67</v>
      </c>
      <c r="E990" t="s">
        <v>14</v>
      </c>
      <c r="F990">
        <v>37</v>
      </c>
      <c r="G990" t="s">
        <v>15</v>
      </c>
      <c r="H990">
        <v>3</v>
      </c>
      <c r="I990">
        <v>300</v>
      </c>
      <c r="J990">
        <v>129</v>
      </c>
      <c r="K990">
        <v>900</v>
      </c>
    </row>
    <row r="991" spans="1:11">
      <c r="A991">
        <v>1874</v>
      </c>
      <c r="B991" s="1">
        <v>44695</v>
      </c>
      <c r="C991" s="2">
        <v>0.87361111111111112</v>
      </c>
      <c r="D991">
        <v>126</v>
      </c>
      <c r="E991" t="s">
        <v>11</v>
      </c>
      <c r="F991">
        <v>60</v>
      </c>
      <c r="G991" t="s">
        <v>13</v>
      </c>
      <c r="H991">
        <v>1</v>
      </c>
      <c r="I991">
        <v>30</v>
      </c>
      <c r="J991">
        <v>12.6</v>
      </c>
      <c r="K991">
        <v>30</v>
      </c>
    </row>
    <row r="992" spans="1:11">
      <c r="A992">
        <v>788</v>
      </c>
      <c r="B992" s="1">
        <v>44732</v>
      </c>
      <c r="C992" s="2">
        <v>0.78749999999999998</v>
      </c>
      <c r="D992">
        <v>90</v>
      </c>
      <c r="E992" t="s">
        <v>14</v>
      </c>
      <c r="F992">
        <v>52</v>
      </c>
      <c r="G992" t="s">
        <v>13</v>
      </c>
      <c r="H992">
        <v>3</v>
      </c>
      <c r="I992">
        <v>300</v>
      </c>
      <c r="J992">
        <v>105</v>
      </c>
      <c r="K992">
        <v>900</v>
      </c>
    </row>
    <row r="993" spans="1:11">
      <c r="A993">
        <v>1788</v>
      </c>
      <c r="B993" s="1">
        <v>44684</v>
      </c>
      <c r="C993" s="2">
        <v>0.85763888888888884</v>
      </c>
      <c r="D993">
        <v>98</v>
      </c>
      <c r="E993" t="s">
        <v>14</v>
      </c>
      <c r="F993">
        <v>52</v>
      </c>
      <c r="G993" t="s">
        <v>13</v>
      </c>
      <c r="H993">
        <v>3</v>
      </c>
      <c r="I993">
        <v>300</v>
      </c>
      <c r="J993">
        <v>150</v>
      </c>
      <c r="K993">
        <v>900</v>
      </c>
    </row>
    <row r="994" spans="1:11">
      <c r="A994">
        <v>378</v>
      </c>
      <c r="B994" s="1">
        <v>44868</v>
      </c>
      <c r="C994" s="2">
        <v>0.76111111111111107</v>
      </c>
      <c r="D994">
        <v>81</v>
      </c>
      <c r="E994" t="s">
        <v>11</v>
      </c>
      <c r="F994">
        <v>50</v>
      </c>
      <c r="G994" t="s">
        <v>13</v>
      </c>
      <c r="H994">
        <v>1</v>
      </c>
      <c r="I994">
        <v>300</v>
      </c>
      <c r="J994">
        <v>165</v>
      </c>
      <c r="K994">
        <v>300</v>
      </c>
    </row>
    <row r="995" spans="1:11">
      <c r="A995">
        <v>1378</v>
      </c>
      <c r="B995" s="1">
        <v>44679</v>
      </c>
      <c r="C995" s="2">
        <v>0.91388888888888886</v>
      </c>
      <c r="D995">
        <v>27</v>
      </c>
      <c r="E995" t="s">
        <v>11</v>
      </c>
      <c r="F995">
        <v>50</v>
      </c>
      <c r="G995" t="s">
        <v>13</v>
      </c>
      <c r="H995">
        <v>1</v>
      </c>
      <c r="I995">
        <v>300</v>
      </c>
      <c r="J995">
        <v>132</v>
      </c>
      <c r="K995">
        <v>300</v>
      </c>
    </row>
    <row r="996" spans="1:11">
      <c r="A996">
        <v>480</v>
      </c>
      <c r="B996" s="1">
        <v>44917</v>
      </c>
      <c r="C996" s="2">
        <v>0.92500000000000004</v>
      </c>
      <c r="D996">
        <v>126</v>
      </c>
      <c r="E996" t="s">
        <v>14</v>
      </c>
      <c r="F996">
        <v>42</v>
      </c>
      <c r="G996" t="s">
        <v>13</v>
      </c>
      <c r="H996">
        <v>4</v>
      </c>
      <c r="I996">
        <v>500</v>
      </c>
      <c r="J996">
        <v>225</v>
      </c>
      <c r="K996">
        <v>2000</v>
      </c>
    </row>
    <row r="997" spans="1:11">
      <c r="A997">
        <v>492</v>
      </c>
      <c r="B997" s="1">
        <v>45276</v>
      </c>
      <c r="C997" s="2">
        <v>0.74444444444444446</v>
      </c>
      <c r="D997">
        <v>4</v>
      </c>
      <c r="E997" t="s">
        <v>11</v>
      </c>
      <c r="F997">
        <v>61</v>
      </c>
      <c r="G997" t="s">
        <v>13</v>
      </c>
      <c r="H997">
        <v>4</v>
      </c>
      <c r="I997">
        <v>25</v>
      </c>
      <c r="J997">
        <v>6.5</v>
      </c>
      <c r="K997">
        <v>100</v>
      </c>
    </row>
    <row r="998" spans="1:11">
      <c r="A998">
        <v>737</v>
      </c>
      <c r="B998" s="1">
        <v>45008</v>
      </c>
      <c r="C998" s="2">
        <v>0.88263888888888886</v>
      </c>
      <c r="D998">
        <v>26</v>
      </c>
      <c r="E998" t="s">
        <v>14</v>
      </c>
      <c r="F998">
        <v>33</v>
      </c>
      <c r="G998" t="s">
        <v>12</v>
      </c>
      <c r="H998">
        <v>1</v>
      </c>
      <c r="I998">
        <v>50</v>
      </c>
      <c r="J998">
        <v>14</v>
      </c>
      <c r="K998">
        <v>50</v>
      </c>
    </row>
    <row r="999" spans="1:11">
      <c r="A999">
        <v>1480</v>
      </c>
      <c r="B999" s="1">
        <v>45256</v>
      </c>
      <c r="C999" s="2">
        <v>0.75347222222222221</v>
      </c>
      <c r="D999">
        <v>3</v>
      </c>
      <c r="E999" t="s">
        <v>14</v>
      </c>
      <c r="F999">
        <v>42</v>
      </c>
      <c r="G999" t="s">
        <v>13</v>
      </c>
      <c r="H999">
        <v>4</v>
      </c>
      <c r="I999">
        <v>500</v>
      </c>
      <c r="J999">
        <v>165</v>
      </c>
      <c r="K999">
        <v>2000</v>
      </c>
    </row>
    <row r="1000" spans="1:11">
      <c r="A1000">
        <v>1492</v>
      </c>
      <c r="B1000" s="1">
        <v>45164</v>
      </c>
      <c r="C1000" s="2">
        <v>0.92291666666666672</v>
      </c>
      <c r="D1000">
        <v>146</v>
      </c>
      <c r="E1000" t="s">
        <v>11</v>
      </c>
      <c r="F1000">
        <v>61</v>
      </c>
      <c r="G1000" t="s">
        <v>13</v>
      </c>
      <c r="H1000">
        <v>4</v>
      </c>
      <c r="I1000">
        <v>25</v>
      </c>
      <c r="J1000">
        <v>10</v>
      </c>
      <c r="K1000">
        <v>100</v>
      </c>
    </row>
    <row r="1001" spans="1:11">
      <c r="A1001">
        <v>1737</v>
      </c>
      <c r="B1001" s="1">
        <v>44879</v>
      </c>
      <c r="C1001" s="2">
        <v>0.93888888888888888</v>
      </c>
      <c r="D1001">
        <v>40</v>
      </c>
      <c r="E1001" t="s">
        <v>14</v>
      </c>
      <c r="F1001">
        <v>33</v>
      </c>
      <c r="G1001" t="s">
        <v>12</v>
      </c>
      <c r="H1001">
        <v>1</v>
      </c>
      <c r="I1001">
        <v>50</v>
      </c>
      <c r="J1001">
        <v>14</v>
      </c>
      <c r="K1001">
        <v>50</v>
      </c>
    </row>
    <row r="1002" spans="1:11">
      <c r="A1002">
        <v>684</v>
      </c>
      <c r="B1002" s="1">
        <v>45097</v>
      </c>
      <c r="C1002" s="2">
        <v>0.75138888888888888</v>
      </c>
      <c r="D1002">
        <v>54</v>
      </c>
      <c r="E1002" t="s">
        <v>14</v>
      </c>
      <c r="F1002">
        <v>28</v>
      </c>
      <c r="G1002" t="s">
        <v>12</v>
      </c>
      <c r="H1002">
        <v>2</v>
      </c>
      <c r="I1002">
        <v>500</v>
      </c>
      <c r="J1002">
        <v>225</v>
      </c>
      <c r="K1002">
        <v>1000</v>
      </c>
    </row>
    <row r="1003" spans="1:11">
      <c r="A1003">
        <v>878</v>
      </c>
      <c r="B1003" s="1">
        <v>45225</v>
      </c>
      <c r="C1003" s="2">
        <v>0.78680555555555554</v>
      </c>
      <c r="D1003">
        <v>31</v>
      </c>
      <c r="E1003" t="s">
        <v>14</v>
      </c>
      <c r="F1003">
        <v>20</v>
      </c>
      <c r="G1003" t="s">
        <v>12</v>
      </c>
      <c r="H1003">
        <v>1</v>
      </c>
      <c r="I1003">
        <v>30</v>
      </c>
      <c r="J1003">
        <v>11.7</v>
      </c>
      <c r="K1003">
        <v>30</v>
      </c>
    </row>
    <row r="1004" spans="1:11">
      <c r="A1004">
        <v>1684</v>
      </c>
      <c r="B1004" s="1">
        <v>44949</v>
      </c>
      <c r="C1004" s="2">
        <v>0.90277777777777779</v>
      </c>
      <c r="D1004">
        <v>43</v>
      </c>
      <c r="E1004" t="s">
        <v>14</v>
      </c>
      <c r="F1004">
        <v>28</v>
      </c>
      <c r="G1004" t="s">
        <v>12</v>
      </c>
      <c r="H1004">
        <v>2</v>
      </c>
      <c r="I1004">
        <v>500</v>
      </c>
      <c r="J1004">
        <v>200</v>
      </c>
      <c r="K1004">
        <v>1000</v>
      </c>
    </row>
    <row r="1005" spans="1:11">
      <c r="A1005">
        <v>1878</v>
      </c>
      <c r="B1005" s="1">
        <v>44950</v>
      </c>
      <c r="C1005" s="2">
        <v>0.9555555555555556</v>
      </c>
      <c r="D1005">
        <v>97</v>
      </c>
      <c r="E1005" t="s">
        <v>14</v>
      </c>
      <c r="F1005">
        <v>20</v>
      </c>
      <c r="G1005" t="s">
        <v>12</v>
      </c>
      <c r="H1005">
        <v>1</v>
      </c>
      <c r="I1005">
        <v>30</v>
      </c>
      <c r="J1005">
        <v>7.5</v>
      </c>
      <c r="K1005">
        <v>30</v>
      </c>
    </row>
    <row r="1006" spans="1:11">
      <c r="A1006">
        <v>78</v>
      </c>
      <c r="B1006" s="1">
        <v>44974</v>
      </c>
      <c r="C1006" s="2">
        <v>0.88055555555555554</v>
      </c>
      <c r="D1006">
        <v>68</v>
      </c>
      <c r="E1006" t="s">
        <v>14</v>
      </c>
      <c r="F1006">
        <v>47</v>
      </c>
      <c r="G1006" t="s">
        <v>12</v>
      </c>
      <c r="H1006">
        <v>3</v>
      </c>
      <c r="I1006">
        <v>500</v>
      </c>
      <c r="J1006">
        <v>265</v>
      </c>
      <c r="K1006">
        <v>1500</v>
      </c>
    </row>
    <row r="1007" spans="1:11">
      <c r="A1007">
        <v>260</v>
      </c>
      <c r="B1007" s="1">
        <v>44945</v>
      </c>
      <c r="C1007" s="2">
        <v>0.88124999999999998</v>
      </c>
      <c r="D1007">
        <v>107</v>
      </c>
      <c r="E1007" t="s">
        <v>11</v>
      </c>
      <c r="F1007">
        <v>28</v>
      </c>
      <c r="G1007" t="s">
        <v>13</v>
      </c>
      <c r="H1007">
        <v>2</v>
      </c>
      <c r="I1007">
        <v>30</v>
      </c>
      <c r="J1007">
        <v>10.5</v>
      </c>
      <c r="K1007">
        <v>60</v>
      </c>
    </row>
    <row r="1008" spans="1:11">
      <c r="A1008">
        <v>455</v>
      </c>
      <c r="B1008" s="1">
        <v>45251</v>
      </c>
      <c r="C1008" s="2">
        <v>0.80208333333333337</v>
      </c>
      <c r="D1008">
        <v>134</v>
      </c>
      <c r="E1008" t="s">
        <v>11</v>
      </c>
      <c r="F1008">
        <v>31</v>
      </c>
      <c r="G1008" t="s">
        <v>15</v>
      </c>
      <c r="H1008">
        <v>4</v>
      </c>
      <c r="I1008">
        <v>25</v>
      </c>
      <c r="J1008">
        <v>13.25</v>
      </c>
      <c r="K1008">
        <v>100</v>
      </c>
    </row>
    <row r="1009" spans="1:11">
      <c r="A1009">
        <v>837</v>
      </c>
      <c r="B1009" s="1">
        <v>44941</v>
      </c>
      <c r="C1009" s="2">
        <v>0.85763888888888884</v>
      </c>
      <c r="D1009">
        <v>53</v>
      </c>
      <c r="E1009" t="s">
        <v>11</v>
      </c>
      <c r="F1009">
        <v>18</v>
      </c>
      <c r="G1009" t="s">
        <v>13</v>
      </c>
      <c r="H1009">
        <v>3</v>
      </c>
      <c r="I1009">
        <v>30</v>
      </c>
      <c r="J1009">
        <v>7.5</v>
      </c>
      <c r="K1009">
        <v>90</v>
      </c>
    </row>
    <row r="1010" spans="1:11">
      <c r="A1010">
        <v>1078</v>
      </c>
      <c r="B1010" s="1">
        <v>45050</v>
      </c>
      <c r="C1010" s="2">
        <v>0.93055555555555558</v>
      </c>
      <c r="D1010">
        <v>16</v>
      </c>
      <c r="E1010" t="s">
        <v>14</v>
      </c>
      <c r="F1010">
        <v>47</v>
      </c>
      <c r="G1010" t="s">
        <v>12</v>
      </c>
      <c r="H1010">
        <v>3</v>
      </c>
      <c r="I1010">
        <v>500</v>
      </c>
      <c r="J1010">
        <v>125</v>
      </c>
      <c r="K1010">
        <v>1500</v>
      </c>
    </row>
    <row r="1011" spans="1:11">
      <c r="A1011">
        <v>1260</v>
      </c>
      <c r="B1011" s="1">
        <v>45126</v>
      </c>
      <c r="C1011" s="2">
        <v>0.72638888888888886</v>
      </c>
      <c r="D1011">
        <v>117</v>
      </c>
      <c r="E1011" t="s">
        <v>11</v>
      </c>
      <c r="F1011">
        <v>28</v>
      </c>
      <c r="G1011" t="s">
        <v>13</v>
      </c>
      <c r="H1011">
        <v>2</v>
      </c>
      <c r="I1011">
        <v>30</v>
      </c>
      <c r="J1011">
        <v>13.5</v>
      </c>
      <c r="K1011">
        <v>60</v>
      </c>
    </row>
    <row r="1012" spans="1:11">
      <c r="A1012">
        <v>1455</v>
      </c>
      <c r="B1012" s="1">
        <v>44800</v>
      </c>
      <c r="C1012" s="2">
        <v>0.89930555555555558</v>
      </c>
      <c r="D1012">
        <v>32</v>
      </c>
      <c r="E1012" t="s">
        <v>11</v>
      </c>
      <c r="F1012">
        <v>31</v>
      </c>
      <c r="G1012" t="s">
        <v>15</v>
      </c>
      <c r="H1012">
        <v>4</v>
      </c>
      <c r="I1012">
        <v>25</v>
      </c>
      <c r="J1012">
        <v>13.75</v>
      </c>
      <c r="K1012">
        <v>100</v>
      </c>
    </row>
    <row r="1013" spans="1:11">
      <c r="A1013">
        <v>1837</v>
      </c>
      <c r="B1013" s="1">
        <v>45014</v>
      </c>
      <c r="C1013" s="2">
        <v>0.86458333333333337</v>
      </c>
      <c r="D1013">
        <v>32</v>
      </c>
      <c r="E1013" t="s">
        <v>11</v>
      </c>
      <c r="F1013">
        <v>18</v>
      </c>
      <c r="G1013" t="s">
        <v>13</v>
      </c>
      <c r="H1013">
        <v>3</v>
      </c>
      <c r="I1013">
        <v>30</v>
      </c>
      <c r="J1013">
        <v>8.1</v>
      </c>
      <c r="K1013">
        <v>90</v>
      </c>
    </row>
    <row r="1014" spans="1:11">
      <c r="A1014">
        <v>45</v>
      </c>
      <c r="B1014" s="1">
        <v>44640</v>
      </c>
      <c r="C1014" s="2">
        <v>0.76875000000000004</v>
      </c>
      <c r="D1014">
        <v>121</v>
      </c>
      <c r="E1014" t="s">
        <v>14</v>
      </c>
      <c r="F1014">
        <v>55</v>
      </c>
      <c r="G1014" t="s">
        <v>15</v>
      </c>
      <c r="H1014">
        <v>1</v>
      </c>
      <c r="I1014">
        <v>30</v>
      </c>
      <c r="J1014">
        <v>10.5</v>
      </c>
      <c r="K1014">
        <v>30</v>
      </c>
    </row>
    <row r="1015" spans="1:11">
      <c r="A1015">
        <v>449</v>
      </c>
      <c r="B1015" s="1">
        <v>44564</v>
      </c>
      <c r="C1015" s="2">
        <v>0.76944444444444449</v>
      </c>
      <c r="D1015">
        <v>58</v>
      </c>
      <c r="E1015" t="s">
        <v>11</v>
      </c>
      <c r="F1015">
        <v>25</v>
      </c>
      <c r="G1015" t="s">
        <v>15</v>
      </c>
      <c r="H1015">
        <v>4</v>
      </c>
      <c r="I1015">
        <v>50</v>
      </c>
      <c r="J1015">
        <v>26.5</v>
      </c>
      <c r="K1015">
        <v>200</v>
      </c>
    </row>
    <row r="1016" spans="1:11">
      <c r="A1016">
        <v>1045</v>
      </c>
      <c r="B1016" s="1">
        <v>44618</v>
      </c>
      <c r="C1016" s="2">
        <v>0.72777777777777775</v>
      </c>
      <c r="D1016">
        <v>110</v>
      </c>
      <c r="E1016" t="s">
        <v>14</v>
      </c>
      <c r="F1016">
        <v>55</v>
      </c>
      <c r="G1016" t="s">
        <v>15</v>
      </c>
      <c r="H1016">
        <v>1</v>
      </c>
      <c r="I1016">
        <v>30</v>
      </c>
      <c r="J1016">
        <v>9.9</v>
      </c>
      <c r="K1016">
        <v>30</v>
      </c>
    </row>
    <row r="1017" spans="1:11">
      <c r="A1017">
        <v>1449</v>
      </c>
      <c r="B1017" s="1">
        <v>44677</v>
      </c>
      <c r="C1017" s="2">
        <v>0.77916666666666667</v>
      </c>
      <c r="D1017">
        <v>12</v>
      </c>
      <c r="E1017" t="s">
        <v>11</v>
      </c>
      <c r="F1017">
        <v>25</v>
      </c>
      <c r="G1017" t="s">
        <v>15</v>
      </c>
      <c r="H1017">
        <v>4</v>
      </c>
      <c r="I1017">
        <v>50</v>
      </c>
      <c r="J1017">
        <v>23.5</v>
      </c>
      <c r="K1017">
        <v>200</v>
      </c>
    </row>
    <row r="1018" spans="1:11">
      <c r="A1018">
        <v>904</v>
      </c>
      <c r="B1018" s="1">
        <v>44652</v>
      </c>
      <c r="C1018" s="2">
        <v>0.85138888888888886</v>
      </c>
      <c r="D1018">
        <v>43</v>
      </c>
      <c r="E1018" t="s">
        <v>11</v>
      </c>
      <c r="F1018">
        <v>28</v>
      </c>
      <c r="G1018" t="s">
        <v>12</v>
      </c>
      <c r="H1018">
        <v>1</v>
      </c>
      <c r="I1018">
        <v>500</v>
      </c>
      <c r="J1018">
        <v>160</v>
      </c>
      <c r="K1018">
        <v>500</v>
      </c>
    </row>
    <row r="1019" spans="1:11">
      <c r="A1019">
        <v>1904</v>
      </c>
      <c r="B1019" s="1">
        <v>44890</v>
      </c>
      <c r="C1019" s="2">
        <v>0.82013888888888886</v>
      </c>
      <c r="D1019">
        <v>117</v>
      </c>
      <c r="E1019" t="s">
        <v>11</v>
      </c>
      <c r="F1019">
        <v>28</v>
      </c>
      <c r="G1019" t="s">
        <v>12</v>
      </c>
      <c r="H1019">
        <v>1</v>
      </c>
      <c r="I1019">
        <v>500</v>
      </c>
      <c r="J1019">
        <v>220</v>
      </c>
      <c r="K1019">
        <v>500</v>
      </c>
    </row>
    <row r="1020" spans="1:11">
      <c r="A1020">
        <v>59</v>
      </c>
      <c r="B1020" s="1">
        <v>44879</v>
      </c>
      <c r="C1020" s="2">
        <v>0.76944444444444449</v>
      </c>
      <c r="D1020">
        <v>61</v>
      </c>
      <c r="E1020" t="s">
        <v>11</v>
      </c>
      <c r="F1020">
        <v>62</v>
      </c>
      <c r="G1020" t="s">
        <v>12</v>
      </c>
      <c r="H1020">
        <v>1</v>
      </c>
      <c r="I1020">
        <v>50</v>
      </c>
      <c r="J1020">
        <v>27</v>
      </c>
      <c r="K1020">
        <v>50</v>
      </c>
    </row>
    <row r="1021" spans="1:11">
      <c r="A1021">
        <v>128</v>
      </c>
      <c r="B1021" s="1">
        <v>44916</v>
      </c>
      <c r="C1021" s="2">
        <v>0.93194444444444446</v>
      </c>
      <c r="D1021">
        <v>77</v>
      </c>
      <c r="E1021" t="s">
        <v>11</v>
      </c>
      <c r="F1021">
        <v>25</v>
      </c>
      <c r="G1021" t="s">
        <v>13</v>
      </c>
      <c r="H1021">
        <v>1</v>
      </c>
      <c r="I1021">
        <v>500</v>
      </c>
      <c r="J1021">
        <v>180</v>
      </c>
      <c r="K1021">
        <v>500</v>
      </c>
    </row>
    <row r="1022" spans="1:11">
      <c r="A1022">
        <v>186</v>
      </c>
      <c r="B1022" s="1">
        <v>44651</v>
      </c>
      <c r="C1022" s="2">
        <v>0.76041666666666663</v>
      </c>
      <c r="D1022">
        <v>92</v>
      </c>
      <c r="E1022" t="s">
        <v>11</v>
      </c>
      <c r="F1022">
        <v>20</v>
      </c>
      <c r="G1022" t="s">
        <v>12</v>
      </c>
      <c r="H1022">
        <v>4</v>
      </c>
      <c r="I1022">
        <v>50</v>
      </c>
      <c r="J1022">
        <v>23.5</v>
      </c>
      <c r="K1022">
        <v>200</v>
      </c>
    </row>
    <row r="1023" spans="1:11">
      <c r="A1023">
        <v>802</v>
      </c>
      <c r="B1023" s="1">
        <v>45191</v>
      </c>
      <c r="C1023" s="2">
        <v>0.75</v>
      </c>
      <c r="D1023">
        <v>57</v>
      </c>
      <c r="E1023" t="s">
        <v>14</v>
      </c>
      <c r="F1023">
        <v>46</v>
      </c>
      <c r="G1023" t="s">
        <v>13</v>
      </c>
      <c r="H1023">
        <v>1</v>
      </c>
      <c r="I1023">
        <v>30</v>
      </c>
      <c r="J1023">
        <v>9.9</v>
      </c>
      <c r="K1023">
        <v>30</v>
      </c>
    </row>
    <row r="1024" spans="1:11">
      <c r="A1024">
        <v>1059</v>
      </c>
      <c r="B1024" s="1">
        <v>44754</v>
      </c>
      <c r="C1024" s="2">
        <v>0.92013888888888884</v>
      </c>
      <c r="D1024">
        <v>89</v>
      </c>
      <c r="E1024" t="s">
        <v>11</v>
      </c>
      <c r="F1024">
        <v>62</v>
      </c>
      <c r="G1024" t="s">
        <v>12</v>
      </c>
      <c r="H1024">
        <v>1</v>
      </c>
      <c r="I1024">
        <v>50</v>
      </c>
      <c r="J1024">
        <v>12.5</v>
      </c>
      <c r="K1024">
        <v>50</v>
      </c>
    </row>
    <row r="1025" spans="1:11">
      <c r="A1025">
        <v>1128</v>
      </c>
      <c r="B1025" s="1">
        <v>44565</v>
      </c>
      <c r="C1025" s="2">
        <v>0.73263888888888884</v>
      </c>
      <c r="D1025">
        <v>60</v>
      </c>
      <c r="E1025" t="s">
        <v>11</v>
      </c>
      <c r="F1025">
        <v>25</v>
      </c>
      <c r="G1025" t="s">
        <v>13</v>
      </c>
      <c r="H1025">
        <v>1</v>
      </c>
      <c r="I1025">
        <v>500</v>
      </c>
      <c r="J1025">
        <v>135</v>
      </c>
      <c r="K1025">
        <v>500</v>
      </c>
    </row>
    <row r="1026" spans="1:11">
      <c r="A1026">
        <v>1186</v>
      </c>
      <c r="B1026" s="1">
        <v>45179</v>
      </c>
      <c r="C1026" s="2">
        <v>0.76666666666666672</v>
      </c>
      <c r="D1026">
        <v>5</v>
      </c>
      <c r="E1026" t="s">
        <v>11</v>
      </c>
      <c r="F1026">
        <v>20</v>
      </c>
      <c r="G1026" t="s">
        <v>12</v>
      </c>
      <c r="H1026">
        <v>4</v>
      </c>
      <c r="I1026">
        <v>50</v>
      </c>
      <c r="J1026">
        <v>18.5</v>
      </c>
      <c r="K1026">
        <v>200</v>
      </c>
    </row>
    <row r="1027" spans="1:11">
      <c r="A1027">
        <v>1802</v>
      </c>
      <c r="B1027" s="1">
        <v>44755</v>
      </c>
      <c r="C1027" s="2">
        <v>0.92847222222222225</v>
      </c>
      <c r="D1027">
        <v>33</v>
      </c>
      <c r="E1027" t="s">
        <v>14</v>
      </c>
      <c r="F1027">
        <v>46</v>
      </c>
      <c r="G1027" t="s">
        <v>13</v>
      </c>
      <c r="H1027">
        <v>1</v>
      </c>
      <c r="I1027">
        <v>30</v>
      </c>
      <c r="J1027">
        <v>9.6</v>
      </c>
      <c r="K1027">
        <v>30</v>
      </c>
    </row>
    <row r="1028" spans="1:11">
      <c r="A1028">
        <v>75</v>
      </c>
      <c r="B1028" s="1">
        <v>45061</v>
      </c>
      <c r="C1028" s="2">
        <v>0.86875000000000002</v>
      </c>
      <c r="D1028">
        <v>110</v>
      </c>
      <c r="E1028" t="s">
        <v>11</v>
      </c>
      <c r="F1028">
        <v>61</v>
      </c>
      <c r="G1028" t="s">
        <v>13</v>
      </c>
      <c r="H1028">
        <v>4</v>
      </c>
      <c r="I1028">
        <v>50</v>
      </c>
      <c r="J1028">
        <v>13.5</v>
      </c>
      <c r="K1028">
        <v>200</v>
      </c>
    </row>
    <row r="1029" spans="1:11">
      <c r="A1029">
        <v>447</v>
      </c>
      <c r="B1029" s="1">
        <v>45034</v>
      </c>
      <c r="C1029" s="2">
        <v>0.74791666666666667</v>
      </c>
      <c r="D1029">
        <v>37</v>
      </c>
      <c r="E1029" t="s">
        <v>11</v>
      </c>
      <c r="F1029">
        <v>22</v>
      </c>
      <c r="G1029" t="s">
        <v>13</v>
      </c>
      <c r="H1029">
        <v>4</v>
      </c>
      <c r="I1029">
        <v>500</v>
      </c>
      <c r="J1029">
        <v>245</v>
      </c>
      <c r="K1029">
        <v>2000</v>
      </c>
    </row>
    <row r="1030" spans="1:11">
      <c r="A1030">
        <v>528</v>
      </c>
      <c r="B1030" s="1">
        <v>45271</v>
      </c>
      <c r="C1030" s="2">
        <v>0.91041666666666665</v>
      </c>
      <c r="D1030">
        <v>102</v>
      </c>
      <c r="E1030" t="s">
        <v>14</v>
      </c>
      <c r="F1030">
        <v>36</v>
      </c>
      <c r="G1030" t="s">
        <v>12</v>
      </c>
      <c r="H1030">
        <v>2</v>
      </c>
      <c r="I1030">
        <v>30</v>
      </c>
      <c r="J1030">
        <v>9.6</v>
      </c>
      <c r="K1030">
        <v>60</v>
      </c>
    </row>
    <row r="1031" spans="1:11">
      <c r="A1031">
        <v>1075</v>
      </c>
      <c r="B1031" s="1">
        <v>44818</v>
      </c>
      <c r="C1031" s="2">
        <v>0.80347222222222225</v>
      </c>
      <c r="D1031">
        <v>92</v>
      </c>
      <c r="E1031" t="s">
        <v>11</v>
      </c>
      <c r="F1031">
        <v>61</v>
      </c>
      <c r="G1031" t="s">
        <v>13</v>
      </c>
      <c r="H1031">
        <v>4</v>
      </c>
      <c r="I1031">
        <v>50</v>
      </c>
      <c r="J1031">
        <v>21.5</v>
      </c>
      <c r="K1031">
        <v>200</v>
      </c>
    </row>
    <row r="1032" spans="1:11">
      <c r="A1032">
        <v>1447</v>
      </c>
      <c r="B1032" s="1">
        <v>44711</v>
      </c>
      <c r="C1032" s="2">
        <v>0.93125000000000002</v>
      </c>
      <c r="D1032">
        <v>137</v>
      </c>
      <c r="E1032" t="s">
        <v>11</v>
      </c>
      <c r="F1032">
        <v>22</v>
      </c>
      <c r="G1032" t="s">
        <v>13</v>
      </c>
      <c r="H1032">
        <v>4</v>
      </c>
      <c r="I1032">
        <v>500</v>
      </c>
      <c r="J1032">
        <v>155</v>
      </c>
      <c r="K1032">
        <v>2000</v>
      </c>
    </row>
    <row r="1033" spans="1:11">
      <c r="A1033">
        <v>1528</v>
      </c>
      <c r="B1033" s="1">
        <v>45113</v>
      </c>
      <c r="C1033" s="2">
        <v>0.82222222222222219</v>
      </c>
      <c r="D1033">
        <v>126</v>
      </c>
      <c r="E1033" t="s">
        <v>14</v>
      </c>
      <c r="F1033">
        <v>36</v>
      </c>
      <c r="G1033" t="s">
        <v>12</v>
      </c>
      <c r="H1033">
        <v>2</v>
      </c>
      <c r="I1033">
        <v>30</v>
      </c>
      <c r="J1033">
        <v>12.3</v>
      </c>
      <c r="K1033">
        <v>60</v>
      </c>
    </row>
    <row r="1034" spans="1:11">
      <c r="A1034">
        <v>759</v>
      </c>
      <c r="B1034" s="1">
        <v>45069</v>
      </c>
      <c r="C1034" s="2">
        <v>0.88958333333333328</v>
      </c>
      <c r="D1034">
        <v>75</v>
      </c>
      <c r="E1034" t="s">
        <v>11</v>
      </c>
      <c r="F1034">
        <v>49</v>
      </c>
      <c r="G1034" t="s">
        <v>15</v>
      </c>
      <c r="H1034">
        <v>2</v>
      </c>
      <c r="I1034">
        <v>50</v>
      </c>
      <c r="J1034">
        <v>21.5</v>
      </c>
      <c r="K1034">
        <v>100</v>
      </c>
    </row>
    <row r="1035" spans="1:11">
      <c r="A1035">
        <v>870</v>
      </c>
      <c r="B1035" s="1">
        <v>44662</v>
      </c>
      <c r="C1035" s="2">
        <v>0.82013888888888886</v>
      </c>
      <c r="D1035">
        <v>16</v>
      </c>
      <c r="E1035" t="s">
        <v>14</v>
      </c>
      <c r="F1035">
        <v>46</v>
      </c>
      <c r="G1035" t="s">
        <v>15</v>
      </c>
      <c r="H1035">
        <v>4</v>
      </c>
      <c r="I1035">
        <v>30</v>
      </c>
      <c r="J1035">
        <v>11.1</v>
      </c>
      <c r="K1035">
        <v>120</v>
      </c>
    </row>
    <row r="1036" spans="1:11">
      <c r="A1036">
        <v>1759</v>
      </c>
      <c r="B1036" s="1">
        <v>44868</v>
      </c>
      <c r="C1036" s="2">
        <v>0.7270833333333333</v>
      </c>
      <c r="D1036">
        <v>102</v>
      </c>
      <c r="E1036" t="s">
        <v>11</v>
      </c>
      <c r="F1036">
        <v>49</v>
      </c>
      <c r="G1036" t="s">
        <v>15</v>
      </c>
      <c r="H1036">
        <v>2</v>
      </c>
      <c r="I1036">
        <v>50</v>
      </c>
      <c r="J1036">
        <v>23</v>
      </c>
      <c r="K1036">
        <v>100</v>
      </c>
    </row>
    <row r="1037" spans="1:11">
      <c r="A1037">
        <v>1870</v>
      </c>
      <c r="B1037" s="1">
        <v>45239</v>
      </c>
      <c r="C1037" s="2">
        <v>0.85972222222222228</v>
      </c>
      <c r="D1037">
        <v>119</v>
      </c>
      <c r="E1037" t="s">
        <v>14</v>
      </c>
      <c r="F1037">
        <v>46</v>
      </c>
      <c r="G1037" t="s">
        <v>15</v>
      </c>
      <c r="H1037">
        <v>4</v>
      </c>
      <c r="I1037">
        <v>30</v>
      </c>
      <c r="J1037">
        <v>10.5</v>
      </c>
      <c r="K1037">
        <v>120</v>
      </c>
    </row>
    <row r="1038" spans="1:11">
      <c r="A1038">
        <v>77</v>
      </c>
      <c r="B1038" s="1">
        <v>44658</v>
      </c>
      <c r="C1038" s="2">
        <v>0.86458333333333337</v>
      </c>
      <c r="D1038">
        <v>44</v>
      </c>
      <c r="E1038" t="s">
        <v>14</v>
      </c>
      <c r="F1038">
        <v>47</v>
      </c>
      <c r="G1038" t="s">
        <v>12</v>
      </c>
      <c r="H1038">
        <v>2</v>
      </c>
      <c r="I1038">
        <v>50</v>
      </c>
      <c r="J1038">
        <v>24</v>
      </c>
      <c r="K1038">
        <v>100</v>
      </c>
    </row>
    <row r="1039" spans="1:11">
      <c r="A1039">
        <v>381</v>
      </c>
      <c r="B1039" s="1">
        <v>44591</v>
      </c>
      <c r="C1039" s="2">
        <v>0.79513888888888884</v>
      </c>
      <c r="D1039">
        <v>63</v>
      </c>
      <c r="E1039" t="s">
        <v>14</v>
      </c>
      <c r="F1039">
        <v>44</v>
      </c>
      <c r="G1039" t="s">
        <v>12</v>
      </c>
      <c r="H1039">
        <v>4</v>
      </c>
      <c r="I1039">
        <v>25</v>
      </c>
      <c r="J1039">
        <v>12.25</v>
      </c>
      <c r="K1039">
        <v>100</v>
      </c>
    </row>
    <row r="1040" spans="1:11">
      <c r="A1040">
        <v>439</v>
      </c>
      <c r="B1040" s="1">
        <v>44687</v>
      </c>
      <c r="C1040" s="2">
        <v>0.90694444444444444</v>
      </c>
      <c r="D1040">
        <v>42</v>
      </c>
      <c r="E1040" t="s">
        <v>11</v>
      </c>
      <c r="F1040">
        <v>50</v>
      </c>
      <c r="G1040" t="s">
        <v>12</v>
      </c>
      <c r="H1040">
        <v>3</v>
      </c>
      <c r="I1040">
        <v>25</v>
      </c>
      <c r="J1040">
        <v>11.75</v>
      </c>
      <c r="K1040">
        <v>75</v>
      </c>
    </row>
    <row r="1041" spans="1:11">
      <c r="A1041">
        <v>792</v>
      </c>
      <c r="B1041" s="1">
        <v>44930</v>
      </c>
      <c r="C1041" s="2">
        <v>0.95138888888888884</v>
      </c>
      <c r="D1041">
        <v>4</v>
      </c>
      <c r="E1041" t="s">
        <v>14</v>
      </c>
      <c r="F1041">
        <v>20</v>
      </c>
      <c r="G1041" t="s">
        <v>13</v>
      </c>
      <c r="H1041">
        <v>1</v>
      </c>
      <c r="I1041">
        <v>50</v>
      </c>
      <c r="J1041">
        <v>26.5</v>
      </c>
      <c r="K1041">
        <v>50</v>
      </c>
    </row>
    <row r="1042" spans="1:11">
      <c r="A1042">
        <v>1077</v>
      </c>
      <c r="B1042" s="1">
        <v>44911</v>
      </c>
      <c r="C1042" s="2">
        <v>0.78125</v>
      </c>
      <c r="D1042">
        <v>141</v>
      </c>
      <c r="E1042" t="s">
        <v>14</v>
      </c>
      <c r="F1042">
        <v>47</v>
      </c>
      <c r="G1042" t="s">
        <v>12</v>
      </c>
      <c r="H1042">
        <v>2</v>
      </c>
      <c r="I1042">
        <v>50</v>
      </c>
      <c r="J1042">
        <v>15</v>
      </c>
      <c r="K1042">
        <v>100</v>
      </c>
    </row>
    <row r="1043" spans="1:11">
      <c r="A1043">
        <v>1381</v>
      </c>
      <c r="B1043" s="1">
        <v>44860</v>
      </c>
      <c r="C1043" s="2">
        <v>0.72638888888888886</v>
      </c>
      <c r="D1043">
        <v>48</v>
      </c>
      <c r="E1043" t="s">
        <v>14</v>
      </c>
      <c r="F1043">
        <v>44</v>
      </c>
      <c r="G1043" t="s">
        <v>12</v>
      </c>
      <c r="H1043">
        <v>4</v>
      </c>
      <c r="I1043">
        <v>25</v>
      </c>
      <c r="J1043">
        <v>7.75</v>
      </c>
      <c r="K1043">
        <v>100</v>
      </c>
    </row>
    <row r="1044" spans="1:11">
      <c r="A1044">
        <v>1439</v>
      </c>
      <c r="B1044" s="1">
        <v>45248</v>
      </c>
      <c r="C1044" s="2">
        <v>0.87013888888888891</v>
      </c>
      <c r="D1044">
        <v>76</v>
      </c>
      <c r="E1044" t="s">
        <v>11</v>
      </c>
      <c r="F1044">
        <v>50</v>
      </c>
      <c r="G1044" t="s">
        <v>12</v>
      </c>
      <c r="H1044">
        <v>3</v>
      </c>
      <c r="I1044">
        <v>25</v>
      </c>
      <c r="J1044">
        <v>7.25</v>
      </c>
      <c r="K1044">
        <v>75</v>
      </c>
    </row>
    <row r="1045" spans="1:11">
      <c r="A1045">
        <v>1792</v>
      </c>
      <c r="B1045" s="1">
        <v>45164</v>
      </c>
      <c r="C1045" s="2">
        <v>0.73402777777777772</v>
      </c>
      <c r="D1045">
        <v>88</v>
      </c>
      <c r="E1045" t="s">
        <v>14</v>
      </c>
      <c r="F1045">
        <v>20</v>
      </c>
      <c r="G1045" t="s">
        <v>13</v>
      </c>
      <c r="H1045">
        <v>1</v>
      </c>
      <c r="I1045">
        <v>50</v>
      </c>
      <c r="J1045">
        <v>26.5</v>
      </c>
      <c r="K1045">
        <v>50</v>
      </c>
    </row>
    <row r="1046" spans="1:11">
      <c r="A1046">
        <v>176</v>
      </c>
      <c r="B1046" s="1">
        <v>45072</v>
      </c>
      <c r="C1046" s="2">
        <v>0.76041666666666663</v>
      </c>
      <c r="D1046">
        <v>53</v>
      </c>
      <c r="E1046" t="s">
        <v>14</v>
      </c>
      <c r="F1046">
        <v>43</v>
      </c>
      <c r="G1046" t="s">
        <v>13</v>
      </c>
      <c r="H1046">
        <v>2</v>
      </c>
      <c r="I1046">
        <v>50</v>
      </c>
      <c r="J1046">
        <v>25.5</v>
      </c>
      <c r="K1046">
        <v>100</v>
      </c>
    </row>
    <row r="1047" spans="1:11">
      <c r="A1047">
        <v>216</v>
      </c>
      <c r="B1047" s="1">
        <v>44869</v>
      </c>
      <c r="C1047" s="2">
        <v>0.72777777777777775</v>
      </c>
      <c r="D1047">
        <v>141</v>
      </c>
      <c r="E1047" t="s">
        <v>11</v>
      </c>
      <c r="F1047">
        <v>62</v>
      </c>
      <c r="G1047" t="s">
        <v>15</v>
      </c>
      <c r="H1047">
        <v>2</v>
      </c>
      <c r="I1047">
        <v>50</v>
      </c>
      <c r="J1047">
        <v>26.5</v>
      </c>
      <c r="K1047">
        <v>100</v>
      </c>
    </row>
    <row r="1048" spans="1:11">
      <c r="A1048">
        <v>1176</v>
      </c>
      <c r="B1048" s="1">
        <v>44930</v>
      </c>
      <c r="C1048" s="2">
        <v>0.85624999999999996</v>
      </c>
      <c r="D1048">
        <v>34</v>
      </c>
      <c r="E1048" t="s">
        <v>14</v>
      </c>
      <c r="F1048">
        <v>43</v>
      </c>
      <c r="G1048" t="s">
        <v>13</v>
      </c>
      <c r="H1048">
        <v>2</v>
      </c>
      <c r="I1048">
        <v>50</v>
      </c>
      <c r="J1048">
        <v>21</v>
      </c>
      <c r="K1048">
        <v>100</v>
      </c>
    </row>
    <row r="1049" spans="1:11">
      <c r="A1049">
        <v>1216</v>
      </c>
      <c r="B1049" s="1">
        <v>44986</v>
      </c>
      <c r="C1049" s="2">
        <v>0.95347222222222228</v>
      </c>
      <c r="D1049">
        <v>23</v>
      </c>
      <c r="E1049" t="s">
        <v>11</v>
      </c>
      <c r="F1049">
        <v>62</v>
      </c>
      <c r="G1049" t="s">
        <v>15</v>
      </c>
      <c r="H1049">
        <v>2</v>
      </c>
      <c r="I1049">
        <v>50</v>
      </c>
      <c r="J1049">
        <v>13</v>
      </c>
      <c r="K1049">
        <v>100</v>
      </c>
    </row>
    <row r="1050" spans="1:11">
      <c r="A1050">
        <v>772</v>
      </c>
      <c r="B1050" s="1">
        <v>45030</v>
      </c>
      <c r="C1050" s="2">
        <v>0.90763888888888888</v>
      </c>
      <c r="D1050">
        <v>25</v>
      </c>
      <c r="E1050" t="s">
        <v>11</v>
      </c>
      <c r="F1050">
        <v>26</v>
      </c>
      <c r="G1050" t="s">
        <v>15</v>
      </c>
      <c r="H1050">
        <v>1</v>
      </c>
      <c r="I1050">
        <v>30</v>
      </c>
      <c r="J1050">
        <v>16.2</v>
      </c>
      <c r="K1050">
        <v>30</v>
      </c>
    </row>
    <row r="1051" spans="1:11">
      <c r="A1051">
        <v>1772</v>
      </c>
      <c r="B1051" s="1">
        <v>44595</v>
      </c>
      <c r="C1051" s="2">
        <v>0.79583333333333328</v>
      </c>
      <c r="D1051">
        <v>59</v>
      </c>
      <c r="E1051" t="s">
        <v>11</v>
      </c>
      <c r="F1051">
        <v>26</v>
      </c>
      <c r="G1051" t="s">
        <v>15</v>
      </c>
      <c r="H1051">
        <v>1</v>
      </c>
      <c r="I1051">
        <v>30</v>
      </c>
      <c r="J1051">
        <v>13.2</v>
      </c>
      <c r="K1051">
        <v>30</v>
      </c>
    </row>
    <row r="1052" spans="1:11">
      <c r="A1052">
        <v>53</v>
      </c>
      <c r="B1052" s="1">
        <v>44567</v>
      </c>
      <c r="C1052" s="2">
        <v>0.74791666666666667</v>
      </c>
      <c r="D1052">
        <v>32</v>
      </c>
      <c r="E1052" t="s">
        <v>11</v>
      </c>
      <c r="F1052">
        <v>34</v>
      </c>
      <c r="G1052" t="s">
        <v>15</v>
      </c>
      <c r="H1052">
        <v>2</v>
      </c>
      <c r="I1052">
        <v>50</v>
      </c>
      <c r="J1052">
        <v>22</v>
      </c>
      <c r="K1052">
        <v>100</v>
      </c>
    </row>
    <row r="1053" spans="1:11">
      <c r="A1053">
        <v>1053</v>
      </c>
      <c r="B1053" s="1">
        <v>44967</v>
      </c>
      <c r="C1053" s="2">
        <v>0.88402777777777775</v>
      </c>
      <c r="D1053">
        <v>40</v>
      </c>
      <c r="E1053" t="s">
        <v>11</v>
      </c>
      <c r="F1053">
        <v>34</v>
      </c>
      <c r="G1053" t="s">
        <v>15</v>
      </c>
      <c r="H1053">
        <v>2</v>
      </c>
      <c r="I1053">
        <v>50</v>
      </c>
      <c r="J1053">
        <v>20.5</v>
      </c>
      <c r="K1053">
        <v>100</v>
      </c>
    </row>
    <row r="1054" spans="1:11">
      <c r="A1054">
        <v>43</v>
      </c>
      <c r="B1054" s="1">
        <v>45003</v>
      </c>
      <c r="C1054" s="2">
        <v>0.90416666666666667</v>
      </c>
      <c r="D1054">
        <v>118</v>
      </c>
      <c r="E1054" t="s">
        <v>14</v>
      </c>
      <c r="F1054">
        <v>48</v>
      </c>
      <c r="G1054" t="s">
        <v>12</v>
      </c>
      <c r="H1054">
        <v>1</v>
      </c>
      <c r="I1054">
        <v>300</v>
      </c>
      <c r="J1054">
        <v>111</v>
      </c>
      <c r="K1054">
        <v>300</v>
      </c>
    </row>
    <row r="1055" spans="1:11">
      <c r="A1055">
        <v>71</v>
      </c>
      <c r="B1055" s="1">
        <v>44973</v>
      </c>
      <c r="C1055" s="2">
        <v>0.7993055555555556</v>
      </c>
      <c r="D1055">
        <v>32</v>
      </c>
      <c r="E1055" t="s">
        <v>14</v>
      </c>
      <c r="F1055">
        <v>51</v>
      </c>
      <c r="G1055" t="s">
        <v>13</v>
      </c>
      <c r="H1055">
        <v>4</v>
      </c>
      <c r="I1055">
        <v>25</v>
      </c>
      <c r="J1055">
        <v>11.5</v>
      </c>
      <c r="K1055">
        <v>100</v>
      </c>
    </row>
    <row r="1056" spans="1:11">
      <c r="A1056">
        <v>93</v>
      </c>
      <c r="B1056" s="1">
        <v>44586</v>
      </c>
      <c r="C1056" s="2">
        <v>0.86944444444444446</v>
      </c>
      <c r="D1056">
        <v>148</v>
      </c>
      <c r="E1056" t="s">
        <v>14</v>
      </c>
      <c r="F1056">
        <v>35</v>
      </c>
      <c r="G1056" t="s">
        <v>13</v>
      </c>
      <c r="H1056">
        <v>4</v>
      </c>
      <c r="I1056">
        <v>500</v>
      </c>
      <c r="J1056">
        <v>140</v>
      </c>
      <c r="K1056">
        <v>2000</v>
      </c>
    </row>
    <row r="1057" spans="1:11">
      <c r="A1057">
        <v>302</v>
      </c>
      <c r="B1057" s="1">
        <v>44966</v>
      </c>
      <c r="C1057" s="2">
        <v>0.74375000000000002</v>
      </c>
      <c r="D1057">
        <v>26</v>
      </c>
      <c r="E1057" t="s">
        <v>11</v>
      </c>
      <c r="F1057">
        <v>57</v>
      </c>
      <c r="G1057" t="s">
        <v>13</v>
      </c>
      <c r="H1057">
        <v>2</v>
      </c>
      <c r="I1057">
        <v>300</v>
      </c>
      <c r="J1057">
        <v>135</v>
      </c>
      <c r="K1057">
        <v>600</v>
      </c>
    </row>
    <row r="1058" spans="1:11">
      <c r="A1058">
        <v>551</v>
      </c>
      <c r="B1058" s="1">
        <v>45006</v>
      </c>
      <c r="C1058" s="2">
        <v>0.94791666666666663</v>
      </c>
      <c r="D1058">
        <v>99</v>
      </c>
      <c r="E1058" t="s">
        <v>11</v>
      </c>
      <c r="F1058">
        <v>45</v>
      </c>
      <c r="G1058" t="s">
        <v>15</v>
      </c>
      <c r="H1058">
        <v>3</v>
      </c>
      <c r="I1058">
        <v>300</v>
      </c>
      <c r="J1058">
        <v>141</v>
      </c>
      <c r="K1058">
        <v>900</v>
      </c>
    </row>
    <row r="1059" spans="1:11">
      <c r="A1059">
        <v>681</v>
      </c>
      <c r="B1059" s="1">
        <v>45142</v>
      </c>
      <c r="C1059" s="2">
        <v>0.92500000000000004</v>
      </c>
      <c r="D1059">
        <v>24</v>
      </c>
      <c r="E1059" t="s">
        <v>14</v>
      </c>
      <c r="F1059">
        <v>43</v>
      </c>
      <c r="G1059" t="s">
        <v>15</v>
      </c>
      <c r="H1059">
        <v>2</v>
      </c>
      <c r="I1059">
        <v>30</v>
      </c>
      <c r="J1059">
        <v>8.4</v>
      </c>
      <c r="K1059">
        <v>60</v>
      </c>
    </row>
    <row r="1060" spans="1:11">
      <c r="A1060">
        <v>722</v>
      </c>
      <c r="B1060" s="1">
        <v>44981</v>
      </c>
      <c r="C1060" s="2">
        <v>0.77430555555555558</v>
      </c>
      <c r="D1060">
        <v>25</v>
      </c>
      <c r="E1060" t="s">
        <v>11</v>
      </c>
      <c r="F1060">
        <v>20</v>
      </c>
      <c r="G1060" t="s">
        <v>13</v>
      </c>
      <c r="H1060">
        <v>3</v>
      </c>
      <c r="I1060">
        <v>300</v>
      </c>
      <c r="J1060">
        <v>162</v>
      </c>
      <c r="K1060">
        <v>900</v>
      </c>
    </row>
    <row r="1061" spans="1:11">
      <c r="A1061">
        <v>728</v>
      </c>
      <c r="B1061" s="1">
        <v>44714</v>
      </c>
      <c r="C1061" s="2">
        <v>0.81597222222222221</v>
      </c>
      <c r="D1061">
        <v>78</v>
      </c>
      <c r="E1061" t="s">
        <v>11</v>
      </c>
      <c r="F1061">
        <v>51</v>
      </c>
      <c r="G1061" t="s">
        <v>15</v>
      </c>
      <c r="H1061">
        <v>3</v>
      </c>
      <c r="I1061">
        <v>50</v>
      </c>
      <c r="J1061">
        <v>18</v>
      </c>
      <c r="K1061">
        <v>150</v>
      </c>
    </row>
    <row r="1062" spans="1:11">
      <c r="A1062">
        <v>829</v>
      </c>
      <c r="B1062" s="1">
        <v>44644</v>
      </c>
      <c r="C1062" s="2">
        <v>0.89652777777777781</v>
      </c>
      <c r="D1062">
        <v>52</v>
      </c>
      <c r="E1062" t="s">
        <v>11</v>
      </c>
      <c r="F1062">
        <v>61</v>
      </c>
      <c r="G1062" t="s">
        <v>13</v>
      </c>
      <c r="H1062">
        <v>3</v>
      </c>
      <c r="I1062">
        <v>30</v>
      </c>
      <c r="J1062">
        <v>9.6</v>
      </c>
      <c r="K1062">
        <v>90</v>
      </c>
    </row>
    <row r="1063" spans="1:11">
      <c r="A1063">
        <v>955</v>
      </c>
      <c r="B1063" s="1">
        <v>44577</v>
      </c>
      <c r="C1063" s="2">
        <v>0.74791666666666667</v>
      </c>
      <c r="D1063">
        <v>16</v>
      </c>
      <c r="E1063" t="s">
        <v>11</v>
      </c>
      <c r="F1063">
        <v>58</v>
      </c>
      <c r="G1063" t="s">
        <v>12</v>
      </c>
      <c r="H1063">
        <v>1</v>
      </c>
      <c r="I1063">
        <v>25</v>
      </c>
      <c r="J1063">
        <v>12.5</v>
      </c>
      <c r="K1063">
        <v>25</v>
      </c>
    </row>
    <row r="1064" spans="1:11">
      <c r="A1064">
        <v>1043</v>
      </c>
      <c r="B1064" s="1">
        <v>45260</v>
      </c>
      <c r="C1064" s="2">
        <v>0.75694444444444442</v>
      </c>
      <c r="D1064">
        <v>20</v>
      </c>
      <c r="E1064" t="s">
        <v>14</v>
      </c>
      <c r="F1064">
        <v>48</v>
      </c>
      <c r="G1064" t="s">
        <v>12</v>
      </c>
      <c r="H1064">
        <v>1</v>
      </c>
      <c r="I1064">
        <v>300</v>
      </c>
      <c r="J1064">
        <v>87</v>
      </c>
      <c r="K1064">
        <v>300</v>
      </c>
    </row>
    <row r="1065" spans="1:11">
      <c r="A1065">
        <v>1071</v>
      </c>
      <c r="B1065" s="1">
        <v>45190</v>
      </c>
      <c r="C1065" s="2">
        <v>0.73472222222222228</v>
      </c>
      <c r="D1065">
        <v>155</v>
      </c>
      <c r="E1065" t="s">
        <v>14</v>
      </c>
      <c r="F1065">
        <v>51</v>
      </c>
      <c r="G1065" t="s">
        <v>13</v>
      </c>
      <c r="H1065">
        <v>4</v>
      </c>
      <c r="I1065">
        <v>25</v>
      </c>
      <c r="J1065">
        <v>6.75</v>
      </c>
      <c r="K1065">
        <v>100</v>
      </c>
    </row>
    <row r="1066" spans="1:11">
      <c r="A1066">
        <v>1093</v>
      </c>
      <c r="B1066" s="1">
        <v>45236</v>
      </c>
      <c r="C1066" s="2">
        <v>0.72638888888888886</v>
      </c>
      <c r="D1066">
        <v>87</v>
      </c>
      <c r="E1066" t="s">
        <v>14</v>
      </c>
      <c r="F1066">
        <v>35</v>
      </c>
      <c r="G1066" t="s">
        <v>13</v>
      </c>
      <c r="H1066">
        <v>4</v>
      </c>
      <c r="I1066">
        <v>500</v>
      </c>
      <c r="J1066">
        <v>270</v>
      </c>
      <c r="K1066">
        <v>2000</v>
      </c>
    </row>
    <row r="1067" spans="1:11">
      <c r="A1067">
        <v>1302</v>
      </c>
      <c r="B1067" s="1">
        <v>44916</v>
      </c>
      <c r="C1067" s="2">
        <v>0.74652777777777779</v>
      </c>
      <c r="D1067">
        <v>20</v>
      </c>
      <c r="E1067" t="s">
        <v>11</v>
      </c>
      <c r="F1067">
        <v>57</v>
      </c>
      <c r="G1067" t="s">
        <v>13</v>
      </c>
      <c r="H1067">
        <v>2</v>
      </c>
      <c r="I1067">
        <v>300</v>
      </c>
      <c r="J1067">
        <v>102</v>
      </c>
      <c r="K1067">
        <v>600</v>
      </c>
    </row>
    <row r="1068" spans="1:11">
      <c r="A1068">
        <v>1551</v>
      </c>
      <c r="B1068" s="1">
        <v>45242</v>
      </c>
      <c r="C1068" s="2">
        <v>0.94166666666666665</v>
      </c>
      <c r="D1068">
        <v>84</v>
      </c>
      <c r="E1068" t="s">
        <v>11</v>
      </c>
      <c r="F1068">
        <v>45</v>
      </c>
      <c r="G1068" t="s">
        <v>15</v>
      </c>
      <c r="H1068">
        <v>3</v>
      </c>
      <c r="I1068">
        <v>300</v>
      </c>
      <c r="J1068">
        <v>81</v>
      </c>
      <c r="K1068">
        <v>900</v>
      </c>
    </row>
    <row r="1069" spans="1:11">
      <c r="A1069">
        <v>1681</v>
      </c>
      <c r="B1069" s="1">
        <v>44874</v>
      </c>
      <c r="C1069" s="2">
        <v>0.81388888888888888</v>
      </c>
      <c r="D1069">
        <v>53</v>
      </c>
      <c r="E1069" t="s">
        <v>14</v>
      </c>
      <c r="F1069">
        <v>43</v>
      </c>
      <c r="G1069" t="s">
        <v>15</v>
      </c>
      <c r="H1069">
        <v>2</v>
      </c>
      <c r="I1069">
        <v>30</v>
      </c>
      <c r="J1069">
        <v>11.1</v>
      </c>
      <c r="K1069">
        <v>60</v>
      </c>
    </row>
    <row r="1070" spans="1:11">
      <c r="A1070">
        <v>1722</v>
      </c>
      <c r="B1070" s="1">
        <v>44591</v>
      </c>
      <c r="C1070" s="2">
        <v>0.85972222222222228</v>
      </c>
      <c r="D1070">
        <v>22</v>
      </c>
      <c r="E1070" t="s">
        <v>11</v>
      </c>
      <c r="F1070">
        <v>20</v>
      </c>
      <c r="G1070" t="s">
        <v>13</v>
      </c>
      <c r="H1070">
        <v>3</v>
      </c>
      <c r="I1070">
        <v>300</v>
      </c>
      <c r="J1070">
        <v>159</v>
      </c>
      <c r="K1070">
        <v>900</v>
      </c>
    </row>
    <row r="1071" spans="1:11">
      <c r="A1071">
        <v>1728</v>
      </c>
      <c r="B1071" s="1">
        <v>45069</v>
      </c>
      <c r="C1071" s="2">
        <v>0.9375</v>
      </c>
      <c r="D1071">
        <v>77</v>
      </c>
      <c r="E1071" t="s">
        <v>11</v>
      </c>
      <c r="F1071">
        <v>51</v>
      </c>
      <c r="G1071" t="s">
        <v>15</v>
      </c>
      <c r="H1071">
        <v>3</v>
      </c>
      <c r="I1071">
        <v>50</v>
      </c>
      <c r="J1071">
        <v>25</v>
      </c>
      <c r="K1071">
        <v>150</v>
      </c>
    </row>
    <row r="1072" spans="1:11">
      <c r="A1072">
        <v>1829</v>
      </c>
      <c r="B1072" s="1">
        <v>44711</v>
      </c>
      <c r="C1072" s="2">
        <v>0.94236111111111109</v>
      </c>
      <c r="D1072">
        <v>58</v>
      </c>
      <c r="E1072" t="s">
        <v>11</v>
      </c>
      <c r="F1072">
        <v>61</v>
      </c>
      <c r="G1072" t="s">
        <v>13</v>
      </c>
      <c r="H1072">
        <v>3</v>
      </c>
      <c r="I1072">
        <v>30</v>
      </c>
      <c r="J1072">
        <v>12</v>
      </c>
      <c r="K1072">
        <v>90</v>
      </c>
    </row>
    <row r="1073" spans="1:11">
      <c r="A1073">
        <v>1955</v>
      </c>
      <c r="B1073" s="1">
        <v>44819</v>
      </c>
      <c r="C1073" s="2">
        <v>0.88263888888888886</v>
      </c>
      <c r="D1073">
        <v>134</v>
      </c>
      <c r="E1073" t="s">
        <v>11</v>
      </c>
      <c r="F1073">
        <v>58</v>
      </c>
      <c r="G1073" t="s">
        <v>12</v>
      </c>
      <c r="H1073">
        <v>1</v>
      </c>
      <c r="I1073">
        <v>25</v>
      </c>
      <c r="J1073">
        <v>6.5</v>
      </c>
      <c r="K1073">
        <v>25</v>
      </c>
    </row>
    <row r="1074" spans="1:11">
      <c r="A1074">
        <v>144</v>
      </c>
      <c r="B1074" s="1">
        <v>44646</v>
      </c>
      <c r="C1074" s="2">
        <v>0.9291666666666667</v>
      </c>
      <c r="D1074">
        <v>119</v>
      </c>
      <c r="E1074" t="s">
        <v>14</v>
      </c>
      <c r="F1074">
        <v>59</v>
      </c>
      <c r="G1074" t="s">
        <v>13</v>
      </c>
      <c r="H1074">
        <v>3</v>
      </c>
      <c r="I1074">
        <v>500</v>
      </c>
      <c r="J1074">
        <v>255</v>
      </c>
      <c r="K1074">
        <v>1500</v>
      </c>
    </row>
    <row r="1075" spans="1:11">
      <c r="A1075">
        <v>474</v>
      </c>
      <c r="B1075" s="1">
        <v>44689</v>
      </c>
      <c r="C1075" s="2">
        <v>0.74791666666666667</v>
      </c>
      <c r="D1075">
        <v>145</v>
      </c>
      <c r="E1075" t="s">
        <v>14</v>
      </c>
      <c r="F1075">
        <v>26</v>
      </c>
      <c r="G1075" t="s">
        <v>12</v>
      </c>
      <c r="H1075">
        <v>3</v>
      </c>
      <c r="I1075">
        <v>500</v>
      </c>
      <c r="J1075">
        <v>210</v>
      </c>
      <c r="K1075">
        <v>1500</v>
      </c>
    </row>
    <row r="1076" spans="1:11">
      <c r="A1076">
        <v>1144</v>
      </c>
      <c r="B1076" s="1">
        <v>44925</v>
      </c>
      <c r="C1076" s="2">
        <v>0.89375000000000004</v>
      </c>
      <c r="D1076">
        <v>148</v>
      </c>
      <c r="E1076" t="s">
        <v>14</v>
      </c>
      <c r="F1076">
        <v>59</v>
      </c>
      <c r="G1076" t="s">
        <v>13</v>
      </c>
      <c r="H1076">
        <v>3</v>
      </c>
      <c r="I1076">
        <v>500</v>
      </c>
      <c r="J1076">
        <v>125</v>
      </c>
      <c r="K1076">
        <v>1500</v>
      </c>
    </row>
    <row r="1077" spans="1:11">
      <c r="A1077">
        <v>1474</v>
      </c>
      <c r="B1077" s="1">
        <v>44696</v>
      </c>
      <c r="C1077" s="2">
        <v>0.86736111111111114</v>
      </c>
      <c r="D1077">
        <v>84</v>
      </c>
      <c r="E1077" t="s">
        <v>14</v>
      </c>
      <c r="F1077">
        <v>26</v>
      </c>
      <c r="G1077" t="s">
        <v>12</v>
      </c>
      <c r="H1077">
        <v>3</v>
      </c>
      <c r="I1077">
        <v>500</v>
      </c>
      <c r="J1077">
        <v>255</v>
      </c>
      <c r="K1077">
        <v>1500</v>
      </c>
    </row>
    <row r="1078" spans="1:11">
      <c r="A1078">
        <v>603</v>
      </c>
      <c r="B1078" s="1">
        <v>44669</v>
      </c>
      <c r="C1078" s="2">
        <v>0.84513888888888888</v>
      </c>
      <c r="D1078">
        <v>95</v>
      </c>
      <c r="E1078" t="s">
        <v>14</v>
      </c>
      <c r="F1078">
        <v>40</v>
      </c>
      <c r="G1078" t="s">
        <v>12</v>
      </c>
      <c r="H1078">
        <v>3</v>
      </c>
      <c r="I1078">
        <v>30</v>
      </c>
      <c r="J1078">
        <v>14.1</v>
      </c>
      <c r="K1078">
        <v>90</v>
      </c>
    </row>
    <row r="1079" spans="1:11">
      <c r="A1079">
        <v>661</v>
      </c>
      <c r="B1079" s="1">
        <v>44778</v>
      </c>
      <c r="C1079" s="2">
        <v>0.92291666666666672</v>
      </c>
      <c r="D1079">
        <v>10</v>
      </c>
      <c r="E1079" t="s">
        <v>14</v>
      </c>
      <c r="F1079">
        <v>44</v>
      </c>
      <c r="G1079" t="s">
        <v>12</v>
      </c>
      <c r="H1079">
        <v>4</v>
      </c>
      <c r="I1079">
        <v>25</v>
      </c>
      <c r="J1079">
        <v>7</v>
      </c>
      <c r="K1079">
        <v>100</v>
      </c>
    </row>
    <row r="1080" spans="1:11">
      <c r="A1080">
        <v>1603</v>
      </c>
      <c r="B1080" s="1">
        <v>45264</v>
      </c>
      <c r="C1080" s="2">
        <v>0.86805555555555558</v>
      </c>
      <c r="D1080">
        <v>132</v>
      </c>
      <c r="E1080" t="s">
        <v>14</v>
      </c>
      <c r="F1080">
        <v>40</v>
      </c>
      <c r="G1080" t="s">
        <v>12</v>
      </c>
      <c r="H1080">
        <v>3</v>
      </c>
      <c r="I1080">
        <v>30</v>
      </c>
      <c r="J1080">
        <v>13.2</v>
      </c>
      <c r="K1080">
        <v>90</v>
      </c>
    </row>
    <row r="1081" spans="1:11">
      <c r="A1081">
        <v>1661</v>
      </c>
      <c r="B1081" s="1">
        <v>45114</v>
      </c>
      <c r="C1081" s="2">
        <v>0.8041666666666667</v>
      </c>
      <c r="D1081">
        <v>20</v>
      </c>
      <c r="E1081" t="s">
        <v>14</v>
      </c>
      <c r="F1081">
        <v>44</v>
      </c>
      <c r="G1081" t="s">
        <v>12</v>
      </c>
      <c r="H1081">
        <v>4</v>
      </c>
      <c r="I1081">
        <v>25</v>
      </c>
      <c r="J1081">
        <v>6.25</v>
      </c>
      <c r="K1081">
        <v>100</v>
      </c>
    </row>
    <row r="1082" spans="1:11">
      <c r="A1082">
        <v>143</v>
      </c>
      <c r="B1082" s="1">
        <v>44968</v>
      </c>
      <c r="C1082" s="2">
        <v>0.93055555555555558</v>
      </c>
      <c r="D1082">
        <v>118</v>
      </c>
      <c r="E1082" t="s">
        <v>14</v>
      </c>
      <c r="F1082">
        <v>45</v>
      </c>
      <c r="G1082" t="s">
        <v>12</v>
      </c>
      <c r="H1082">
        <v>1</v>
      </c>
      <c r="I1082">
        <v>50</v>
      </c>
      <c r="J1082">
        <v>27.5</v>
      </c>
      <c r="K1082">
        <v>50</v>
      </c>
    </row>
    <row r="1083" spans="1:11">
      <c r="A1083">
        <v>515</v>
      </c>
      <c r="B1083" s="1">
        <v>44605</v>
      </c>
      <c r="C1083" s="2">
        <v>0.86597222222222225</v>
      </c>
      <c r="D1083">
        <v>71</v>
      </c>
      <c r="E1083" t="s">
        <v>14</v>
      </c>
      <c r="F1083">
        <v>49</v>
      </c>
      <c r="G1083" t="s">
        <v>12</v>
      </c>
      <c r="H1083">
        <v>3</v>
      </c>
      <c r="I1083">
        <v>300</v>
      </c>
      <c r="J1083">
        <v>75</v>
      </c>
      <c r="K1083">
        <v>900</v>
      </c>
    </row>
    <row r="1084" spans="1:11">
      <c r="A1084">
        <v>1143</v>
      </c>
      <c r="B1084" s="1">
        <v>45047</v>
      </c>
      <c r="C1084" s="2">
        <v>0.88194444444444442</v>
      </c>
      <c r="D1084">
        <v>23</v>
      </c>
      <c r="E1084" t="s">
        <v>14</v>
      </c>
      <c r="F1084">
        <v>45</v>
      </c>
      <c r="G1084" t="s">
        <v>12</v>
      </c>
      <c r="H1084">
        <v>1</v>
      </c>
      <c r="I1084">
        <v>50</v>
      </c>
      <c r="J1084">
        <v>15</v>
      </c>
      <c r="K1084">
        <v>50</v>
      </c>
    </row>
    <row r="1085" spans="1:11">
      <c r="A1085">
        <v>1515</v>
      </c>
      <c r="B1085" s="1">
        <v>44961</v>
      </c>
      <c r="C1085" s="2">
        <v>0.90902777777777777</v>
      </c>
      <c r="D1085">
        <v>107</v>
      </c>
      <c r="E1085" t="s">
        <v>14</v>
      </c>
      <c r="F1085">
        <v>49</v>
      </c>
      <c r="G1085" t="s">
        <v>12</v>
      </c>
      <c r="H1085">
        <v>3</v>
      </c>
      <c r="I1085">
        <v>300</v>
      </c>
      <c r="J1085">
        <v>135</v>
      </c>
      <c r="K1085">
        <v>900</v>
      </c>
    </row>
    <row r="1086" spans="1:11">
      <c r="A1086">
        <v>304</v>
      </c>
      <c r="B1086" s="1">
        <v>45008</v>
      </c>
      <c r="C1086" s="2">
        <v>0.77430555555555558</v>
      </c>
      <c r="D1086">
        <v>59</v>
      </c>
      <c r="E1086" t="s">
        <v>14</v>
      </c>
      <c r="F1086">
        <v>37</v>
      </c>
      <c r="G1086" t="s">
        <v>15</v>
      </c>
      <c r="H1086">
        <v>2</v>
      </c>
      <c r="I1086">
        <v>30</v>
      </c>
      <c r="J1086">
        <v>15.6</v>
      </c>
      <c r="K1086">
        <v>60</v>
      </c>
    </row>
    <row r="1087" spans="1:11">
      <c r="A1087">
        <v>676</v>
      </c>
      <c r="B1087" s="1">
        <v>45117</v>
      </c>
      <c r="C1087" s="2">
        <v>0.92569444444444449</v>
      </c>
      <c r="D1087">
        <v>80</v>
      </c>
      <c r="E1087" t="s">
        <v>11</v>
      </c>
      <c r="F1087">
        <v>63</v>
      </c>
      <c r="G1087" t="s">
        <v>15</v>
      </c>
      <c r="H1087">
        <v>3</v>
      </c>
      <c r="I1087">
        <v>500</v>
      </c>
      <c r="J1087">
        <v>205</v>
      </c>
      <c r="K1087">
        <v>1500</v>
      </c>
    </row>
    <row r="1088" spans="1:11">
      <c r="A1088">
        <v>686</v>
      </c>
      <c r="B1088" s="1">
        <v>44567</v>
      </c>
      <c r="C1088" s="2">
        <v>0.71805555555555556</v>
      </c>
      <c r="D1088">
        <v>68</v>
      </c>
      <c r="E1088" t="s">
        <v>14</v>
      </c>
      <c r="F1088">
        <v>28</v>
      </c>
      <c r="G1088" t="s">
        <v>15</v>
      </c>
      <c r="H1088">
        <v>4</v>
      </c>
      <c r="I1088">
        <v>50</v>
      </c>
      <c r="J1088">
        <v>23.5</v>
      </c>
      <c r="K1088">
        <v>200</v>
      </c>
    </row>
    <row r="1089" spans="1:11">
      <c r="A1089">
        <v>698</v>
      </c>
      <c r="B1089" s="1">
        <v>44637</v>
      </c>
      <c r="C1089" s="2">
        <v>0.87222222222222223</v>
      </c>
      <c r="D1089">
        <v>116</v>
      </c>
      <c r="E1089" t="s">
        <v>14</v>
      </c>
      <c r="F1089">
        <v>64</v>
      </c>
      <c r="G1089" t="s">
        <v>15</v>
      </c>
      <c r="H1089">
        <v>1</v>
      </c>
      <c r="I1089">
        <v>300</v>
      </c>
      <c r="J1089">
        <v>123</v>
      </c>
      <c r="K1089">
        <v>300</v>
      </c>
    </row>
    <row r="1090" spans="1:11">
      <c r="A1090">
        <v>1304</v>
      </c>
      <c r="B1090" s="1">
        <v>44830</v>
      </c>
      <c r="C1090" s="2">
        <v>0.92986111111111114</v>
      </c>
      <c r="D1090">
        <v>4</v>
      </c>
      <c r="E1090" t="s">
        <v>14</v>
      </c>
      <c r="F1090">
        <v>37</v>
      </c>
      <c r="G1090" t="s">
        <v>15</v>
      </c>
      <c r="H1090">
        <v>2</v>
      </c>
      <c r="I1090">
        <v>30</v>
      </c>
      <c r="J1090">
        <v>9.3000000000000007</v>
      </c>
      <c r="K1090">
        <v>60</v>
      </c>
    </row>
    <row r="1091" spans="1:11">
      <c r="A1091">
        <v>1676</v>
      </c>
      <c r="B1091" s="1">
        <v>45190</v>
      </c>
      <c r="C1091" s="2">
        <v>0.84861111111111109</v>
      </c>
      <c r="D1091">
        <v>91</v>
      </c>
      <c r="E1091" t="s">
        <v>11</v>
      </c>
      <c r="F1091">
        <v>63</v>
      </c>
      <c r="G1091" t="s">
        <v>15</v>
      </c>
      <c r="H1091">
        <v>3</v>
      </c>
      <c r="I1091">
        <v>500</v>
      </c>
      <c r="J1091">
        <v>210</v>
      </c>
      <c r="K1091">
        <v>1500</v>
      </c>
    </row>
    <row r="1092" spans="1:11">
      <c r="A1092">
        <v>1686</v>
      </c>
      <c r="B1092" s="1">
        <v>45270</v>
      </c>
      <c r="C1092" s="2">
        <v>0.8618055555555556</v>
      </c>
      <c r="D1092">
        <v>151</v>
      </c>
      <c r="E1092" t="s">
        <v>14</v>
      </c>
      <c r="F1092">
        <v>28</v>
      </c>
      <c r="G1092" t="s">
        <v>15</v>
      </c>
      <c r="H1092">
        <v>4</v>
      </c>
      <c r="I1092">
        <v>50</v>
      </c>
      <c r="J1092">
        <v>26</v>
      </c>
      <c r="K1092">
        <v>200</v>
      </c>
    </row>
    <row r="1093" spans="1:11">
      <c r="A1093">
        <v>1698</v>
      </c>
      <c r="B1093" s="1">
        <v>44658</v>
      </c>
      <c r="C1093" s="2">
        <v>0.90972222222222221</v>
      </c>
      <c r="D1093">
        <v>146</v>
      </c>
      <c r="E1093" t="s">
        <v>14</v>
      </c>
      <c r="F1093">
        <v>64</v>
      </c>
      <c r="G1093" t="s">
        <v>15</v>
      </c>
      <c r="H1093">
        <v>1</v>
      </c>
      <c r="I1093">
        <v>300</v>
      </c>
      <c r="J1093">
        <v>105</v>
      </c>
      <c r="K1093">
        <v>300</v>
      </c>
    </row>
    <row r="1094" spans="1:11">
      <c r="A1094">
        <v>709</v>
      </c>
      <c r="B1094" s="1">
        <v>44826</v>
      </c>
      <c r="C1094" s="2">
        <v>0.93888888888888888</v>
      </c>
      <c r="D1094">
        <v>61</v>
      </c>
      <c r="E1094" t="s">
        <v>14</v>
      </c>
      <c r="F1094">
        <v>19</v>
      </c>
      <c r="G1094" t="s">
        <v>15</v>
      </c>
      <c r="H1094">
        <v>2</v>
      </c>
      <c r="I1094">
        <v>500</v>
      </c>
      <c r="J1094">
        <v>140</v>
      </c>
      <c r="K1094">
        <v>1000</v>
      </c>
    </row>
    <row r="1095" spans="1:11">
      <c r="A1095">
        <v>1709</v>
      </c>
      <c r="B1095" s="1">
        <v>45182</v>
      </c>
      <c r="C1095" s="2">
        <v>0.84861111111111109</v>
      </c>
      <c r="D1095">
        <v>97</v>
      </c>
      <c r="E1095" t="s">
        <v>14</v>
      </c>
      <c r="F1095">
        <v>19</v>
      </c>
      <c r="G1095" t="s">
        <v>15</v>
      </c>
      <c r="H1095">
        <v>2</v>
      </c>
      <c r="I1095">
        <v>500</v>
      </c>
      <c r="J1095">
        <v>185</v>
      </c>
      <c r="K1095">
        <v>1000</v>
      </c>
    </row>
    <row r="1096" spans="1:11">
      <c r="A1096">
        <v>114</v>
      </c>
      <c r="B1096" s="1">
        <v>44668</v>
      </c>
      <c r="C1096" s="2">
        <v>0.87291666666666667</v>
      </c>
      <c r="D1096">
        <v>92</v>
      </c>
      <c r="E1096" t="s">
        <v>14</v>
      </c>
      <c r="F1096">
        <v>22</v>
      </c>
      <c r="G1096" t="s">
        <v>13</v>
      </c>
      <c r="H1096">
        <v>4</v>
      </c>
      <c r="I1096">
        <v>25</v>
      </c>
      <c r="J1096">
        <v>9.25</v>
      </c>
      <c r="K1096">
        <v>100</v>
      </c>
    </row>
    <row r="1097" spans="1:11">
      <c r="A1097">
        <v>359</v>
      </c>
      <c r="B1097" s="1">
        <v>44910</v>
      </c>
      <c r="C1097" s="2">
        <v>0.90902777777777777</v>
      </c>
      <c r="D1097">
        <v>122</v>
      </c>
      <c r="E1097" t="s">
        <v>11</v>
      </c>
      <c r="F1097">
        <v>50</v>
      </c>
      <c r="G1097" t="s">
        <v>12</v>
      </c>
      <c r="H1097">
        <v>1</v>
      </c>
      <c r="I1097">
        <v>50</v>
      </c>
      <c r="J1097">
        <v>22.5</v>
      </c>
      <c r="K1097">
        <v>50</v>
      </c>
    </row>
    <row r="1098" spans="1:11">
      <c r="A1098">
        <v>1114</v>
      </c>
      <c r="B1098" s="1">
        <v>44791</v>
      </c>
      <c r="C1098" s="2">
        <v>0.92986111111111114</v>
      </c>
      <c r="D1098">
        <v>100</v>
      </c>
      <c r="E1098" t="s">
        <v>14</v>
      </c>
      <c r="F1098">
        <v>22</v>
      </c>
      <c r="G1098" t="s">
        <v>13</v>
      </c>
      <c r="H1098">
        <v>4</v>
      </c>
      <c r="I1098">
        <v>25</v>
      </c>
      <c r="J1098">
        <v>12</v>
      </c>
      <c r="K1098">
        <v>100</v>
      </c>
    </row>
    <row r="1099" spans="1:11">
      <c r="A1099">
        <v>1359</v>
      </c>
      <c r="B1099" s="1">
        <v>44698</v>
      </c>
      <c r="C1099" s="2">
        <v>0.93125000000000002</v>
      </c>
      <c r="D1099">
        <v>55</v>
      </c>
      <c r="E1099" t="s">
        <v>11</v>
      </c>
      <c r="F1099">
        <v>50</v>
      </c>
      <c r="G1099" t="s">
        <v>12</v>
      </c>
      <c r="H1099">
        <v>1</v>
      </c>
      <c r="I1099">
        <v>50</v>
      </c>
      <c r="J1099">
        <v>19</v>
      </c>
      <c r="K1099">
        <v>50</v>
      </c>
    </row>
    <row r="1100" spans="1:11">
      <c r="A1100">
        <v>773</v>
      </c>
      <c r="B1100" s="1">
        <v>44940</v>
      </c>
      <c r="C1100" s="2">
        <v>0.79861111111111116</v>
      </c>
      <c r="D1100">
        <v>3</v>
      </c>
      <c r="E1100" t="s">
        <v>11</v>
      </c>
      <c r="F1100">
        <v>25</v>
      </c>
      <c r="G1100" t="s">
        <v>15</v>
      </c>
      <c r="H1100">
        <v>4</v>
      </c>
      <c r="I1100">
        <v>500</v>
      </c>
      <c r="J1100">
        <v>175</v>
      </c>
      <c r="K1100">
        <v>2000</v>
      </c>
    </row>
    <row r="1101" spans="1:11">
      <c r="A1101">
        <v>1773</v>
      </c>
      <c r="B1101" s="1">
        <v>45272</v>
      </c>
      <c r="C1101" s="2">
        <v>0.78472222222222221</v>
      </c>
      <c r="D1101">
        <v>80</v>
      </c>
      <c r="E1101" t="s">
        <v>11</v>
      </c>
      <c r="F1101">
        <v>25</v>
      </c>
      <c r="G1101" t="s">
        <v>15</v>
      </c>
      <c r="H1101">
        <v>4</v>
      </c>
      <c r="I1101">
        <v>500</v>
      </c>
      <c r="J1101">
        <v>165</v>
      </c>
      <c r="K1101">
        <v>2000</v>
      </c>
    </row>
    <row r="1102" spans="1:11">
      <c r="A1102">
        <v>127</v>
      </c>
      <c r="B1102" s="1">
        <v>45066</v>
      </c>
      <c r="C1102" s="2">
        <v>0.81736111111111109</v>
      </c>
      <c r="D1102">
        <v>40</v>
      </c>
      <c r="E1102" t="s">
        <v>14</v>
      </c>
      <c r="F1102">
        <v>33</v>
      </c>
      <c r="G1102" t="s">
        <v>12</v>
      </c>
      <c r="H1102">
        <v>2</v>
      </c>
      <c r="I1102">
        <v>25</v>
      </c>
      <c r="J1102">
        <v>7.5</v>
      </c>
      <c r="K1102">
        <v>50</v>
      </c>
    </row>
    <row r="1103" spans="1:11">
      <c r="A1103">
        <v>213</v>
      </c>
      <c r="B1103" s="1">
        <v>45151</v>
      </c>
      <c r="C1103" s="2">
        <v>0.8666666666666667</v>
      </c>
      <c r="D1103">
        <v>113</v>
      </c>
      <c r="E1103" t="s">
        <v>11</v>
      </c>
      <c r="F1103">
        <v>27</v>
      </c>
      <c r="G1103" t="s">
        <v>13</v>
      </c>
      <c r="H1103">
        <v>3</v>
      </c>
      <c r="I1103">
        <v>500</v>
      </c>
      <c r="J1103">
        <v>275</v>
      </c>
      <c r="K1103">
        <v>1500</v>
      </c>
    </row>
    <row r="1104" spans="1:11">
      <c r="A1104">
        <v>487</v>
      </c>
      <c r="B1104" s="1">
        <v>45025</v>
      </c>
      <c r="C1104" s="2">
        <v>0.87708333333333333</v>
      </c>
      <c r="D1104">
        <v>36</v>
      </c>
      <c r="E1104" t="s">
        <v>11</v>
      </c>
      <c r="F1104">
        <v>44</v>
      </c>
      <c r="G1104" t="s">
        <v>12</v>
      </c>
      <c r="H1104">
        <v>4</v>
      </c>
      <c r="I1104">
        <v>500</v>
      </c>
      <c r="J1104">
        <v>235</v>
      </c>
      <c r="K1104">
        <v>2000</v>
      </c>
    </row>
    <row r="1105" spans="1:11">
      <c r="A1105">
        <v>495</v>
      </c>
      <c r="B1105" s="1">
        <v>44736</v>
      </c>
      <c r="C1105" s="2">
        <v>0.87916666666666665</v>
      </c>
      <c r="D1105">
        <v>131</v>
      </c>
      <c r="E1105" t="s">
        <v>11</v>
      </c>
      <c r="F1105">
        <v>24</v>
      </c>
      <c r="G1105" t="s">
        <v>13</v>
      </c>
      <c r="H1105">
        <v>2</v>
      </c>
      <c r="I1105">
        <v>30</v>
      </c>
      <c r="J1105">
        <v>11.7</v>
      </c>
      <c r="K1105">
        <v>60</v>
      </c>
    </row>
    <row r="1106" spans="1:11">
      <c r="A1106">
        <v>605</v>
      </c>
      <c r="B1106" s="1">
        <v>45218</v>
      </c>
      <c r="C1106" s="2">
        <v>0.93333333333333335</v>
      </c>
      <c r="D1106">
        <v>76</v>
      </c>
      <c r="E1106" t="s">
        <v>11</v>
      </c>
      <c r="F1106">
        <v>37</v>
      </c>
      <c r="G1106" t="s">
        <v>15</v>
      </c>
      <c r="H1106">
        <v>2</v>
      </c>
      <c r="I1106">
        <v>500</v>
      </c>
      <c r="J1106">
        <v>180</v>
      </c>
      <c r="K1106">
        <v>1000</v>
      </c>
    </row>
    <row r="1107" spans="1:11">
      <c r="A1107">
        <v>1127</v>
      </c>
      <c r="B1107" s="1">
        <v>44635</v>
      </c>
      <c r="C1107" s="2">
        <v>0.80972222222222223</v>
      </c>
      <c r="D1107">
        <v>87</v>
      </c>
      <c r="E1107" t="s">
        <v>14</v>
      </c>
      <c r="F1107">
        <v>33</v>
      </c>
      <c r="G1107" t="s">
        <v>12</v>
      </c>
      <c r="H1107">
        <v>2</v>
      </c>
      <c r="I1107">
        <v>25</v>
      </c>
      <c r="J1107">
        <v>13</v>
      </c>
      <c r="K1107">
        <v>50</v>
      </c>
    </row>
    <row r="1108" spans="1:11">
      <c r="A1108">
        <v>1213</v>
      </c>
      <c r="B1108" s="1">
        <v>45098</v>
      </c>
      <c r="C1108" s="2">
        <v>0.72430555555555554</v>
      </c>
      <c r="D1108">
        <v>41</v>
      </c>
      <c r="E1108" t="s">
        <v>11</v>
      </c>
      <c r="F1108">
        <v>27</v>
      </c>
      <c r="G1108" t="s">
        <v>13</v>
      </c>
      <c r="H1108">
        <v>3</v>
      </c>
      <c r="I1108">
        <v>500</v>
      </c>
      <c r="J1108">
        <v>185</v>
      </c>
      <c r="K1108">
        <v>1500</v>
      </c>
    </row>
    <row r="1109" spans="1:11">
      <c r="A1109">
        <v>1487</v>
      </c>
      <c r="B1109" s="1">
        <v>44958</v>
      </c>
      <c r="C1109" s="2">
        <v>0.79236111111111107</v>
      </c>
      <c r="D1109">
        <v>131</v>
      </c>
      <c r="E1109" t="s">
        <v>11</v>
      </c>
      <c r="F1109">
        <v>44</v>
      </c>
      <c r="G1109" t="s">
        <v>12</v>
      </c>
      <c r="H1109">
        <v>4</v>
      </c>
      <c r="I1109">
        <v>500</v>
      </c>
      <c r="J1109">
        <v>140</v>
      </c>
      <c r="K1109">
        <v>2000</v>
      </c>
    </row>
    <row r="1110" spans="1:11">
      <c r="A1110">
        <v>1495</v>
      </c>
      <c r="B1110" s="1">
        <v>44999</v>
      </c>
      <c r="C1110" s="2">
        <v>0.94236111111111109</v>
      </c>
      <c r="D1110">
        <v>113</v>
      </c>
      <c r="E1110" t="s">
        <v>11</v>
      </c>
      <c r="F1110">
        <v>24</v>
      </c>
      <c r="G1110" t="s">
        <v>13</v>
      </c>
      <c r="H1110">
        <v>2</v>
      </c>
      <c r="I1110">
        <v>30</v>
      </c>
      <c r="J1110">
        <v>16.2</v>
      </c>
      <c r="K1110">
        <v>60</v>
      </c>
    </row>
    <row r="1111" spans="1:11">
      <c r="A1111">
        <v>1605</v>
      </c>
      <c r="B1111" s="1">
        <v>44585</v>
      </c>
      <c r="C1111" s="2">
        <v>0.81874999999999998</v>
      </c>
      <c r="D1111">
        <v>2</v>
      </c>
      <c r="E1111" t="s">
        <v>11</v>
      </c>
      <c r="F1111">
        <v>37</v>
      </c>
      <c r="G1111" t="s">
        <v>15</v>
      </c>
      <c r="H1111">
        <v>2</v>
      </c>
      <c r="I1111">
        <v>500</v>
      </c>
      <c r="J1111">
        <v>165</v>
      </c>
      <c r="K1111">
        <v>1000</v>
      </c>
    </row>
    <row r="1112" spans="1:11">
      <c r="A1112">
        <v>105</v>
      </c>
      <c r="B1112" s="1">
        <v>45095</v>
      </c>
      <c r="C1112" s="2">
        <v>0.75347222222222221</v>
      </c>
      <c r="D1112">
        <v>82</v>
      </c>
      <c r="E1112" t="s">
        <v>14</v>
      </c>
      <c r="F1112">
        <v>22</v>
      </c>
      <c r="G1112" t="s">
        <v>15</v>
      </c>
      <c r="H1112">
        <v>1</v>
      </c>
      <c r="I1112">
        <v>500</v>
      </c>
      <c r="J1112">
        <v>230</v>
      </c>
      <c r="K1112">
        <v>500</v>
      </c>
    </row>
    <row r="1113" spans="1:11">
      <c r="A1113">
        <v>299</v>
      </c>
      <c r="B1113" s="1">
        <v>44951</v>
      </c>
      <c r="C1113" s="2">
        <v>0.8354166666666667</v>
      </c>
      <c r="D1113">
        <v>76</v>
      </c>
      <c r="E1113" t="s">
        <v>11</v>
      </c>
      <c r="F1113">
        <v>61</v>
      </c>
      <c r="G1113" t="s">
        <v>15</v>
      </c>
      <c r="H1113">
        <v>2</v>
      </c>
      <c r="I1113">
        <v>500</v>
      </c>
      <c r="J1113">
        <v>230</v>
      </c>
      <c r="K1113">
        <v>1000</v>
      </c>
    </row>
    <row r="1114" spans="1:11">
      <c r="A1114">
        <v>934</v>
      </c>
      <c r="B1114" s="1">
        <v>44887</v>
      </c>
      <c r="C1114" s="2">
        <v>0.76388888888888884</v>
      </c>
      <c r="D1114">
        <v>111</v>
      </c>
      <c r="E1114" t="s">
        <v>11</v>
      </c>
      <c r="F1114">
        <v>30</v>
      </c>
      <c r="G1114" t="s">
        <v>13</v>
      </c>
      <c r="H1114">
        <v>1</v>
      </c>
      <c r="I1114">
        <v>500</v>
      </c>
      <c r="J1114">
        <v>240</v>
      </c>
      <c r="K1114">
        <v>500</v>
      </c>
    </row>
    <row r="1115" spans="1:11">
      <c r="A1115">
        <v>1105</v>
      </c>
      <c r="B1115" s="1">
        <v>44877</v>
      </c>
      <c r="C1115" s="2">
        <v>0.79791666666666672</v>
      </c>
      <c r="D1115">
        <v>19</v>
      </c>
      <c r="E1115" t="s">
        <v>14</v>
      </c>
      <c r="F1115">
        <v>22</v>
      </c>
      <c r="G1115" t="s">
        <v>15</v>
      </c>
      <c r="H1115">
        <v>1</v>
      </c>
      <c r="I1115">
        <v>500</v>
      </c>
      <c r="J1115">
        <v>270</v>
      </c>
      <c r="K1115">
        <v>500</v>
      </c>
    </row>
    <row r="1116" spans="1:11">
      <c r="A1116">
        <v>1299</v>
      </c>
      <c r="B1116" s="1">
        <v>44689</v>
      </c>
      <c r="C1116" s="2">
        <v>0.79027777777777775</v>
      </c>
      <c r="D1116">
        <v>11</v>
      </c>
      <c r="E1116" t="s">
        <v>11</v>
      </c>
      <c r="F1116">
        <v>61</v>
      </c>
      <c r="G1116" t="s">
        <v>15</v>
      </c>
      <c r="H1116">
        <v>2</v>
      </c>
      <c r="I1116">
        <v>500</v>
      </c>
      <c r="J1116">
        <v>250</v>
      </c>
      <c r="K1116">
        <v>1000</v>
      </c>
    </row>
    <row r="1117" spans="1:11">
      <c r="A1117">
        <v>1934</v>
      </c>
      <c r="B1117" s="1">
        <v>44812</v>
      </c>
      <c r="C1117" s="2">
        <v>0.71250000000000002</v>
      </c>
      <c r="D1117">
        <v>69</v>
      </c>
      <c r="E1117" t="s">
        <v>11</v>
      </c>
      <c r="F1117">
        <v>30</v>
      </c>
      <c r="G1117" t="s">
        <v>13</v>
      </c>
      <c r="H1117">
        <v>1</v>
      </c>
      <c r="I1117">
        <v>500</v>
      </c>
      <c r="J1117">
        <v>150</v>
      </c>
      <c r="K1117">
        <v>500</v>
      </c>
    </row>
    <row r="1118" spans="1:11">
      <c r="A1118">
        <v>270</v>
      </c>
      <c r="B1118" s="1">
        <v>44912</v>
      </c>
      <c r="C1118" s="2">
        <v>0.74027777777777781</v>
      </c>
      <c r="D1118">
        <v>84</v>
      </c>
      <c r="E1118" t="s">
        <v>11</v>
      </c>
      <c r="F1118">
        <v>43</v>
      </c>
      <c r="G1118" t="s">
        <v>15</v>
      </c>
      <c r="H1118">
        <v>1</v>
      </c>
      <c r="I1118">
        <v>300</v>
      </c>
      <c r="J1118">
        <v>117</v>
      </c>
      <c r="K1118">
        <v>300</v>
      </c>
    </row>
    <row r="1119" spans="1:11">
      <c r="A1119">
        <v>338</v>
      </c>
      <c r="B1119" s="1">
        <v>44597</v>
      </c>
      <c r="C1119" s="2">
        <v>0.8930555555555556</v>
      </c>
      <c r="D1119">
        <v>44</v>
      </c>
      <c r="E1119" t="s">
        <v>11</v>
      </c>
      <c r="F1119">
        <v>54</v>
      </c>
      <c r="G1119" t="s">
        <v>13</v>
      </c>
      <c r="H1119">
        <v>2</v>
      </c>
      <c r="I1119">
        <v>50</v>
      </c>
      <c r="J1119">
        <v>20</v>
      </c>
      <c r="K1119">
        <v>100</v>
      </c>
    </row>
    <row r="1120" spans="1:11">
      <c r="A1120">
        <v>543</v>
      </c>
      <c r="B1120" s="1">
        <v>44667</v>
      </c>
      <c r="C1120" s="2">
        <v>0.85416666666666663</v>
      </c>
      <c r="D1120">
        <v>121</v>
      </c>
      <c r="E1120" t="s">
        <v>11</v>
      </c>
      <c r="F1120">
        <v>49</v>
      </c>
      <c r="G1120" t="s">
        <v>13</v>
      </c>
      <c r="H1120">
        <v>2</v>
      </c>
      <c r="I1120">
        <v>300</v>
      </c>
      <c r="J1120">
        <v>75</v>
      </c>
      <c r="K1120">
        <v>600</v>
      </c>
    </row>
    <row r="1121" spans="1:11">
      <c r="A1121">
        <v>1270</v>
      </c>
      <c r="B1121" s="1">
        <v>44798</v>
      </c>
      <c r="C1121" s="2">
        <v>0.95416666666666672</v>
      </c>
      <c r="D1121">
        <v>84</v>
      </c>
      <c r="E1121" t="s">
        <v>11</v>
      </c>
      <c r="F1121">
        <v>43</v>
      </c>
      <c r="G1121" t="s">
        <v>15</v>
      </c>
      <c r="H1121">
        <v>1</v>
      </c>
      <c r="I1121">
        <v>300</v>
      </c>
      <c r="J1121">
        <v>108</v>
      </c>
      <c r="K1121">
        <v>300</v>
      </c>
    </row>
    <row r="1122" spans="1:11">
      <c r="A1122">
        <v>1338</v>
      </c>
      <c r="B1122" s="1">
        <v>44586</v>
      </c>
      <c r="C1122" s="2">
        <v>0.82986111111111116</v>
      </c>
      <c r="D1122">
        <v>31</v>
      </c>
      <c r="E1122" t="s">
        <v>11</v>
      </c>
      <c r="F1122">
        <v>54</v>
      </c>
      <c r="G1122" t="s">
        <v>13</v>
      </c>
      <c r="H1122">
        <v>2</v>
      </c>
      <c r="I1122">
        <v>50</v>
      </c>
      <c r="J1122">
        <v>19</v>
      </c>
      <c r="K1122">
        <v>100</v>
      </c>
    </row>
    <row r="1123" spans="1:11">
      <c r="A1123">
        <v>1543</v>
      </c>
      <c r="B1123" s="1">
        <v>44837</v>
      </c>
      <c r="C1123" s="2">
        <v>0.94444444444444442</v>
      </c>
      <c r="D1123">
        <v>73</v>
      </c>
      <c r="E1123" t="s">
        <v>11</v>
      </c>
      <c r="F1123">
        <v>49</v>
      </c>
      <c r="G1123" t="s">
        <v>13</v>
      </c>
      <c r="H1123">
        <v>2</v>
      </c>
      <c r="I1123">
        <v>300</v>
      </c>
      <c r="J1123">
        <v>123</v>
      </c>
      <c r="K1123">
        <v>600</v>
      </c>
    </row>
    <row r="1124" spans="1:11">
      <c r="A1124">
        <v>557</v>
      </c>
      <c r="B1124" s="1">
        <v>45196</v>
      </c>
      <c r="C1124" s="2">
        <v>0.83402777777777781</v>
      </c>
      <c r="D1124">
        <v>155</v>
      </c>
      <c r="E1124" t="s">
        <v>14</v>
      </c>
      <c r="F1124">
        <v>20</v>
      </c>
      <c r="G1124" t="s">
        <v>13</v>
      </c>
      <c r="H1124">
        <v>3</v>
      </c>
      <c r="I1124">
        <v>30</v>
      </c>
      <c r="J1124">
        <v>12.9</v>
      </c>
      <c r="K1124">
        <v>90</v>
      </c>
    </row>
    <row r="1125" spans="1:11">
      <c r="A1125">
        <v>702</v>
      </c>
      <c r="B1125" s="1">
        <v>44988</v>
      </c>
      <c r="C1125" s="2">
        <v>0.72083333333333333</v>
      </c>
      <c r="D1125">
        <v>66</v>
      </c>
      <c r="E1125" t="s">
        <v>14</v>
      </c>
      <c r="F1125">
        <v>60</v>
      </c>
      <c r="G1125" t="s">
        <v>12</v>
      </c>
      <c r="H1125">
        <v>2</v>
      </c>
      <c r="I1125">
        <v>300</v>
      </c>
      <c r="J1125">
        <v>78</v>
      </c>
      <c r="K1125">
        <v>600</v>
      </c>
    </row>
    <row r="1126" spans="1:11">
      <c r="A1126">
        <v>864</v>
      </c>
      <c r="B1126" s="1">
        <v>45138</v>
      </c>
      <c r="C1126" s="2">
        <v>0.92777777777777781</v>
      </c>
      <c r="D1126">
        <v>139</v>
      </c>
      <c r="E1126" t="s">
        <v>14</v>
      </c>
      <c r="F1126">
        <v>51</v>
      </c>
      <c r="G1126" t="s">
        <v>15</v>
      </c>
      <c r="H1126">
        <v>1</v>
      </c>
      <c r="I1126">
        <v>500</v>
      </c>
      <c r="J1126">
        <v>215</v>
      </c>
      <c r="K1126">
        <v>500</v>
      </c>
    </row>
    <row r="1127" spans="1:11">
      <c r="A1127">
        <v>1557</v>
      </c>
      <c r="B1127" s="1">
        <v>44777</v>
      </c>
      <c r="C1127" s="2">
        <v>0.70902777777777781</v>
      </c>
      <c r="D1127">
        <v>14</v>
      </c>
      <c r="E1127" t="s">
        <v>14</v>
      </c>
      <c r="F1127">
        <v>20</v>
      </c>
      <c r="G1127" t="s">
        <v>13</v>
      </c>
      <c r="H1127">
        <v>3</v>
      </c>
      <c r="I1127">
        <v>30</v>
      </c>
      <c r="J1127">
        <v>10.199999999999999</v>
      </c>
      <c r="K1127">
        <v>90</v>
      </c>
    </row>
    <row r="1128" spans="1:11">
      <c r="A1128">
        <v>1702</v>
      </c>
      <c r="B1128" s="1">
        <v>45138</v>
      </c>
      <c r="C1128" s="2">
        <v>0.91249999999999998</v>
      </c>
      <c r="D1128">
        <v>102</v>
      </c>
      <c r="E1128" t="s">
        <v>14</v>
      </c>
      <c r="F1128">
        <v>60</v>
      </c>
      <c r="G1128" t="s">
        <v>12</v>
      </c>
      <c r="H1128">
        <v>2</v>
      </c>
      <c r="I1128">
        <v>300</v>
      </c>
      <c r="J1128">
        <v>87</v>
      </c>
      <c r="K1128">
        <v>600</v>
      </c>
    </row>
    <row r="1129" spans="1:11">
      <c r="A1129">
        <v>1864</v>
      </c>
      <c r="B1129" s="1">
        <v>45046</v>
      </c>
      <c r="C1129" s="2">
        <v>0.875</v>
      </c>
      <c r="D1129">
        <v>112</v>
      </c>
      <c r="E1129" t="s">
        <v>14</v>
      </c>
      <c r="F1129">
        <v>51</v>
      </c>
      <c r="G1129" t="s">
        <v>15</v>
      </c>
      <c r="H1129">
        <v>1</v>
      </c>
      <c r="I1129">
        <v>500</v>
      </c>
      <c r="J1129">
        <v>190</v>
      </c>
      <c r="K1129">
        <v>500</v>
      </c>
    </row>
    <row r="1130" spans="1:11">
      <c r="A1130">
        <v>254</v>
      </c>
      <c r="B1130" s="1">
        <v>44909</v>
      </c>
      <c r="C1130" s="2">
        <v>0.94791666666666663</v>
      </c>
      <c r="D1130">
        <v>104</v>
      </c>
      <c r="E1130" t="s">
        <v>11</v>
      </c>
      <c r="F1130">
        <v>41</v>
      </c>
      <c r="G1130" t="s">
        <v>15</v>
      </c>
      <c r="H1130">
        <v>1</v>
      </c>
      <c r="I1130">
        <v>500</v>
      </c>
      <c r="J1130">
        <v>165</v>
      </c>
      <c r="K1130">
        <v>500</v>
      </c>
    </row>
    <row r="1131" spans="1:11">
      <c r="A1131">
        <v>295</v>
      </c>
      <c r="B1131" s="1">
        <v>44593</v>
      </c>
      <c r="C1131" s="2">
        <v>0.84930555555555554</v>
      </c>
      <c r="D1131">
        <v>80</v>
      </c>
      <c r="E1131" t="s">
        <v>14</v>
      </c>
      <c r="F1131">
        <v>27</v>
      </c>
      <c r="G1131" t="s">
        <v>13</v>
      </c>
      <c r="H1131">
        <v>3</v>
      </c>
      <c r="I1131">
        <v>300</v>
      </c>
      <c r="J1131">
        <v>105</v>
      </c>
      <c r="K1131">
        <v>900</v>
      </c>
    </row>
    <row r="1132" spans="1:11">
      <c r="A1132">
        <v>457</v>
      </c>
      <c r="B1132" s="1">
        <v>44893</v>
      </c>
      <c r="C1132" s="2">
        <v>0.9506944444444444</v>
      </c>
      <c r="D1132">
        <v>38</v>
      </c>
      <c r="E1132" t="s">
        <v>14</v>
      </c>
      <c r="F1132">
        <v>58</v>
      </c>
      <c r="G1132" t="s">
        <v>13</v>
      </c>
      <c r="H1132">
        <v>3</v>
      </c>
      <c r="I1132">
        <v>300</v>
      </c>
      <c r="J1132">
        <v>147</v>
      </c>
      <c r="K1132">
        <v>900</v>
      </c>
    </row>
    <row r="1133" spans="1:11">
      <c r="A1133">
        <v>668</v>
      </c>
      <c r="B1133" s="1">
        <v>44729</v>
      </c>
      <c r="C1133" s="2">
        <v>0.85624999999999996</v>
      </c>
      <c r="D1133">
        <v>135</v>
      </c>
      <c r="E1133" t="s">
        <v>14</v>
      </c>
      <c r="F1133">
        <v>62</v>
      </c>
      <c r="G1133" t="s">
        <v>15</v>
      </c>
      <c r="H1133">
        <v>3</v>
      </c>
      <c r="I1133">
        <v>50</v>
      </c>
      <c r="J1133">
        <v>24.5</v>
      </c>
      <c r="K1133">
        <v>150</v>
      </c>
    </row>
    <row r="1134" spans="1:11">
      <c r="A1134">
        <v>850</v>
      </c>
      <c r="B1134" s="1">
        <v>45183</v>
      </c>
      <c r="C1134" s="2">
        <v>0.79236111111111107</v>
      </c>
      <c r="D1134">
        <v>58</v>
      </c>
      <c r="E1134" t="s">
        <v>14</v>
      </c>
      <c r="F1134">
        <v>26</v>
      </c>
      <c r="G1134" t="s">
        <v>13</v>
      </c>
      <c r="H1134">
        <v>2</v>
      </c>
      <c r="I1134">
        <v>500</v>
      </c>
      <c r="J1134">
        <v>235</v>
      </c>
      <c r="K1134">
        <v>1000</v>
      </c>
    </row>
    <row r="1135" spans="1:11">
      <c r="A1135">
        <v>1254</v>
      </c>
      <c r="B1135" s="1">
        <v>45028</v>
      </c>
      <c r="C1135" s="2">
        <v>0.76666666666666672</v>
      </c>
      <c r="D1135">
        <v>86</v>
      </c>
      <c r="E1135" t="s">
        <v>11</v>
      </c>
      <c r="F1135">
        <v>41</v>
      </c>
      <c r="G1135" t="s">
        <v>15</v>
      </c>
      <c r="H1135">
        <v>1</v>
      </c>
      <c r="I1135">
        <v>500</v>
      </c>
      <c r="J1135">
        <v>180</v>
      </c>
      <c r="K1135">
        <v>500</v>
      </c>
    </row>
    <row r="1136" spans="1:11">
      <c r="A1136">
        <v>1295</v>
      </c>
      <c r="B1136" s="1">
        <v>45234</v>
      </c>
      <c r="C1136" s="2">
        <v>0.81111111111111112</v>
      </c>
      <c r="D1136">
        <v>86</v>
      </c>
      <c r="E1136" t="s">
        <v>14</v>
      </c>
      <c r="F1136">
        <v>27</v>
      </c>
      <c r="G1136" t="s">
        <v>13</v>
      </c>
      <c r="H1136">
        <v>3</v>
      </c>
      <c r="I1136">
        <v>300</v>
      </c>
      <c r="J1136">
        <v>81</v>
      </c>
      <c r="K1136">
        <v>900</v>
      </c>
    </row>
    <row r="1137" spans="1:11">
      <c r="A1137">
        <v>1457</v>
      </c>
      <c r="B1137" s="1">
        <v>45010</v>
      </c>
      <c r="C1137" s="2">
        <v>0.89652777777777781</v>
      </c>
      <c r="D1137">
        <v>140</v>
      </c>
      <c r="E1137" t="s">
        <v>14</v>
      </c>
      <c r="F1137">
        <v>58</v>
      </c>
      <c r="G1137" t="s">
        <v>13</v>
      </c>
      <c r="H1137">
        <v>3</v>
      </c>
      <c r="I1137">
        <v>300</v>
      </c>
      <c r="J1137">
        <v>108</v>
      </c>
      <c r="K1137">
        <v>900</v>
      </c>
    </row>
    <row r="1138" spans="1:11">
      <c r="A1138">
        <v>1668</v>
      </c>
      <c r="B1138" s="1">
        <v>44998</v>
      </c>
      <c r="C1138" s="2">
        <v>0.90277777777777779</v>
      </c>
      <c r="D1138">
        <v>132</v>
      </c>
      <c r="E1138" t="s">
        <v>14</v>
      </c>
      <c r="F1138">
        <v>62</v>
      </c>
      <c r="G1138" t="s">
        <v>15</v>
      </c>
      <c r="H1138">
        <v>3</v>
      </c>
      <c r="I1138">
        <v>50</v>
      </c>
      <c r="J1138">
        <v>14</v>
      </c>
      <c r="K1138">
        <v>150</v>
      </c>
    </row>
    <row r="1139" spans="1:11">
      <c r="A1139">
        <v>1850</v>
      </c>
      <c r="B1139" s="1">
        <v>44608</v>
      </c>
      <c r="C1139" s="2">
        <v>0.86388888888888893</v>
      </c>
      <c r="D1139">
        <v>154</v>
      </c>
      <c r="E1139" t="s">
        <v>14</v>
      </c>
      <c r="F1139">
        <v>26</v>
      </c>
      <c r="G1139" t="s">
        <v>13</v>
      </c>
      <c r="H1139">
        <v>2</v>
      </c>
      <c r="I1139">
        <v>500</v>
      </c>
      <c r="J1139">
        <v>240</v>
      </c>
      <c r="K1139">
        <v>1000</v>
      </c>
    </row>
    <row r="1140" spans="1:11">
      <c r="A1140">
        <v>541</v>
      </c>
      <c r="B1140" s="1">
        <v>44920</v>
      </c>
      <c r="C1140" s="2">
        <v>0.77569444444444446</v>
      </c>
      <c r="D1140">
        <v>39</v>
      </c>
      <c r="E1140" t="s">
        <v>11</v>
      </c>
      <c r="F1140">
        <v>56</v>
      </c>
      <c r="G1140" t="s">
        <v>13</v>
      </c>
      <c r="H1140">
        <v>1</v>
      </c>
      <c r="I1140">
        <v>500</v>
      </c>
      <c r="J1140">
        <v>215</v>
      </c>
      <c r="K1140">
        <v>500</v>
      </c>
    </row>
    <row r="1141" spans="1:11">
      <c r="A1141">
        <v>980</v>
      </c>
      <c r="B1141" s="1">
        <v>44848</v>
      </c>
      <c r="C1141" s="2">
        <v>0.82708333333333328</v>
      </c>
      <c r="D1141">
        <v>147</v>
      </c>
      <c r="E1141" t="s">
        <v>14</v>
      </c>
      <c r="F1141">
        <v>31</v>
      </c>
      <c r="G1141" t="s">
        <v>15</v>
      </c>
      <c r="H1141">
        <v>3</v>
      </c>
      <c r="I1141">
        <v>25</v>
      </c>
      <c r="J1141">
        <v>12.5</v>
      </c>
      <c r="K1141">
        <v>75</v>
      </c>
    </row>
    <row r="1142" spans="1:11">
      <c r="A1142">
        <v>1541</v>
      </c>
      <c r="B1142" s="1">
        <v>45201</v>
      </c>
      <c r="C1142" s="2">
        <v>0.92847222222222225</v>
      </c>
      <c r="D1142">
        <v>57</v>
      </c>
      <c r="E1142" t="s">
        <v>11</v>
      </c>
      <c r="F1142">
        <v>56</v>
      </c>
      <c r="G1142" t="s">
        <v>13</v>
      </c>
      <c r="H1142">
        <v>1</v>
      </c>
      <c r="I1142">
        <v>500</v>
      </c>
      <c r="J1142">
        <v>195</v>
      </c>
      <c r="K1142">
        <v>500</v>
      </c>
    </row>
    <row r="1143" spans="1:11">
      <c r="A1143">
        <v>1980</v>
      </c>
      <c r="B1143" s="1">
        <v>45161</v>
      </c>
      <c r="C1143" s="2">
        <v>0.85416666666666663</v>
      </c>
      <c r="D1143">
        <v>112</v>
      </c>
      <c r="E1143" t="s">
        <v>14</v>
      </c>
      <c r="F1143">
        <v>31</v>
      </c>
      <c r="G1143" t="s">
        <v>15</v>
      </c>
      <c r="H1143">
        <v>3</v>
      </c>
      <c r="I1143">
        <v>25</v>
      </c>
      <c r="J1143">
        <v>6.5</v>
      </c>
      <c r="K1143">
        <v>75</v>
      </c>
    </row>
    <row r="1144" spans="1:11">
      <c r="A1144">
        <v>262</v>
      </c>
      <c r="B1144" s="1">
        <v>45184</v>
      </c>
      <c r="C1144" s="2">
        <v>0.85624999999999996</v>
      </c>
      <c r="D1144">
        <v>30</v>
      </c>
      <c r="E1144" t="s">
        <v>14</v>
      </c>
      <c r="F1144">
        <v>32</v>
      </c>
      <c r="G1144" t="s">
        <v>13</v>
      </c>
      <c r="H1144">
        <v>4</v>
      </c>
      <c r="I1144">
        <v>30</v>
      </c>
      <c r="J1144">
        <v>12.6</v>
      </c>
      <c r="K1144">
        <v>120</v>
      </c>
    </row>
    <row r="1145" spans="1:11">
      <c r="A1145">
        <v>467</v>
      </c>
      <c r="B1145" s="1">
        <v>44585</v>
      </c>
      <c r="C1145" s="2">
        <v>0.94374999999999998</v>
      </c>
      <c r="D1145">
        <v>151</v>
      </c>
      <c r="E1145" t="s">
        <v>14</v>
      </c>
      <c r="F1145">
        <v>53</v>
      </c>
      <c r="G1145" t="s">
        <v>15</v>
      </c>
      <c r="H1145">
        <v>3</v>
      </c>
      <c r="I1145">
        <v>50</v>
      </c>
      <c r="J1145">
        <v>14.5</v>
      </c>
      <c r="K1145">
        <v>150</v>
      </c>
    </row>
    <row r="1146" spans="1:11">
      <c r="A1146">
        <v>1262</v>
      </c>
      <c r="B1146" s="1">
        <v>44786</v>
      </c>
      <c r="C1146" s="2">
        <v>0.85624999999999996</v>
      </c>
      <c r="D1146">
        <v>127</v>
      </c>
      <c r="E1146" t="s">
        <v>14</v>
      </c>
      <c r="F1146">
        <v>32</v>
      </c>
      <c r="G1146" t="s">
        <v>13</v>
      </c>
      <c r="H1146">
        <v>4</v>
      </c>
      <c r="I1146">
        <v>30</v>
      </c>
      <c r="J1146">
        <v>8.4</v>
      </c>
      <c r="K1146">
        <v>120</v>
      </c>
    </row>
    <row r="1147" spans="1:11">
      <c r="A1147">
        <v>1467</v>
      </c>
      <c r="B1147" s="1">
        <v>45151</v>
      </c>
      <c r="C1147" s="2">
        <v>0.81319444444444444</v>
      </c>
      <c r="D1147">
        <v>89</v>
      </c>
      <c r="E1147" t="s">
        <v>14</v>
      </c>
      <c r="F1147">
        <v>53</v>
      </c>
      <c r="G1147" t="s">
        <v>15</v>
      </c>
      <c r="H1147">
        <v>3</v>
      </c>
      <c r="I1147">
        <v>50</v>
      </c>
      <c r="J1147">
        <v>14</v>
      </c>
      <c r="K1147">
        <v>150</v>
      </c>
    </row>
    <row r="1148" spans="1:11">
      <c r="A1148">
        <v>463</v>
      </c>
      <c r="B1148" s="1">
        <v>44955</v>
      </c>
      <c r="C1148" s="2">
        <v>0.84861111111111109</v>
      </c>
      <c r="D1148">
        <v>55</v>
      </c>
      <c r="E1148" t="s">
        <v>14</v>
      </c>
      <c r="F1148">
        <v>54</v>
      </c>
      <c r="G1148" t="s">
        <v>13</v>
      </c>
      <c r="H1148">
        <v>3</v>
      </c>
      <c r="I1148">
        <v>500</v>
      </c>
      <c r="J1148">
        <v>175</v>
      </c>
      <c r="K1148">
        <v>1500</v>
      </c>
    </row>
    <row r="1149" spans="1:11">
      <c r="A1149">
        <v>1463</v>
      </c>
      <c r="B1149" s="1">
        <v>44771</v>
      </c>
      <c r="C1149" s="2">
        <v>0.82291666666666663</v>
      </c>
      <c r="D1149">
        <v>98</v>
      </c>
      <c r="E1149" t="s">
        <v>14</v>
      </c>
      <c r="F1149">
        <v>54</v>
      </c>
      <c r="G1149" t="s">
        <v>13</v>
      </c>
      <c r="H1149">
        <v>3</v>
      </c>
      <c r="I1149">
        <v>500</v>
      </c>
      <c r="J1149">
        <v>170</v>
      </c>
      <c r="K1149">
        <v>1500</v>
      </c>
    </row>
    <row r="1150" spans="1:11">
      <c r="A1150">
        <v>598</v>
      </c>
      <c r="B1150" s="1">
        <v>44735</v>
      </c>
      <c r="C1150" s="2">
        <v>0.70972222222222225</v>
      </c>
      <c r="D1150">
        <v>7</v>
      </c>
      <c r="E1150" t="s">
        <v>11</v>
      </c>
      <c r="F1150">
        <v>37</v>
      </c>
      <c r="G1150" t="s">
        <v>13</v>
      </c>
      <c r="H1150">
        <v>4</v>
      </c>
      <c r="I1150">
        <v>30</v>
      </c>
      <c r="J1150">
        <v>11.1</v>
      </c>
      <c r="K1150">
        <v>120</v>
      </c>
    </row>
    <row r="1151" spans="1:11">
      <c r="A1151">
        <v>667</v>
      </c>
      <c r="B1151" s="1">
        <v>44896</v>
      </c>
      <c r="C1151" s="2">
        <v>0.78194444444444444</v>
      </c>
      <c r="D1151">
        <v>22</v>
      </c>
      <c r="E1151" t="s">
        <v>14</v>
      </c>
      <c r="F1151">
        <v>29</v>
      </c>
      <c r="G1151" t="s">
        <v>15</v>
      </c>
      <c r="H1151">
        <v>1</v>
      </c>
      <c r="I1151">
        <v>500</v>
      </c>
      <c r="J1151">
        <v>190</v>
      </c>
      <c r="K1151">
        <v>500</v>
      </c>
    </row>
    <row r="1152" spans="1:11">
      <c r="A1152">
        <v>672</v>
      </c>
      <c r="B1152" s="1">
        <v>44609</v>
      </c>
      <c r="C1152" s="2">
        <v>0.82222222222222219</v>
      </c>
      <c r="D1152">
        <v>1</v>
      </c>
      <c r="E1152" t="s">
        <v>14</v>
      </c>
      <c r="F1152">
        <v>34</v>
      </c>
      <c r="G1152" t="s">
        <v>13</v>
      </c>
      <c r="H1152">
        <v>2</v>
      </c>
      <c r="I1152">
        <v>50</v>
      </c>
      <c r="J1152">
        <v>27.5</v>
      </c>
      <c r="K1152">
        <v>100</v>
      </c>
    </row>
    <row r="1153" spans="1:11">
      <c r="A1153">
        <v>1598</v>
      </c>
      <c r="B1153" s="1">
        <v>44941</v>
      </c>
      <c r="C1153" s="2">
        <v>0.80347222222222225</v>
      </c>
      <c r="D1153">
        <v>126</v>
      </c>
      <c r="E1153" t="s">
        <v>11</v>
      </c>
      <c r="F1153">
        <v>37</v>
      </c>
      <c r="G1153" t="s">
        <v>13</v>
      </c>
      <c r="H1153">
        <v>4</v>
      </c>
      <c r="I1153">
        <v>30</v>
      </c>
      <c r="J1153">
        <v>9.9</v>
      </c>
      <c r="K1153">
        <v>120</v>
      </c>
    </row>
    <row r="1154" spans="1:11">
      <c r="A1154">
        <v>1667</v>
      </c>
      <c r="B1154" s="1">
        <v>44746</v>
      </c>
      <c r="C1154" s="2">
        <v>0.79791666666666672</v>
      </c>
      <c r="D1154">
        <v>40</v>
      </c>
      <c r="E1154" t="s">
        <v>14</v>
      </c>
      <c r="F1154">
        <v>29</v>
      </c>
      <c r="G1154" t="s">
        <v>15</v>
      </c>
      <c r="H1154">
        <v>1</v>
      </c>
      <c r="I1154">
        <v>500</v>
      </c>
      <c r="J1154">
        <v>125</v>
      </c>
      <c r="K1154">
        <v>500</v>
      </c>
    </row>
    <row r="1155" spans="1:11">
      <c r="A1155">
        <v>1672</v>
      </c>
      <c r="B1155" s="1">
        <v>45013</v>
      </c>
      <c r="C1155" s="2">
        <v>0.94027777777777777</v>
      </c>
      <c r="D1155">
        <v>87</v>
      </c>
      <c r="E1155" t="s">
        <v>14</v>
      </c>
      <c r="F1155">
        <v>34</v>
      </c>
      <c r="G1155" t="s">
        <v>13</v>
      </c>
      <c r="H1155">
        <v>2</v>
      </c>
      <c r="I1155">
        <v>50</v>
      </c>
      <c r="J1155">
        <v>15.5</v>
      </c>
      <c r="K1155">
        <v>100</v>
      </c>
    </row>
    <row r="1156" spans="1:11">
      <c r="A1156">
        <v>949</v>
      </c>
      <c r="B1156" s="1">
        <v>45097</v>
      </c>
      <c r="C1156" s="2">
        <v>0.85277777777777775</v>
      </c>
      <c r="D1156">
        <v>21</v>
      </c>
      <c r="E1156" t="s">
        <v>14</v>
      </c>
      <c r="F1156">
        <v>41</v>
      </c>
      <c r="G1156" t="s">
        <v>15</v>
      </c>
      <c r="H1156">
        <v>2</v>
      </c>
      <c r="I1156">
        <v>25</v>
      </c>
      <c r="J1156">
        <v>9</v>
      </c>
      <c r="K1156">
        <v>50</v>
      </c>
    </row>
    <row r="1157" spans="1:11">
      <c r="A1157">
        <v>1949</v>
      </c>
      <c r="B1157" s="1">
        <v>44876</v>
      </c>
      <c r="C1157" s="2">
        <v>0.85</v>
      </c>
      <c r="D1157">
        <v>105</v>
      </c>
      <c r="E1157" t="s">
        <v>14</v>
      </c>
      <c r="F1157">
        <v>41</v>
      </c>
      <c r="G1157" t="s">
        <v>15</v>
      </c>
      <c r="H1157">
        <v>2</v>
      </c>
      <c r="I1157">
        <v>25</v>
      </c>
      <c r="J1157">
        <v>12.5</v>
      </c>
      <c r="K1157">
        <v>50</v>
      </c>
    </row>
    <row r="1158" spans="1:11">
      <c r="A1158">
        <v>27</v>
      </c>
      <c r="B1158" s="1">
        <v>45274</v>
      </c>
      <c r="C1158" s="2">
        <v>0.82222222222222219</v>
      </c>
      <c r="D1158">
        <v>39</v>
      </c>
      <c r="E1158" t="s">
        <v>14</v>
      </c>
      <c r="F1158">
        <v>38</v>
      </c>
      <c r="G1158" t="s">
        <v>13</v>
      </c>
      <c r="H1158">
        <v>2</v>
      </c>
      <c r="I1158">
        <v>25</v>
      </c>
      <c r="J1158">
        <v>8.25</v>
      </c>
      <c r="K1158">
        <v>50</v>
      </c>
    </row>
    <row r="1159" spans="1:11">
      <c r="A1159">
        <v>347</v>
      </c>
      <c r="B1159" s="1">
        <v>44646</v>
      </c>
      <c r="C1159" s="2">
        <v>0.81319444444444444</v>
      </c>
      <c r="D1159">
        <v>26</v>
      </c>
      <c r="E1159" t="s">
        <v>11</v>
      </c>
      <c r="F1159">
        <v>42</v>
      </c>
      <c r="G1159" t="s">
        <v>15</v>
      </c>
      <c r="H1159">
        <v>1</v>
      </c>
      <c r="I1159">
        <v>25</v>
      </c>
      <c r="J1159">
        <v>7</v>
      </c>
      <c r="K1159">
        <v>25</v>
      </c>
    </row>
    <row r="1160" spans="1:11">
      <c r="A1160">
        <v>687</v>
      </c>
      <c r="B1160" s="1">
        <v>44739</v>
      </c>
      <c r="C1160" s="2">
        <v>0.71805555555555556</v>
      </c>
      <c r="D1160">
        <v>86</v>
      </c>
      <c r="E1160" t="s">
        <v>14</v>
      </c>
      <c r="F1160">
        <v>53</v>
      </c>
      <c r="G1160" t="s">
        <v>15</v>
      </c>
      <c r="H1160">
        <v>1</v>
      </c>
      <c r="I1160">
        <v>300</v>
      </c>
      <c r="J1160">
        <v>150</v>
      </c>
      <c r="K1160">
        <v>300</v>
      </c>
    </row>
    <row r="1161" spans="1:11">
      <c r="A1161">
        <v>1027</v>
      </c>
      <c r="B1161" s="1">
        <v>44681</v>
      </c>
      <c r="C1161" s="2">
        <v>0.875</v>
      </c>
      <c r="D1161">
        <v>131</v>
      </c>
      <c r="E1161" t="s">
        <v>14</v>
      </c>
      <c r="F1161">
        <v>38</v>
      </c>
      <c r="G1161" t="s">
        <v>13</v>
      </c>
      <c r="H1161">
        <v>2</v>
      </c>
      <c r="I1161">
        <v>25</v>
      </c>
      <c r="J1161">
        <v>7.5</v>
      </c>
      <c r="K1161">
        <v>50</v>
      </c>
    </row>
    <row r="1162" spans="1:11">
      <c r="A1162">
        <v>1347</v>
      </c>
      <c r="B1162" s="1">
        <v>45251</v>
      </c>
      <c r="C1162" s="2">
        <v>0.91319444444444442</v>
      </c>
      <c r="D1162">
        <v>7</v>
      </c>
      <c r="E1162" t="s">
        <v>11</v>
      </c>
      <c r="F1162">
        <v>42</v>
      </c>
      <c r="G1162" t="s">
        <v>15</v>
      </c>
      <c r="H1162">
        <v>1</v>
      </c>
      <c r="I1162">
        <v>25</v>
      </c>
      <c r="J1162">
        <v>13</v>
      </c>
      <c r="K1162">
        <v>25</v>
      </c>
    </row>
    <row r="1163" spans="1:11">
      <c r="A1163">
        <v>1687</v>
      </c>
      <c r="B1163" s="1">
        <v>44974</v>
      </c>
      <c r="C1163" s="2">
        <v>0.93541666666666667</v>
      </c>
      <c r="D1163">
        <v>102</v>
      </c>
      <c r="E1163" t="s">
        <v>14</v>
      </c>
      <c r="F1163">
        <v>53</v>
      </c>
      <c r="G1163" t="s">
        <v>15</v>
      </c>
      <c r="H1163">
        <v>1</v>
      </c>
      <c r="I1163">
        <v>300</v>
      </c>
      <c r="J1163">
        <v>81</v>
      </c>
      <c r="K1163">
        <v>300</v>
      </c>
    </row>
    <row r="1164" spans="1:11">
      <c r="A1164">
        <v>549</v>
      </c>
      <c r="B1164" s="1">
        <v>44868</v>
      </c>
      <c r="C1164" s="2">
        <v>0.81874999999999998</v>
      </c>
      <c r="D1164">
        <v>114</v>
      </c>
      <c r="E1164" t="s">
        <v>14</v>
      </c>
      <c r="F1164">
        <v>50</v>
      </c>
      <c r="G1164" t="s">
        <v>13</v>
      </c>
      <c r="H1164">
        <v>2</v>
      </c>
      <c r="I1164">
        <v>50</v>
      </c>
      <c r="J1164">
        <v>12.5</v>
      </c>
      <c r="K1164">
        <v>100</v>
      </c>
    </row>
    <row r="1165" spans="1:11">
      <c r="A1165">
        <v>675</v>
      </c>
      <c r="B1165" s="1">
        <v>45126</v>
      </c>
      <c r="C1165" s="2">
        <v>0.75694444444444442</v>
      </c>
      <c r="D1165">
        <v>26</v>
      </c>
      <c r="E1165" t="s">
        <v>14</v>
      </c>
      <c r="F1165">
        <v>45</v>
      </c>
      <c r="G1165" t="s">
        <v>12</v>
      </c>
      <c r="H1165">
        <v>2</v>
      </c>
      <c r="I1165">
        <v>30</v>
      </c>
      <c r="J1165">
        <v>15.9</v>
      </c>
      <c r="K1165">
        <v>60</v>
      </c>
    </row>
    <row r="1166" spans="1:11">
      <c r="A1166">
        <v>730</v>
      </c>
      <c r="B1166" s="1">
        <v>44612</v>
      </c>
      <c r="C1166" s="2">
        <v>0.81805555555555554</v>
      </c>
      <c r="D1166">
        <v>131</v>
      </c>
      <c r="E1166" t="s">
        <v>14</v>
      </c>
      <c r="F1166">
        <v>36</v>
      </c>
      <c r="G1166" t="s">
        <v>12</v>
      </c>
      <c r="H1166">
        <v>2</v>
      </c>
      <c r="I1166">
        <v>25</v>
      </c>
      <c r="J1166">
        <v>13.25</v>
      </c>
      <c r="K1166">
        <v>50</v>
      </c>
    </row>
    <row r="1167" spans="1:11">
      <c r="A1167">
        <v>798</v>
      </c>
      <c r="B1167" s="1">
        <v>44946</v>
      </c>
      <c r="C1167" s="2">
        <v>0.8881944444444444</v>
      </c>
      <c r="D1167">
        <v>73</v>
      </c>
      <c r="E1167" t="s">
        <v>11</v>
      </c>
      <c r="F1167">
        <v>61</v>
      </c>
      <c r="G1167" t="s">
        <v>12</v>
      </c>
      <c r="H1167">
        <v>1</v>
      </c>
      <c r="I1167">
        <v>50</v>
      </c>
      <c r="J1167">
        <v>15</v>
      </c>
      <c r="K1167">
        <v>50</v>
      </c>
    </row>
    <row r="1168" spans="1:11">
      <c r="A1168">
        <v>1549</v>
      </c>
      <c r="B1168" s="1">
        <v>45245</v>
      </c>
      <c r="C1168" s="2">
        <v>0.80902777777777779</v>
      </c>
      <c r="D1168">
        <v>109</v>
      </c>
      <c r="E1168" t="s">
        <v>14</v>
      </c>
      <c r="F1168">
        <v>50</v>
      </c>
      <c r="G1168" t="s">
        <v>13</v>
      </c>
      <c r="H1168">
        <v>2</v>
      </c>
      <c r="I1168">
        <v>50</v>
      </c>
      <c r="J1168">
        <v>14.5</v>
      </c>
      <c r="K1168">
        <v>100</v>
      </c>
    </row>
    <row r="1169" spans="1:11">
      <c r="A1169">
        <v>1675</v>
      </c>
      <c r="B1169" s="1">
        <v>44698</v>
      </c>
      <c r="C1169" s="2">
        <v>0.82986111111111116</v>
      </c>
      <c r="D1169">
        <v>152</v>
      </c>
      <c r="E1169" t="s">
        <v>14</v>
      </c>
      <c r="F1169">
        <v>45</v>
      </c>
      <c r="G1169" t="s">
        <v>12</v>
      </c>
      <c r="H1169">
        <v>2</v>
      </c>
      <c r="I1169">
        <v>30</v>
      </c>
      <c r="J1169">
        <v>16.2</v>
      </c>
      <c r="K1169">
        <v>60</v>
      </c>
    </row>
    <row r="1170" spans="1:11">
      <c r="A1170">
        <v>1730</v>
      </c>
      <c r="B1170" s="1">
        <v>45152</v>
      </c>
      <c r="C1170" s="2">
        <v>0.80347222222222225</v>
      </c>
      <c r="D1170">
        <v>116</v>
      </c>
      <c r="E1170" t="s">
        <v>14</v>
      </c>
      <c r="F1170">
        <v>36</v>
      </c>
      <c r="G1170" t="s">
        <v>12</v>
      </c>
      <c r="H1170">
        <v>2</v>
      </c>
      <c r="I1170">
        <v>25</v>
      </c>
      <c r="J1170">
        <v>10.75</v>
      </c>
      <c r="K1170">
        <v>50</v>
      </c>
    </row>
    <row r="1171" spans="1:11">
      <c r="A1171">
        <v>1798</v>
      </c>
      <c r="B1171" s="1">
        <v>45125</v>
      </c>
      <c r="C1171" s="2">
        <v>0.85138888888888886</v>
      </c>
      <c r="D1171">
        <v>96</v>
      </c>
      <c r="E1171" t="s">
        <v>11</v>
      </c>
      <c r="F1171">
        <v>61</v>
      </c>
      <c r="G1171" t="s">
        <v>12</v>
      </c>
      <c r="H1171">
        <v>1</v>
      </c>
      <c r="I1171">
        <v>50</v>
      </c>
      <c r="J1171">
        <v>20</v>
      </c>
      <c r="K1171">
        <v>50</v>
      </c>
    </row>
    <row r="1172" spans="1:11">
      <c r="A1172">
        <v>13</v>
      </c>
      <c r="B1172" s="1">
        <v>44965</v>
      </c>
      <c r="C1172" s="2">
        <v>0.73819444444444449</v>
      </c>
      <c r="D1172">
        <v>106</v>
      </c>
      <c r="E1172" t="s">
        <v>11</v>
      </c>
      <c r="F1172">
        <v>22</v>
      </c>
      <c r="G1172" t="s">
        <v>15</v>
      </c>
      <c r="H1172">
        <v>3</v>
      </c>
      <c r="I1172">
        <v>500</v>
      </c>
      <c r="J1172">
        <v>245</v>
      </c>
      <c r="K1172">
        <v>1500</v>
      </c>
    </row>
    <row r="1173" spans="1:11">
      <c r="A1173">
        <v>35</v>
      </c>
      <c r="B1173" s="1">
        <v>44863</v>
      </c>
      <c r="C1173" s="2">
        <v>0.72916666666666663</v>
      </c>
      <c r="D1173">
        <v>122</v>
      </c>
      <c r="E1173" t="s">
        <v>14</v>
      </c>
      <c r="F1173">
        <v>58</v>
      </c>
      <c r="G1173" t="s">
        <v>13</v>
      </c>
      <c r="H1173">
        <v>3</v>
      </c>
      <c r="I1173">
        <v>300</v>
      </c>
      <c r="J1173">
        <v>126</v>
      </c>
      <c r="K1173">
        <v>900</v>
      </c>
    </row>
    <row r="1174" spans="1:11">
      <c r="A1174">
        <v>140</v>
      </c>
      <c r="B1174" s="1">
        <v>44749</v>
      </c>
      <c r="C1174" s="2">
        <v>0.84722222222222221</v>
      </c>
      <c r="D1174">
        <v>61</v>
      </c>
      <c r="E1174" t="s">
        <v>11</v>
      </c>
      <c r="F1174">
        <v>38</v>
      </c>
      <c r="G1174" t="s">
        <v>15</v>
      </c>
      <c r="H1174">
        <v>1</v>
      </c>
      <c r="I1174">
        <v>30</v>
      </c>
      <c r="J1174">
        <v>14.4</v>
      </c>
      <c r="K1174">
        <v>30</v>
      </c>
    </row>
    <row r="1175" spans="1:11">
      <c r="A1175">
        <v>206</v>
      </c>
      <c r="B1175" s="1">
        <v>44806</v>
      </c>
      <c r="C1175" s="2">
        <v>0.76249999999999996</v>
      </c>
      <c r="D1175">
        <v>31</v>
      </c>
      <c r="E1175" t="s">
        <v>11</v>
      </c>
      <c r="F1175">
        <v>61</v>
      </c>
      <c r="G1175" t="s">
        <v>12</v>
      </c>
      <c r="H1175">
        <v>1</v>
      </c>
      <c r="I1175">
        <v>25</v>
      </c>
      <c r="J1175">
        <v>11.75</v>
      </c>
      <c r="K1175">
        <v>25</v>
      </c>
    </row>
    <row r="1176" spans="1:11">
      <c r="A1176">
        <v>261</v>
      </c>
      <c r="B1176" s="1">
        <v>44598</v>
      </c>
      <c r="C1176" s="2">
        <v>0.7416666666666667</v>
      </c>
      <c r="D1176">
        <v>16</v>
      </c>
      <c r="E1176" t="s">
        <v>11</v>
      </c>
      <c r="F1176">
        <v>21</v>
      </c>
      <c r="G1176" t="s">
        <v>12</v>
      </c>
      <c r="H1176">
        <v>2</v>
      </c>
      <c r="I1176">
        <v>25</v>
      </c>
      <c r="J1176">
        <v>8.25</v>
      </c>
      <c r="K1176">
        <v>50</v>
      </c>
    </row>
    <row r="1177" spans="1:11">
      <c r="A1177">
        <v>279</v>
      </c>
      <c r="B1177" s="1">
        <v>45148</v>
      </c>
      <c r="C1177" s="2">
        <v>0.72847222222222219</v>
      </c>
      <c r="D1177">
        <v>38</v>
      </c>
      <c r="E1177" t="s">
        <v>11</v>
      </c>
      <c r="F1177">
        <v>50</v>
      </c>
      <c r="G1177" t="s">
        <v>12</v>
      </c>
      <c r="H1177">
        <v>1</v>
      </c>
      <c r="I1177">
        <v>500</v>
      </c>
      <c r="J1177">
        <v>210</v>
      </c>
      <c r="K1177">
        <v>500</v>
      </c>
    </row>
    <row r="1178" spans="1:11">
      <c r="A1178">
        <v>308</v>
      </c>
      <c r="B1178" s="1">
        <v>44651</v>
      </c>
      <c r="C1178" s="2">
        <v>0.8</v>
      </c>
      <c r="D1178">
        <v>130</v>
      </c>
      <c r="E1178" t="s">
        <v>14</v>
      </c>
      <c r="F1178">
        <v>34</v>
      </c>
      <c r="G1178" t="s">
        <v>13</v>
      </c>
      <c r="H1178">
        <v>4</v>
      </c>
      <c r="I1178">
        <v>300</v>
      </c>
      <c r="J1178">
        <v>126</v>
      </c>
      <c r="K1178">
        <v>1200</v>
      </c>
    </row>
    <row r="1179" spans="1:11">
      <c r="A1179">
        <v>418</v>
      </c>
      <c r="B1179" s="1">
        <v>44652</v>
      </c>
      <c r="C1179" s="2">
        <v>0.75347222222222221</v>
      </c>
      <c r="D1179">
        <v>95</v>
      </c>
      <c r="E1179" t="s">
        <v>14</v>
      </c>
      <c r="F1179">
        <v>60</v>
      </c>
      <c r="G1179" t="s">
        <v>15</v>
      </c>
      <c r="H1179">
        <v>2</v>
      </c>
      <c r="I1179">
        <v>500</v>
      </c>
      <c r="J1179">
        <v>155</v>
      </c>
      <c r="K1179">
        <v>1000</v>
      </c>
    </row>
    <row r="1180" spans="1:11">
      <c r="A1180">
        <v>1013</v>
      </c>
      <c r="B1180" s="1">
        <v>44758</v>
      </c>
      <c r="C1180" s="2">
        <v>0.81805555555555554</v>
      </c>
      <c r="D1180">
        <v>111</v>
      </c>
      <c r="E1180" t="s">
        <v>11</v>
      </c>
      <c r="F1180">
        <v>22</v>
      </c>
      <c r="G1180" t="s">
        <v>15</v>
      </c>
      <c r="H1180">
        <v>3</v>
      </c>
      <c r="I1180">
        <v>500</v>
      </c>
      <c r="J1180">
        <v>200</v>
      </c>
      <c r="K1180">
        <v>1500</v>
      </c>
    </row>
    <row r="1181" spans="1:11">
      <c r="A1181">
        <v>1035</v>
      </c>
      <c r="B1181" s="1">
        <v>45042</v>
      </c>
      <c r="C1181" s="2">
        <v>0.91388888888888886</v>
      </c>
      <c r="D1181">
        <v>52</v>
      </c>
      <c r="E1181" t="s">
        <v>14</v>
      </c>
      <c r="F1181">
        <v>58</v>
      </c>
      <c r="G1181" t="s">
        <v>13</v>
      </c>
      <c r="H1181">
        <v>3</v>
      </c>
      <c r="I1181">
        <v>300</v>
      </c>
      <c r="J1181">
        <v>105</v>
      </c>
      <c r="K1181">
        <v>900</v>
      </c>
    </row>
    <row r="1182" spans="1:11">
      <c r="A1182">
        <v>1140</v>
      </c>
      <c r="B1182" s="1">
        <v>44703</v>
      </c>
      <c r="C1182" s="2">
        <v>0.80972222222222223</v>
      </c>
      <c r="D1182">
        <v>154</v>
      </c>
      <c r="E1182" t="s">
        <v>11</v>
      </c>
      <c r="F1182">
        <v>38</v>
      </c>
      <c r="G1182" t="s">
        <v>15</v>
      </c>
      <c r="H1182">
        <v>1</v>
      </c>
      <c r="I1182">
        <v>30</v>
      </c>
      <c r="J1182">
        <v>15.9</v>
      </c>
      <c r="K1182">
        <v>30</v>
      </c>
    </row>
    <row r="1183" spans="1:11">
      <c r="A1183">
        <v>1206</v>
      </c>
      <c r="B1183" s="1">
        <v>45060</v>
      </c>
      <c r="C1183" s="2">
        <v>0.82291666666666663</v>
      </c>
      <c r="D1183">
        <v>68</v>
      </c>
      <c r="E1183" t="s">
        <v>11</v>
      </c>
      <c r="F1183">
        <v>61</v>
      </c>
      <c r="G1183" t="s">
        <v>12</v>
      </c>
      <c r="H1183">
        <v>1</v>
      </c>
      <c r="I1183">
        <v>25</v>
      </c>
      <c r="J1183">
        <v>8.5</v>
      </c>
      <c r="K1183">
        <v>25</v>
      </c>
    </row>
    <row r="1184" spans="1:11">
      <c r="A1184">
        <v>1261</v>
      </c>
      <c r="B1184" s="1">
        <v>44831</v>
      </c>
      <c r="C1184" s="2">
        <v>0.8881944444444444</v>
      </c>
      <c r="D1184">
        <v>116</v>
      </c>
      <c r="E1184" t="s">
        <v>11</v>
      </c>
      <c r="F1184">
        <v>21</v>
      </c>
      <c r="G1184" t="s">
        <v>12</v>
      </c>
      <c r="H1184">
        <v>2</v>
      </c>
      <c r="I1184">
        <v>25</v>
      </c>
      <c r="J1184">
        <v>6.25</v>
      </c>
      <c r="K1184">
        <v>50</v>
      </c>
    </row>
    <row r="1185" spans="1:11">
      <c r="A1185">
        <v>1279</v>
      </c>
      <c r="B1185" s="1">
        <v>44672</v>
      </c>
      <c r="C1185" s="2">
        <v>0.95486111111111116</v>
      </c>
      <c r="D1185">
        <v>116</v>
      </c>
      <c r="E1185" t="s">
        <v>11</v>
      </c>
      <c r="F1185">
        <v>50</v>
      </c>
      <c r="G1185" t="s">
        <v>12</v>
      </c>
      <c r="H1185">
        <v>1</v>
      </c>
      <c r="I1185">
        <v>500</v>
      </c>
      <c r="J1185">
        <v>170</v>
      </c>
      <c r="K1185">
        <v>500</v>
      </c>
    </row>
    <row r="1186" spans="1:11">
      <c r="A1186">
        <v>1308</v>
      </c>
      <c r="B1186" s="1">
        <v>45096</v>
      </c>
      <c r="C1186" s="2">
        <v>0.94374999999999998</v>
      </c>
      <c r="D1186">
        <v>91</v>
      </c>
      <c r="E1186" t="s">
        <v>14</v>
      </c>
      <c r="F1186">
        <v>34</v>
      </c>
      <c r="G1186" t="s">
        <v>13</v>
      </c>
      <c r="H1186">
        <v>4</v>
      </c>
      <c r="I1186">
        <v>300</v>
      </c>
      <c r="J1186">
        <v>150</v>
      </c>
      <c r="K1186">
        <v>1200</v>
      </c>
    </row>
    <row r="1187" spans="1:11">
      <c r="A1187">
        <v>1418</v>
      </c>
      <c r="B1187" s="1">
        <v>44821</v>
      </c>
      <c r="C1187" s="2">
        <v>0.7631944444444444</v>
      </c>
      <c r="D1187">
        <v>68</v>
      </c>
      <c r="E1187" t="s">
        <v>14</v>
      </c>
      <c r="F1187">
        <v>60</v>
      </c>
      <c r="G1187" t="s">
        <v>15</v>
      </c>
      <c r="H1187">
        <v>2</v>
      </c>
      <c r="I1187">
        <v>500</v>
      </c>
      <c r="J1187">
        <v>215</v>
      </c>
      <c r="K1187">
        <v>1000</v>
      </c>
    </row>
    <row r="1188" spans="1:11">
      <c r="A1188">
        <v>612</v>
      </c>
      <c r="B1188" s="1">
        <v>44615</v>
      </c>
      <c r="C1188" s="2">
        <v>0.79583333333333328</v>
      </c>
      <c r="D1188">
        <v>77</v>
      </c>
      <c r="E1188" t="s">
        <v>14</v>
      </c>
      <c r="F1188">
        <v>61</v>
      </c>
      <c r="G1188" t="s">
        <v>15</v>
      </c>
      <c r="H1188">
        <v>1</v>
      </c>
      <c r="I1188">
        <v>500</v>
      </c>
      <c r="J1188">
        <v>235</v>
      </c>
      <c r="K1188">
        <v>500</v>
      </c>
    </row>
    <row r="1189" spans="1:11">
      <c r="A1189">
        <v>875</v>
      </c>
      <c r="B1189" s="1">
        <v>45260</v>
      </c>
      <c r="C1189" s="2">
        <v>0.90763888888888888</v>
      </c>
      <c r="D1189">
        <v>134</v>
      </c>
      <c r="E1189" t="s">
        <v>14</v>
      </c>
      <c r="F1189">
        <v>51</v>
      </c>
      <c r="G1189" t="s">
        <v>15</v>
      </c>
      <c r="H1189">
        <v>4</v>
      </c>
      <c r="I1189">
        <v>500</v>
      </c>
      <c r="J1189">
        <v>135</v>
      </c>
      <c r="K1189">
        <v>2000</v>
      </c>
    </row>
    <row r="1190" spans="1:11">
      <c r="A1190">
        <v>1612</v>
      </c>
      <c r="B1190" s="1">
        <v>44913</v>
      </c>
      <c r="C1190" s="2">
        <v>0.88472222222222219</v>
      </c>
      <c r="D1190">
        <v>140</v>
      </c>
      <c r="E1190" t="s">
        <v>14</v>
      </c>
      <c r="F1190">
        <v>61</v>
      </c>
      <c r="G1190" t="s">
        <v>15</v>
      </c>
      <c r="H1190">
        <v>1</v>
      </c>
      <c r="I1190">
        <v>500</v>
      </c>
      <c r="J1190">
        <v>230</v>
      </c>
      <c r="K1190">
        <v>500</v>
      </c>
    </row>
    <row r="1191" spans="1:11">
      <c r="A1191">
        <v>1875</v>
      </c>
      <c r="B1191" s="1">
        <v>44715</v>
      </c>
      <c r="C1191" s="2">
        <v>0.9458333333333333</v>
      </c>
      <c r="D1191">
        <v>141</v>
      </c>
      <c r="E1191" t="s">
        <v>14</v>
      </c>
      <c r="F1191">
        <v>51</v>
      </c>
      <c r="G1191" t="s">
        <v>15</v>
      </c>
      <c r="H1191">
        <v>4</v>
      </c>
      <c r="I1191">
        <v>500</v>
      </c>
      <c r="J1191">
        <v>165</v>
      </c>
      <c r="K1191">
        <v>2000</v>
      </c>
    </row>
    <row r="1192" spans="1:11">
      <c r="A1192">
        <v>430</v>
      </c>
      <c r="B1192" s="1">
        <v>45069</v>
      </c>
      <c r="C1192" s="2">
        <v>0.77500000000000002</v>
      </c>
      <c r="D1192">
        <v>100</v>
      </c>
      <c r="E1192" t="s">
        <v>14</v>
      </c>
      <c r="F1192">
        <v>43</v>
      </c>
      <c r="G1192" t="s">
        <v>15</v>
      </c>
      <c r="H1192">
        <v>3</v>
      </c>
      <c r="I1192">
        <v>300</v>
      </c>
      <c r="J1192">
        <v>153</v>
      </c>
      <c r="K1192">
        <v>900</v>
      </c>
    </row>
    <row r="1193" spans="1:11">
      <c r="A1193">
        <v>633</v>
      </c>
      <c r="B1193" s="1">
        <v>45113</v>
      </c>
      <c r="C1193" s="2">
        <v>0.93055555555555558</v>
      </c>
      <c r="D1193">
        <v>35</v>
      </c>
      <c r="E1193" t="s">
        <v>11</v>
      </c>
      <c r="F1193">
        <v>39</v>
      </c>
      <c r="G1193" t="s">
        <v>13</v>
      </c>
      <c r="H1193">
        <v>4</v>
      </c>
      <c r="I1193">
        <v>30</v>
      </c>
      <c r="J1193">
        <v>12.3</v>
      </c>
      <c r="K1193">
        <v>120</v>
      </c>
    </row>
    <row r="1194" spans="1:11">
      <c r="A1194">
        <v>1430</v>
      </c>
      <c r="B1194" s="1">
        <v>45230</v>
      </c>
      <c r="C1194" s="2">
        <v>0.76736111111111116</v>
      </c>
      <c r="D1194">
        <v>22</v>
      </c>
      <c r="E1194" t="s">
        <v>14</v>
      </c>
      <c r="F1194">
        <v>43</v>
      </c>
      <c r="G1194" t="s">
        <v>15</v>
      </c>
      <c r="H1194">
        <v>3</v>
      </c>
      <c r="I1194">
        <v>300</v>
      </c>
      <c r="J1194">
        <v>132</v>
      </c>
      <c r="K1194">
        <v>900</v>
      </c>
    </row>
    <row r="1195" spans="1:11">
      <c r="A1195">
        <v>1633</v>
      </c>
      <c r="B1195" s="1">
        <v>44926</v>
      </c>
      <c r="C1195" s="2">
        <v>0.76249999999999996</v>
      </c>
      <c r="D1195">
        <v>152</v>
      </c>
      <c r="E1195" t="s">
        <v>11</v>
      </c>
      <c r="F1195">
        <v>39</v>
      </c>
      <c r="G1195" t="s">
        <v>13</v>
      </c>
      <c r="H1195">
        <v>4</v>
      </c>
      <c r="I1195">
        <v>30</v>
      </c>
      <c r="J1195">
        <v>11.4</v>
      </c>
      <c r="K1195">
        <v>120</v>
      </c>
    </row>
    <row r="1196" spans="1:11">
      <c r="A1196">
        <v>125</v>
      </c>
      <c r="B1196" s="1">
        <v>44832</v>
      </c>
      <c r="C1196" s="2">
        <v>0.78333333333333333</v>
      </c>
      <c r="D1196">
        <v>137</v>
      </c>
      <c r="E1196" t="s">
        <v>11</v>
      </c>
      <c r="F1196">
        <v>48</v>
      </c>
      <c r="G1196" t="s">
        <v>12</v>
      </c>
      <c r="H1196">
        <v>2</v>
      </c>
      <c r="I1196">
        <v>50</v>
      </c>
      <c r="J1196">
        <v>19</v>
      </c>
      <c r="K1196">
        <v>100</v>
      </c>
    </row>
    <row r="1197" spans="1:11">
      <c r="A1197">
        <v>716</v>
      </c>
      <c r="B1197" s="1">
        <v>45151</v>
      </c>
      <c r="C1197" s="2">
        <v>0.82708333333333328</v>
      </c>
      <c r="D1197">
        <v>137</v>
      </c>
      <c r="E1197" t="s">
        <v>14</v>
      </c>
      <c r="F1197">
        <v>60</v>
      </c>
      <c r="G1197" t="s">
        <v>12</v>
      </c>
      <c r="H1197">
        <v>4</v>
      </c>
      <c r="I1197">
        <v>300</v>
      </c>
      <c r="J1197">
        <v>108</v>
      </c>
      <c r="K1197">
        <v>1200</v>
      </c>
    </row>
    <row r="1198" spans="1:11">
      <c r="A1198">
        <v>790</v>
      </c>
      <c r="B1198" s="1">
        <v>45029</v>
      </c>
      <c r="C1198" s="2">
        <v>0.86597222222222225</v>
      </c>
      <c r="D1198">
        <v>29</v>
      </c>
      <c r="E1198" t="s">
        <v>11</v>
      </c>
      <c r="F1198">
        <v>62</v>
      </c>
      <c r="G1198" t="s">
        <v>12</v>
      </c>
      <c r="H1198">
        <v>1</v>
      </c>
      <c r="I1198">
        <v>25</v>
      </c>
      <c r="J1198">
        <v>9.25</v>
      </c>
      <c r="K1198">
        <v>25</v>
      </c>
    </row>
    <row r="1199" spans="1:11">
      <c r="A1199">
        <v>960</v>
      </c>
      <c r="B1199" s="1">
        <v>45014</v>
      </c>
      <c r="C1199" s="2">
        <v>0.79236111111111107</v>
      </c>
      <c r="D1199">
        <v>134</v>
      </c>
      <c r="E1199" t="s">
        <v>11</v>
      </c>
      <c r="F1199">
        <v>59</v>
      </c>
      <c r="G1199" t="s">
        <v>12</v>
      </c>
      <c r="H1199">
        <v>2</v>
      </c>
      <c r="I1199">
        <v>30</v>
      </c>
      <c r="J1199">
        <v>14.4</v>
      </c>
      <c r="K1199">
        <v>60</v>
      </c>
    </row>
    <row r="1200" spans="1:11">
      <c r="A1200">
        <v>1125</v>
      </c>
      <c r="B1200" s="1">
        <v>45242</v>
      </c>
      <c r="C1200" s="2">
        <v>0.74375000000000002</v>
      </c>
      <c r="D1200">
        <v>79</v>
      </c>
      <c r="E1200" t="s">
        <v>11</v>
      </c>
      <c r="F1200">
        <v>48</v>
      </c>
      <c r="G1200" t="s">
        <v>12</v>
      </c>
      <c r="H1200">
        <v>2</v>
      </c>
      <c r="I1200">
        <v>50</v>
      </c>
      <c r="J1200">
        <v>21.5</v>
      </c>
      <c r="K1200">
        <v>100</v>
      </c>
    </row>
    <row r="1201" spans="1:11">
      <c r="A1201">
        <v>1716</v>
      </c>
      <c r="B1201" s="1">
        <v>44604</v>
      </c>
      <c r="C1201" s="2">
        <v>0.80277777777777781</v>
      </c>
      <c r="D1201">
        <v>39</v>
      </c>
      <c r="E1201" t="s">
        <v>14</v>
      </c>
      <c r="F1201">
        <v>60</v>
      </c>
      <c r="G1201" t="s">
        <v>12</v>
      </c>
      <c r="H1201">
        <v>4</v>
      </c>
      <c r="I1201">
        <v>300</v>
      </c>
      <c r="J1201">
        <v>87</v>
      </c>
      <c r="K1201">
        <v>1200</v>
      </c>
    </row>
    <row r="1202" spans="1:11">
      <c r="A1202">
        <v>1790</v>
      </c>
      <c r="B1202" s="1">
        <v>45060</v>
      </c>
      <c r="C1202" s="2">
        <v>0.86944444444444446</v>
      </c>
      <c r="D1202">
        <v>147</v>
      </c>
      <c r="E1202" t="s">
        <v>11</v>
      </c>
      <c r="F1202">
        <v>62</v>
      </c>
      <c r="G1202" t="s">
        <v>12</v>
      </c>
      <c r="H1202">
        <v>1</v>
      </c>
      <c r="I1202">
        <v>25</v>
      </c>
      <c r="J1202">
        <v>7.5</v>
      </c>
      <c r="K1202">
        <v>25</v>
      </c>
    </row>
    <row r="1203" spans="1:11">
      <c r="A1203">
        <v>1960</v>
      </c>
      <c r="B1203" s="1">
        <v>44741</v>
      </c>
      <c r="C1203" s="2">
        <v>0.9194444444444444</v>
      </c>
      <c r="D1203">
        <v>67</v>
      </c>
      <c r="E1203" t="s">
        <v>11</v>
      </c>
      <c r="F1203">
        <v>59</v>
      </c>
      <c r="G1203" t="s">
        <v>12</v>
      </c>
      <c r="H1203">
        <v>2</v>
      </c>
      <c r="I1203">
        <v>30</v>
      </c>
      <c r="J1203">
        <v>13.2</v>
      </c>
      <c r="K1203">
        <v>60</v>
      </c>
    </row>
    <row r="1204" spans="1:11">
      <c r="A1204">
        <v>259</v>
      </c>
      <c r="B1204" s="1">
        <v>44996</v>
      </c>
      <c r="C1204" s="2">
        <v>0.85138888888888886</v>
      </c>
      <c r="D1204">
        <v>93</v>
      </c>
      <c r="E1204" t="s">
        <v>14</v>
      </c>
      <c r="F1204">
        <v>45</v>
      </c>
      <c r="G1204" t="s">
        <v>12</v>
      </c>
      <c r="H1204">
        <v>4</v>
      </c>
      <c r="I1204">
        <v>50</v>
      </c>
      <c r="J1204">
        <v>22.5</v>
      </c>
      <c r="K1204">
        <v>200</v>
      </c>
    </row>
    <row r="1205" spans="1:11">
      <c r="A1205">
        <v>443</v>
      </c>
      <c r="B1205" s="1">
        <v>45188</v>
      </c>
      <c r="C1205" s="2">
        <v>0.85069444444444442</v>
      </c>
      <c r="D1205">
        <v>98</v>
      </c>
      <c r="E1205" t="s">
        <v>11</v>
      </c>
      <c r="F1205">
        <v>29</v>
      </c>
      <c r="G1205" t="s">
        <v>12</v>
      </c>
      <c r="H1205">
        <v>2</v>
      </c>
      <c r="I1205">
        <v>300</v>
      </c>
      <c r="J1205">
        <v>114</v>
      </c>
      <c r="K1205">
        <v>600</v>
      </c>
    </row>
    <row r="1206" spans="1:11">
      <c r="A1206">
        <v>529</v>
      </c>
      <c r="B1206" s="1">
        <v>44894</v>
      </c>
      <c r="C1206" s="2">
        <v>0.73819444444444449</v>
      </c>
      <c r="D1206">
        <v>46</v>
      </c>
      <c r="E1206" t="s">
        <v>14</v>
      </c>
      <c r="F1206">
        <v>35</v>
      </c>
      <c r="G1206" t="s">
        <v>12</v>
      </c>
      <c r="H1206">
        <v>3</v>
      </c>
      <c r="I1206">
        <v>50</v>
      </c>
      <c r="J1206">
        <v>20.5</v>
      </c>
      <c r="K1206">
        <v>150</v>
      </c>
    </row>
    <row r="1207" spans="1:11">
      <c r="A1207">
        <v>563</v>
      </c>
      <c r="B1207" s="1">
        <v>44916</v>
      </c>
      <c r="C1207" s="2">
        <v>0.77777777777777779</v>
      </c>
      <c r="D1207">
        <v>150</v>
      </c>
      <c r="E1207" t="s">
        <v>11</v>
      </c>
      <c r="F1207">
        <v>20</v>
      </c>
      <c r="G1207" t="s">
        <v>12</v>
      </c>
      <c r="H1207">
        <v>2</v>
      </c>
      <c r="I1207">
        <v>30</v>
      </c>
      <c r="J1207">
        <v>16.2</v>
      </c>
      <c r="K1207">
        <v>60</v>
      </c>
    </row>
    <row r="1208" spans="1:11">
      <c r="A1208">
        <v>1259</v>
      </c>
      <c r="B1208" s="1">
        <v>44868</v>
      </c>
      <c r="C1208" s="2">
        <v>0.72986111111111107</v>
      </c>
      <c r="D1208">
        <v>105</v>
      </c>
      <c r="E1208" t="s">
        <v>14</v>
      </c>
      <c r="F1208">
        <v>45</v>
      </c>
      <c r="G1208" t="s">
        <v>12</v>
      </c>
      <c r="H1208">
        <v>4</v>
      </c>
      <c r="I1208">
        <v>50</v>
      </c>
      <c r="J1208">
        <v>21</v>
      </c>
      <c r="K1208">
        <v>200</v>
      </c>
    </row>
    <row r="1209" spans="1:11">
      <c r="A1209">
        <v>1443</v>
      </c>
      <c r="B1209" s="1">
        <v>44730</v>
      </c>
      <c r="C1209" s="2">
        <v>0.81736111111111109</v>
      </c>
      <c r="D1209">
        <v>81</v>
      </c>
      <c r="E1209" t="s">
        <v>11</v>
      </c>
      <c r="F1209">
        <v>29</v>
      </c>
      <c r="G1209" t="s">
        <v>12</v>
      </c>
      <c r="H1209">
        <v>2</v>
      </c>
      <c r="I1209">
        <v>300</v>
      </c>
      <c r="J1209">
        <v>147</v>
      </c>
      <c r="K1209">
        <v>600</v>
      </c>
    </row>
    <row r="1210" spans="1:11">
      <c r="A1210">
        <v>1529</v>
      </c>
      <c r="B1210" s="1">
        <v>44821</v>
      </c>
      <c r="C1210" s="2">
        <v>0.94305555555555554</v>
      </c>
      <c r="D1210">
        <v>105</v>
      </c>
      <c r="E1210" t="s">
        <v>14</v>
      </c>
      <c r="F1210">
        <v>35</v>
      </c>
      <c r="G1210" t="s">
        <v>12</v>
      </c>
      <c r="H1210">
        <v>3</v>
      </c>
      <c r="I1210">
        <v>50</v>
      </c>
      <c r="J1210">
        <v>17</v>
      </c>
      <c r="K1210">
        <v>150</v>
      </c>
    </row>
    <row r="1211" spans="1:11">
      <c r="A1211">
        <v>1563</v>
      </c>
      <c r="B1211" s="1">
        <v>44847</v>
      </c>
      <c r="C1211" s="2">
        <v>0.73888888888888893</v>
      </c>
      <c r="D1211">
        <v>22</v>
      </c>
      <c r="E1211" t="s">
        <v>11</v>
      </c>
      <c r="F1211">
        <v>20</v>
      </c>
      <c r="G1211" t="s">
        <v>12</v>
      </c>
      <c r="H1211">
        <v>2</v>
      </c>
      <c r="I1211">
        <v>30</v>
      </c>
      <c r="J1211">
        <v>15.3</v>
      </c>
      <c r="K1211">
        <v>60</v>
      </c>
    </row>
    <row r="1212" spans="1:11">
      <c r="A1212">
        <v>801</v>
      </c>
      <c r="B1212" s="1">
        <v>44896</v>
      </c>
      <c r="C1212" s="2">
        <v>0.71805555555555556</v>
      </c>
      <c r="D1212">
        <v>153</v>
      </c>
      <c r="E1212" t="s">
        <v>11</v>
      </c>
      <c r="F1212">
        <v>21</v>
      </c>
      <c r="G1212" t="s">
        <v>12</v>
      </c>
      <c r="H1212">
        <v>4</v>
      </c>
      <c r="I1212">
        <v>50</v>
      </c>
      <c r="J1212">
        <v>19</v>
      </c>
      <c r="K1212">
        <v>200</v>
      </c>
    </row>
    <row r="1213" spans="1:11">
      <c r="A1213">
        <v>1801</v>
      </c>
      <c r="B1213" s="1">
        <v>44752</v>
      </c>
      <c r="C1213" s="2">
        <v>0.91736111111111107</v>
      </c>
      <c r="D1213">
        <v>148</v>
      </c>
      <c r="E1213" t="s">
        <v>11</v>
      </c>
      <c r="F1213">
        <v>21</v>
      </c>
      <c r="G1213" t="s">
        <v>12</v>
      </c>
      <c r="H1213">
        <v>4</v>
      </c>
      <c r="I1213">
        <v>50</v>
      </c>
      <c r="J1213">
        <v>13.5</v>
      </c>
      <c r="K1213">
        <v>200</v>
      </c>
    </row>
    <row r="1214" spans="1:11">
      <c r="A1214">
        <v>160</v>
      </c>
      <c r="B1214" s="1">
        <v>44762</v>
      </c>
      <c r="C1214" s="2">
        <v>0.71388888888888891</v>
      </c>
      <c r="D1214">
        <v>127</v>
      </c>
      <c r="E1214" t="s">
        <v>14</v>
      </c>
      <c r="F1214">
        <v>43</v>
      </c>
      <c r="G1214" t="s">
        <v>12</v>
      </c>
      <c r="H1214">
        <v>2</v>
      </c>
      <c r="I1214">
        <v>50</v>
      </c>
      <c r="J1214">
        <v>26.5</v>
      </c>
      <c r="K1214">
        <v>100</v>
      </c>
    </row>
    <row r="1215" spans="1:11">
      <c r="A1215">
        <v>508</v>
      </c>
      <c r="B1215" s="1">
        <v>45112</v>
      </c>
      <c r="C1215" s="2">
        <v>0.95277777777777772</v>
      </c>
      <c r="D1215">
        <v>32</v>
      </c>
      <c r="E1215" t="s">
        <v>11</v>
      </c>
      <c r="F1215">
        <v>58</v>
      </c>
      <c r="G1215" t="s">
        <v>13</v>
      </c>
      <c r="H1215">
        <v>2</v>
      </c>
      <c r="I1215">
        <v>300</v>
      </c>
      <c r="J1215">
        <v>123</v>
      </c>
      <c r="K1215">
        <v>600</v>
      </c>
    </row>
    <row r="1216" spans="1:11">
      <c r="A1216">
        <v>807</v>
      </c>
      <c r="B1216" s="1">
        <v>44952</v>
      </c>
      <c r="C1216" s="2">
        <v>0.8256944444444444</v>
      </c>
      <c r="D1216">
        <v>91</v>
      </c>
      <c r="E1216" t="s">
        <v>14</v>
      </c>
      <c r="F1216">
        <v>50</v>
      </c>
      <c r="G1216" t="s">
        <v>15</v>
      </c>
      <c r="H1216">
        <v>4</v>
      </c>
      <c r="I1216">
        <v>50</v>
      </c>
      <c r="J1216">
        <v>15.5</v>
      </c>
      <c r="K1216">
        <v>200</v>
      </c>
    </row>
    <row r="1217" spans="1:11">
      <c r="A1217">
        <v>1160</v>
      </c>
      <c r="B1217" s="1">
        <v>45158</v>
      </c>
      <c r="C1217" s="2">
        <v>0.80555555555555558</v>
      </c>
      <c r="D1217">
        <v>105</v>
      </c>
      <c r="E1217" t="s">
        <v>14</v>
      </c>
      <c r="F1217">
        <v>43</v>
      </c>
      <c r="G1217" t="s">
        <v>12</v>
      </c>
      <c r="H1217">
        <v>2</v>
      </c>
      <c r="I1217">
        <v>50</v>
      </c>
      <c r="J1217">
        <v>14</v>
      </c>
      <c r="K1217">
        <v>100</v>
      </c>
    </row>
    <row r="1218" spans="1:11">
      <c r="A1218">
        <v>1508</v>
      </c>
      <c r="B1218" s="1">
        <v>44659</v>
      </c>
      <c r="C1218" s="2">
        <v>0.85555555555555551</v>
      </c>
      <c r="D1218">
        <v>90</v>
      </c>
      <c r="E1218" t="s">
        <v>11</v>
      </c>
      <c r="F1218">
        <v>58</v>
      </c>
      <c r="G1218" t="s">
        <v>13</v>
      </c>
      <c r="H1218">
        <v>2</v>
      </c>
      <c r="I1218">
        <v>300</v>
      </c>
      <c r="J1218">
        <v>81</v>
      </c>
      <c r="K1218">
        <v>600</v>
      </c>
    </row>
    <row r="1219" spans="1:11">
      <c r="A1219">
        <v>1807</v>
      </c>
      <c r="B1219" s="1">
        <v>44777</v>
      </c>
      <c r="C1219" s="2">
        <v>0.92708333333333337</v>
      </c>
      <c r="D1219">
        <v>19</v>
      </c>
      <c r="E1219" t="s">
        <v>14</v>
      </c>
      <c r="F1219">
        <v>50</v>
      </c>
      <c r="G1219" t="s">
        <v>15</v>
      </c>
      <c r="H1219">
        <v>4</v>
      </c>
      <c r="I1219">
        <v>50</v>
      </c>
      <c r="J1219">
        <v>22</v>
      </c>
      <c r="K1219">
        <v>200</v>
      </c>
    </row>
    <row r="1220" spans="1:11">
      <c r="A1220">
        <v>511</v>
      </c>
      <c r="B1220" s="1">
        <v>45283</v>
      </c>
      <c r="C1220" s="2">
        <v>0.7631944444444444</v>
      </c>
      <c r="D1220">
        <v>146</v>
      </c>
      <c r="E1220" t="s">
        <v>11</v>
      </c>
      <c r="F1220">
        <v>45</v>
      </c>
      <c r="G1220" t="s">
        <v>13</v>
      </c>
      <c r="H1220">
        <v>2</v>
      </c>
      <c r="I1220">
        <v>50</v>
      </c>
      <c r="J1220">
        <v>24.5</v>
      </c>
      <c r="K1220">
        <v>100</v>
      </c>
    </row>
    <row r="1221" spans="1:11">
      <c r="A1221">
        <v>521</v>
      </c>
      <c r="B1221" s="1">
        <v>45227</v>
      </c>
      <c r="C1221" s="2">
        <v>0.8305555555555556</v>
      </c>
      <c r="D1221">
        <v>133</v>
      </c>
      <c r="E1221" t="s">
        <v>14</v>
      </c>
      <c r="F1221">
        <v>47</v>
      </c>
      <c r="G1221" t="s">
        <v>12</v>
      </c>
      <c r="H1221">
        <v>4</v>
      </c>
      <c r="I1221">
        <v>30</v>
      </c>
      <c r="J1221">
        <v>8.6999999999999993</v>
      </c>
      <c r="K1221">
        <v>120</v>
      </c>
    </row>
    <row r="1222" spans="1:11">
      <c r="A1222">
        <v>695</v>
      </c>
      <c r="B1222" s="1">
        <v>44654</v>
      </c>
      <c r="C1222" s="2">
        <v>0.92500000000000004</v>
      </c>
      <c r="D1222">
        <v>52</v>
      </c>
      <c r="E1222" t="s">
        <v>14</v>
      </c>
      <c r="F1222">
        <v>22</v>
      </c>
      <c r="G1222" t="s">
        <v>15</v>
      </c>
      <c r="H1222">
        <v>3</v>
      </c>
      <c r="I1222">
        <v>50</v>
      </c>
      <c r="J1222">
        <v>21</v>
      </c>
      <c r="K1222">
        <v>150</v>
      </c>
    </row>
    <row r="1223" spans="1:11">
      <c r="A1223">
        <v>816</v>
      </c>
      <c r="B1223" s="1">
        <v>45196</v>
      </c>
      <c r="C1223" s="2">
        <v>0.81180555555555556</v>
      </c>
      <c r="D1223">
        <v>133</v>
      </c>
      <c r="E1223" t="s">
        <v>11</v>
      </c>
      <c r="F1223">
        <v>47</v>
      </c>
      <c r="G1223" t="s">
        <v>13</v>
      </c>
      <c r="H1223">
        <v>2</v>
      </c>
      <c r="I1223">
        <v>500</v>
      </c>
      <c r="J1223">
        <v>240</v>
      </c>
      <c r="K1223">
        <v>1000</v>
      </c>
    </row>
    <row r="1224" spans="1:11">
      <c r="A1224">
        <v>1511</v>
      </c>
      <c r="B1224" s="1">
        <v>44660</v>
      </c>
      <c r="C1224" s="2">
        <v>0.9</v>
      </c>
      <c r="D1224">
        <v>45</v>
      </c>
      <c r="E1224" t="s">
        <v>11</v>
      </c>
      <c r="F1224">
        <v>45</v>
      </c>
      <c r="G1224" t="s">
        <v>13</v>
      </c>
      <c r="H1224">
        <v>2</v>
      </c>
      <c r="I1224">
        <v>50</v>
      </c>
      <c r="J1224">
        <v>13.5</v>
      </c>
      <c r="K1224">
        <v>100</v>
      </c>
    </row>
    <row r="1225" spans="1:11">
      <c r="A1225">
        <v>1521</v>
      </c>
      <c r="B1225" s="1">
        <v>45130</v>
      </c>
      <c r="C1225" s="2">
        <v>0.79722222222222228</v>
      </c>
      <c r="D1225">
        <v>30</v>
      </c>
      <c r="E1225" t="s">
        <v>14</v>
      </c>
      <c r="F1225">
        <v>47</v>
      </c>
      <c r="G1225" t="s">
        <v>12</v>
      </c>
      <c r="H1225">
        <v>4</v>
      </c>
      <c r="I1225">
        <v>30</v>
      </c>
      <c r="J1225">
        <v>12.9</v>
      </c>
      <c r="K1225">
        <v>120</v>
      </c>
    </row>
    <row r="1226" spans="1:11">
      <c r="A1226">
        <v>1695</v>
      </c>
      <c r="B1226" s="1">
        <v>45190</v>
      </c>
      <c r="C1226" s="2">
        <v>0.86875000000000002</v>
      </c>
      <c r="D1226">
        <v>85</v>
      </c>
      <c r="E1226" t="s">
        <v>14</v>
      </c>
      <c r="F1226">
        <v>22</v>
      </c>
      <c r="G1226" t="s">
        <v>15</v>
      </c>
      <c r="H1226">
        <v>3</v>
      </c>
      <c r="I1226">
        <v>50</v>
      </c>
      <c r="J1226">
        <v>23</v>
      </c>
      <c r="K1226">
        <v>150</v>
      </c>
    </row>
    <row r="1227" spans="1:11">
      <c r="A1227">
        <v>1816</v>
      </c>
      <c r="B1227" s="1">
        <v>44729</v>
      </c>
      <c r="C1227" s="2">
        <v>0.9375</v>
      </c>
      <c r="D1227">
        <v>52</v>
      </c>
      <c r="E1227" t="s">
        <v>11</v>
      </c>
      <c r="F1227">
        <v>47</v>
      </c>
      <c r="G1227" t="s">
        <v>13</v>
      </c>
      <c r="H1227">
        <v>2</v>
      </c>
      <c r="I1227">
        <v>500</v>
      </c>
      <c r="J1227">
        <v>245</v>
      </c>
      <c r="K1227">
        <v>1000</v>
      </c>
    </row>
    <row r="1228" spans="1:11">
      <c r="A1228">
        <v>217</v>
      </c>
      <c r="B1228" s="1">
        <v>44683</v>
      </c>
      <c r="C1228" s="2">
        <v>0.70902777777777781</v>
      </c>
      <c r="D1228">
        <v>17</v>
      </c>
      <c r="E1228" t="s">
        <v>14</v>
      </c>
      <c r="F1228">
        <v>35</v>
      </c>
      <c r="G1228" t="s">
        <v>15</v>
      </c>
      <c r="H1228">
        <v>4</v>
      </c>
      <c r="I1228">
        <v>50</v>
      </c>
      <c r="J1228">
        <v>26.5</v>
      </c>
      <c r="K1228">
        <v>200</v>
      </c>
    </row>
    <row r="1229" spans="1:11">
      <c r="A1229">
        <v>384</v>
      </c>
      <c r="B1229" s="1">
        <v>44661</v>
      </c>
      <c r="C1229" s="2">
        <v>0.82847222222222228</v>
      </c>
      <c r="D1229">
        <v>127</v>
      </c>
      <c r="E1229" t="s">
        <v>11</v>
      </c>
      <c r="F1229">
        <v>55</v>
      </c>
      <c r="G1229" t="s">
        <v>12</v>
      </c>
      <c r="H1229">
        <v>1</v>
      </c>
      <c r="I1229">
        <v>500</v>
      </c>
      <c r="J1229">
        <v>145</v>
      </c>
      <c r="K1229">
        <v>500</v>
      </c>
    </row>
    <row r="1230" spans="1:11">
      <c r="A1230">
        <v>1217</v>
      </c>
      <c r="B1230" s="1">
        <v>45215</v>
      </c>
      <c r="C1230" s="2">
        <v>0.81111111111111112</v>
      </c>
      <c r="D1230">
        <v>70</v>
      </c>
      <c r="E1230" t="s">
        <v>14</v>
      </c>
      <c r="F1230">
        <v>35</v>
      </c>
      <c r="G1230" t="s">
        <v>15</v>
      </c>
      <c r="H1230">
        <v>4</v>
      </c>
      <c r="I1230">
        <v>50</v>
      </c>
      <c r="J1230">
        <v>18</v>
      </c>
      <c r="K1230">
        <v>200</v>
      </c>
    </row>
    <row r="1231" spans="1:11">
      <c r="A1231">
        <v>1384</v>
      </c>
      <c r="B1231" s="1">
        <v>45277</v>
      </c>
      <c r="C1231" s="2">
        <v>0.84930555555555554</v>
      </c>
      <c r="D1231">
        <v>106</v>
      </c>
      <c r="E1231" t="s">
        <v>11</v>
      </c>
      <c r="F1231">
        <v>55</v>
      </c>
      <c r="G1231" t="s">
        <v>12</v>
      </c>
      <c r="H1231">
        <v>1</v>
      </c>
      <c r="I1231">
        <v>500</v>
      </c>
      <c r="J1231">
        <v>260</v>
      </c>
      <c r="K1231">
        <v>500</v>
      </c>
    </row>
    <row r="1232" spans="1:11">
      <c r="A1232">
        <v>648</v>
      </c>
      <c r="B1232" s="1">
        <v>44980</v>
      </c>
      <c r="C1232" s="2">
        <v>0.75902777777777775</v>
      </c>
      <c r="D1232">
        <v>41</v>
      </c>
      <c r="E1232" t="s">
        <v>11</v>
      </c>
      <c r="F1232">
        <v>53</v>
      </c>
      <c r="G1232" t="s">
        <v>13</v>
      </c>
      <c r="H1232">
        <v>4</v>
      </c>
      <c r="I1232">
        <v>300</v>
      </c>
      <c r="J1232">
        <v>138</v>
      </c>
      <c r="K1232">
        <v>1200</v>
      </c>
    </row>
    <row r="1233" spans="1:11">
      <c r="A1233">
        <v>926</v>
      </c>
      <c r="B1233" s="1">
        <v>45205</v>
      </c>
      <c r="C1233" s="2">
        <v>0.95347222222222228</v>
      </c>
      <c r="D1233">
        <v>53</v>
      </c>
      <c r="E1233" t="s">
        <v>11</v>
      </c>
      <c r="F1233">
        <v>22</v>
      </c>
      <c r="G1233" t="s">
        <v>15</v>
      </c>
      <c r="H1233">
        <v>1</v>
      </c>
      <c r="I1233">
        <v>30</v>
      </c>
      <c r="J1233">
        <v>15.6</v>
      </c>
      <c r="K1233">
        <v>30</v>
      </c>
    </row>
    <row r="1234" spans="1:11">
      <c r="A1234">
        <v>1648</v>
      </c>
      <c r="B1234" s="1">
        <v>45117</v>
      </c>
      <c r="C1234" s="2">
        <v>0.72083333333333333</v>
      </c>
      <c r="D1234">
        <v>16</v>
      </c>
      <c r="E1234" t="s">
        <v>11</v>
      </c>
      <c r="F1234">
        <v>53</v>
      </c>
      <c r="G1234" t="s">
        <v>13</v>
      </c>
      <c r="H1234">
        <v>4</v>
      </c>
      <c r="I1234">
        <v>300</v>
      </c>
      <c r="J1234">
        <v>87</v>
      </c>
      <c r="K1234">
        <v>1200</v>
      </c>
    </row>
    <row r="1235" spans="1:11">
      <c r="A1235">
        <v>1926</v>
      </c>
      <c r="B1235" s="1">
        <v>45145</v>
      </c>
      <c r="C1235" s="2">
        <v>0.84861111111111109</v>
      </c>
      <c r="D1235">
        <v>74</v>
      </c>
      <c r="E1235" t="s">
        <v>11</v>
      </c>
      <c r="F1235">
        <v>22</v>
      </c>
      <c r="G1235" t="s">
        <v>15</v>
      </c>
      <c r="H1235">
        <v>1</v>
      </c>
      <c r="I1235">
        <v>30</v>
      </c>
      <c r="J1235">
        <v>9.6</v>
      </c>
      <c r="K1235">
        <v>30</v>
      </c>
    </row>
    <row r="1236" spans="1:11">
      <c r="A1236">
        <v>285</v>
      </c>
      <c r="B1236" s="1">
        <v>45261</v>
      </c>
      <c r="C1236" s="2">
        <v>0.75972222222222219</v>
      </c>
      <c r="D1236">
        <v>107</v>
      </c>
      <c r="E1236" t="s">
        <v>14</v>
      </c>
      <c r="F1236">
        <v>31</v>
      </c>
      <c r="G1236" t="s">
        <v>15</v>
      </c>
      <c r="H1236">
        <v>1</v>
      </c>
      <c r="I1236">
        <v>25</v>
      </c>
      <c r="J1236">
        <v>13.5</v>
      </c>
      <c r="K1236">
        <v>25</v>
      </c>
    </row>
    <row r="1237" spans="1:11">
      <c r="A1237">
        <v>427</v>
      </c>
      <c r="B1237" s="1">
        <v>45246</v>
      </c>
      <c r="C1237" s="2">
        <v>0.8930555555555556</v>
      </c>
      <c r="D1237">
        <v>120</v>
      </c>
      <c r="E1237" t="s">
        <v>11</v>
      </c>
      <c r="F1237">
        <v>25</v>
      </c>
      <c r="G1237" t="s">
        <v>15</v>
      </c>
      <c r="H1237">
        <v>1</v>
      </c>
      <c r="I1237">
        <v>25</v>
      </c>
      <c r="J1237">
        <v>11.75</v>
      </c>
      <c r="K1237">
        <v>25</v>
      </c>
    </row>
    <row r="1238" spans="1:11">
      <c r="A1238">
        <v>569</v>
      </c>
      <c r="B1238" s="1">
        <v>44680</v>
      </c>
      <c r="C1238" s="2">
        <v>0.86736111111111114</v>
      </c>
      <c r="D1238">
        <v>132</v>
      </c>
      <c r="E1238" t="s">
        <v>11</v>
      </c>
      <c r="F1238">
        <v>52</v>
      </c>
      <c r="G1238" t="s">
        <v>15</v>
      </c>
      <c r="H1238">
        <v>4</v>
      </c>
      <c r="I1238">
        <v>50</v>
      </c>
      <c r="J1238">
        <v>19</v>
      </c>
      <c r="K1238">
        <v>200</v>
      </c>
    </row>
    <row r="1239" spans="1:11">
      <c r="A1239">
        <v>570</v>
      </c>
      <c r="B1239" s="1">
        <v>44721</v>
      </c>
      <c r="C1239" s="2">
        <v>0.95347222222222228</v>
      </c>
      <c r="D1239">
        <v>91</v>
      </c>
      <c r="E1239" t="s">
        <v>11</v>
      </c>
      <c r="F1239">
        <v>49</v>
      </c>
      <c r="G1239" t="s">
        <v>12</v>
      </c>
      <c r="H1239">
        <v>1</v>
      </c>
      <c r="I1239">
        <v>500</v>
      </c>
      <c r="J1239">
        <v>185</v>
      </c>
      <c r="K1239">
        <v>500</v>
      </c>
    </row>
    <row r="1240" spans="1:11">
      <c r="A1240">
        <v>630</v>
      </c>
      <c r="B1240" s="1">
        <v>45006</v>
      </c>
      <c r="C1240" s="2">
        <v>0.72847222222222219</v>
      </c>
      <c r="D1240">
        <v>94</v>
      </c>
      <c r="E1240" t="s">
        <v>11</v>
      </c>
      <c r="F1240">
        <v>42</v>
      </c>
      <c r="G1240" t="s">
        <v>12</v>
      </c>
      <c r="H1240">
        <v>2</v>
      </c>
      <c r="I1240">
        <v>50</v>
      </c>
      <c r="J1240">
        <v>25.5</v>
      </c>
      <c r="K1240">
        <v>100</v>
      </c>
    </row>
    <row r="1241" spans="1:11">
      <c r="A1241">
        <v>957</v>
      </c>
      <c r="B1241" s="1">
        <v>45096</v>
      </c>
      <c r="C1241" s="2">
        <v>0.79166666666666663</v>
      </c>
      <c r="D1241">
        <v>105</v>
      </c>
      <c r="E1241" t="s">
        <v>14</v>
      </c>
      <c r="F1241">
        <v>60</v>
      </c>
      <c r="G1241" t="s">
        <v>15</v>
      </c>
      <c r="H1241">
        <v>4</v>
      </c>
      <c r="I1241">
        <v>30</v>
      </c>
      <c r="J1241">
        <v>9.3000000000000007</v>
      </c>
      <c r="K1241">
        <v>120</v>
      </c>
    </row>
    <row r="1242" spans="1:11">
      <c r="A1242">
        <v>1285</v>
      </c>
      <c r="B1242" s="1">
        <v>45078</v>
      </c>
      <c r="C1242" s="2">
        <v>0.91319444444444442</v>
      </c>
      <c r="D1242">
        <v>130</v>
      </c>
      <c r="E1242" t="s">
        <v>14</v>
      </c>
      <c r="F1242">
        <v>31</v>
      </c>
      <c r="G1242" t="s">
        <v>15</v>
      </c>
      <c r="H1242">
        <v>1</v>
      </c>
      <c r="I1242">
        <v>25</v>
      </c>
      <c r="J1242">
        <v>12.25</v>
      </c>
      <c r="K1242">
        <v>25</v>
      </c>
    </row>
    <row r="1243" spans="1:11">
      <c r="A1243">
        <v>1427</v>
      </c>
      <c r="B1243" s="1">
        <v>45122</v>
      </c>
      <c r="C1243" s="2">
        <v>0.77500000000000002</v>
      </c>
      <c r="D1243">
        <v>92</v>
      </c>
      <c r="E1243" t="s">
        <v>11</v>
      </c>
      <c r="F1243">
        <v>25</v>
      </c>
      <c r="G1243" t="s">
        <v>15</v>
      </c>
      <c r="H1243">
        <v>1</v>
      </c>
      <c r="I1243">
        <v>25</v>
      </c>
      <c r="J1243">
        <v>11.5</v>
      </c>
      <c r="K1243">
        <v>25</v>
      </c>
    </row>
    <row r="1244" spans="1:11">
      <c r="A1244">
        <v>1569</v>
      </c>
      <c r="B1244" s="1">
        <v>45260</v>
      </c>
      <c r="C1244" s="2">
        <v>0.87986111111111109</v>
      </c>
      <c r="D1244">
        <v>35</v>
      </c>
      <c r="E1244" t="s">
        <v>11</v>
      </c>
      <c r="F1244">
        <v>52</v>
      </c>
      <c r="G1244" t="s">
        <v>15</v>
      </c>
      <c r="H1244">
        <v>4</v>
      </c>
      <c r="I1244">
        <v>50</v>
      </c>
      <c r="J1244">
        <v>18</v>
      </c>
      <c r="K1244">
        <v>200</v>
      </c>
    </row>
    <row r="1245" spans="1:11">
      <c r="A1245">
        <v>1570</v>
      </c>
      <c r="B1245" s="1">
        <v>45092</v>
      </c>
      <c r="C1245" s="2">
        <v>0.93888888888888888</v>
      </c>
      <c r="D1245">
        <v>109</v>
      </c>
      <c r="E1245" t="s">
        <v>11</v>
      </c>
      <c r="F1245">
        <v>49</v>
      </c>
      <c r="G1245" t="s">
        <v>12</v>
      </c>
      <c r="H1245">
        <v>1</v>
      </c>
      <c r="I1245">
        <v>500</v>
      </c>
      <c r="J1245">
        <v>170</v>
      </c>
      <c r="K1245">
        <v>500</v>
      </c>
    </row>
    <row r="1246" spans="1:11">
      <c r="A1246">
        <v>1630</v>
      </c>
      <c r="B1246" s="1">
        <v>44703</v>
      </c>
      <c r="C1246" s="2">
        <v>0.72361111111111109</v>
      </c>
      <c r="D1246">
        <v>95</v>
      </c>
      <c r="E1246" t="s">
        <v>11</v>
      </c>
      <c r="F1246">
        <v>42</v>
      </c>
      <c r="G1246" t="s">
        <v>12</v>
      </c>
      <c r="H1246">
        <v>2</v>
      </c>
      <c r="I1246">
        <v>50</v>
      </c>
      <c r="J1246">
        <v>16</v>
      </c>
      <c r="K1246">
        <v>100</v>
      </c>
    </row>
    <row r="1247" spans="1:11">
      <c r="A1247">
        <v>1957</v>
      </c>
      <c r="B1247" s="1">
        <v>44859</v>
      </c>
      <c r="C1247" s="2">
        <v>0.79166666666666663</v>
      </c>
      <c r="D1247">
        <v>75</v>
      </c>
      <c r="E1247" t="s">
        <v>14</v>
      </c>
      <c r="F1247">
        <v>60</v>
      </c>
      <c r="G1247" t="s">
        <v>15</v>
      </c>
      <c r="H1247">
        <v>4</v>
      </c>
      <c r="I1247">
        <v>30</v>
      </c>
      <c r="J1247">
        <v>14.7</v>
      </c>
      <c r="K1247">
        <v>120</v>
      </c>
    </row>
    <row r="1248" spans="1:11">
      <c r="A1248">
        <v>635</v>
      </c>
      <c r="B1248" s="1">
        <v>44899</v>
      </c>
      <c r="C1248" s="2">
        <v>0.87708333333333333</v>
      </c>
      <c r="D1248">
        <v>89</v>
      </c>
      <c r="E1248" t="s">
        <v>14</v>
      </c>
      <c r="F1248">
        <v>63</v>
      </c>
      <c r="G1248" t="s">
        <v>15</v>
      </c>
      <c r="H1248">
        <v>3</v>
      </c>
      <c r="I1248">
        <v>300</v>
      </c>
      <c r="J1248">
        <v>129</v>
      </c>
      <c r="K1248">
        <v>900</v>
      </c>
    </row>
    <row r="1249" spans="1:11">
      <c r="A1249">
        <v>1635</v>
      </c>
      <c r="B1249" s="1">
        <v>45033</v>
      </c>
      <c r="C1249" s="2">
        <v>0.75555555555555554</v>
      </c>
      <c r="D1249">
        <v>36</v>
      </c>
      <c r="E1249" t="s">
        <v>14</v>
      </c>
      <c r="F1249">
        <v>63</v>
      </c>
      <c r="G1249" t="s">
        <v>15</v>
      </c>
      <c r="H1249">
        <v>3</v>
      </c>
      <c r="I1249">
        <v>300</v>
      </c>
      <c r="J1249">
        <v>159</v>
      </c>
      <c r="K1249">
        <v>900</v>
      </c>
    </row>
    <row r="1250" spans="1:11">
      <c r="A1250">
        <v>29</v>
      </c>
      <c r="B1250" s="1">
        <v>44628</v>
      </c>
      <c r="C1250" s="2">
        <v>0.84027777777777779</v>
      </c>
      <c r="D1250">
        <v>31</v>
      </c>
      <c r="E1250" t="s">
        <v>14</v>
      </c>
      <c r="F1250">
        <v>42</v>
      </c>
      <c r="G1250" t="s">
        <v>15</v>
      </c>
      <c r="H1250">
        <v>1</v>
      </c>
      <c r="I1250">
        <v>30</v>
      </c>
      <c r="J1250">
        <v>13.5</v>
      </c>
      <c r="K1250">
        <v>30</v>
      </c>
    </row>
    <row r="1251" spans="1:11">
      <c r="A1251">
        <v>277</v>
      </c>
      <c r="B1251" s="1">
        <v>45110</v>
      </c>
      <c r="C1251" s="2">
        <v>0.92361111111111116</v>
      </c>
      <c r="D1251">
        <v>139</v>
      </c>
      <c r="E1251" t="s">
        <v>11</v>
      </c>
      <c r="F1251">
        <v>36</v>
      </c>
      <c r="G1251" t="s">
        <v>12</v>
      </c>
      <c r="H1251">
        <v>4</v>
      </c>
      <c r="I1251">
        <v>25</v>
      </c>
      <c r="J1251">
        <v>12.25</v>
      </c>
      <c r="K1251">
        <v>100</v>
      </c>
    </row>
    <row r="1252" spans="1:11">
      <c r="A1252">
        <v>859</v>
      </c>
      <c r="B1252" s="1">
        <v>44824</v>
      </c>
      <c r="C1252" s="2">
        <v>0.91111111111111109</v>
      </c>
      <c r="D1252">
        <v>46</v>
      </c>
      <c r="E1252" t="s">
        <v>14</v>
      </c>
      <c r="F1252">
        <v>56</v>
      </c>
      <c r="G1252" t="s">
        <v>15</v>
      </c>
      <c r="H1252">
        <v>3</v>
      </c>
      <c r="I1252">
        <v>500</v>
      </c>
      <c r="J1252">
        <v>190</v>
      </c>
      <c r="K1252">
        <v>1500</v>
      </c>
    </row>
    <row r="1253" spans="1:11">
      <c r="A1253">
        <v>1029</v>
      </c>
      <c r="B1253" s="1">
        <v>45125</v>
      </c>
      <c r="C1253" s="2">
        <v>0.80763888888888891</v>
      </c>
      <c r="D1253">
        <v>117</v>
      </c>
      <c r="E1253" t="s">
        <v>14</v>
      </c>
      <c r="F1253">
        <v>42</v>
      </c>
      <c r="G1253" t="s">
        <v>15</v>
      </c>
      <c r="H1253">
        <v>1</v>
      </c>
      <c r="I1253">
        <v>30</v>
      </c>
      <c r="J1253">
        <v>12.3</v>
      </c>
      <c r="K1253">
        <v>30</v>
      </c>
    </row>
    <row r="1254" spans="1:11">
      <c r="A1254">
        <v>1277</v>
      </c>
      <c r="B1254" s="1">
        <v>45216</v>
      </c>
      <c r="C1254" s="2">
        <v>0.88888888888888884</v>
      </c>
      <c r="D1254">
        <v>80</v>
      </c>
      <c r="E1254" t="s">
        <v>11</v>
      </c>
      <c r="F1254">
        <v>36</v>
      </c>
      <c r="G1254" t="s">
        <v>12</v>
      </c>
      <c r="H1254">
        <v>4</v>
      </c>
      <c r="I1254">
        <v>25</v>
      </c>
      <c r="J1254">
        <v>12.75</v>
      </c>
      <c r="K1254">
        <v>100</v>
      </c>
    </row>
    <row r="1255" spans="1:11">
      <c r="A1255">
        <v>1859</v>
      </c>
      <c r="B1255" s="1">
        <v>44818</v>
      </c>
      <c r="C1255" s="2">
        <v>0.87361111111111112</v>
      </c>
      <c r="D1255">
        <v>32</v>
      </c>
      <c r="E1255" t="s">
        <v>14</v>
      </c>
      <c r="F1255">
        <v>56</v>
      </c>
      <c r="G1255" t="s">
        <v>15</v>
      </c>
      <c r="H1255">
        <v>3</v>
      </c>
      <c r="I1255">
        <v>500</v>
      </c>
      <c r="J1255">
        <v>205</v>
      </c>
      <c r="K1255">
        <v>1500</v>
      </c>
    </row>
    <row r="1256" spans="1:11">
      <c r="A1256">
        <v>638</v>
      </c>
      <c r="B1256" s="1">
        <v>44936</v>
      </c>
      <c r="C1256" s="2">
        <v>0.82777777777777772</v>
      </c>
      <c r="D1256">
        <v>154</v>
      </c>
      <c r="E1256" t="s">
        <v>11</v>
      </c>
      <c r="F1256">
        <v>46</v>
      </c>
      <c r="G1256" t="s">
        <v>15</v>
      </c>
      <c r="H1256">
        <v>1</v>
      </c>
      <c r="I1256">
        <v>500</v>
      </c>
      <c r="J1256">
        <v>190</v>
      </c>
      <c r="K1256">
        <v>500</v>
      </c>
    </row>
    <row r="1257" spans="1:11">
      <c r="A1257">
        <v>823</v>
      </c>
      <c r="B1257" s="1">
        <v>45263</v>
      </c>
      <c r="C1257" s="2">
        <v>0.73750000000000004</v>
      </c>
      <c r="D1257">
        <v>66</v>
      </c>
      <c r="E1257" t="s">
        <v>14</v>
      </c>
      <c r="F1257">
        <v>56</v>
      </c>
      <c r="G1257" t="s">
        <v>15</v>
      </c>
      <c r="H1257">
        <v>2</v>
      </c>
      <c r="I1257">
        <v>50</v>
      </c>
      <c r="J1257">
        <v>25</v>
      </c>
      <c r="K1257">
        <v>100</v>
      </c>
    </row>
    <row r="1258" spans="1:11">
      <c r="A1258">
        <v>956</v>
      </c>
      <c r="B1258" s="1">
        <v>45040</v>
      </c>
      <c r="C1258" s="2">
        <v>0.90972222222222221</v>
      </c>
      <c r="D1258">
        <v>140</v>
      </c>
      <c r="E1258" t="s">
        <v>11</v>
      </c>
      <c r="F1258">
        <v>30</v>
      </c>
      <c r="G1258" t="s">
        <v>12</v>
      </c>
      <c r="H1258">
        <v>3</v>
      </c>
      <c r="I1258">
        <v>500</v>
      </c>
      <c r="J1258">
        <v>135</v>
      </c>
      <c r="K1258">
        <v>1500</v>
      </c>
    </row>
    <row r="1259" spans="1:11">
      <c r="A1259">
        <v>981</v>
      </c>
      <c r="B1259" s="1">
        <v>44597</v>
      </c>
      <c r="C1259" s="2">
        <v>0.88055555555555554</v>
      </c>
      <c r="D1259">
        <v>5</v>
      </c>
      <c r="E1259" t="s">
        <v>14</v>
      </c>
      <c r="F1259">
        <v>30</v>
      </c>
      <c r="G1259" t="s">
        <v>15</v>
      </c>
      <c r="H1259">
        <v>2</v>
      </c>
      <c r="I1259">
        <v>30</v>
      </c>
      <c r="J1259">
        <v>12.9</v>
      </c>
      <c r="K1259">
        <v>60</v>
      </c>
    </row>
    <row r="1260" spans="1:11">
      <c r="A1260">
        <v>1638</v>
      </c>
      <c r="B1260" s="1">
        <v>44786</v>
      </c>
      <c r="C1260" s="2">
        <v>0.7680555555555556</v>
      </c>
      <c r="D1260">
        <v>37</v>
      </c>
      <c r="E1260" t="s">
        <v>11</v>
      </c>
      <c r="F1260">
        <v>46</v>
      </c>
      <c r="G1260" t="s">
        <v>15</v>
      </c>
      <c r="H1260">
        <v>1</v>
      </c>
      <c r="I1260">
        <v>500</v>
      </c>
      <c r="J1260">
        <v>155</v>
      </c>
      <c r="K1260">
        <v>500</v>
      </c>
    </row>
    <row r="1261" spans="1:11">
      <c r="A1261">
        <v>1823</v>
      </c>
      <c r="B1261" s="1">
        <v>44873</v>
      </c>
      <c r="C1261" s="2">
        <v>0.93611111111111112</v>
      </c>
      <c r="D1261">
        <v>58</v>
      </c>
      <c r="E1261" t="s">
        <v>14</v>
      </c>
      <c r="F1261">
        <v>56</v>
      </c>
      <c r="G1261" t="s">
        <v>15</v>
      </c>
      <c r="H1261">
        <v>2</v>
      </c>
      <c r="I1261">
        <v>50</v>
      </c>
      <c r="J1261">
        <v>26.5</v>
      </c>
      <c r="K1261">
        <v>100</v>
      </c>
    </row>
    <row r="1262" spans="1:11">
      <c r="A1262">
        <v>1956</v>
      </c>
      <c r="B1262" s="1">
        <v>45078</v>
      </c>
      <c r="C1262" s="2">
        <v>0.86111111111111116</v>
      </c>
      <c r="D1262">
        <v>62</v>
      </c>
      <c r="E1262" t="s">
        <v>11</v>
      </c>
      <c r="F1262">
        <v>30</v>
      </c>
      <c r="G1262" t="s">
        <v>12</v>
      </c>
      <c r="H1262">
        <v>3</v>
      </c>
      <c r="I1262">
        <v>500</v>
      </c>
      <c r="J1262">
        <v>170</v>
      </c>
      <c r="K1262">
        <v>1500</v>
      </c>
    </row>
    <row r="1263" spans="1:11">
      <c r="A1263">
        <v>1981</v>
      </c>
      <c r="B1263" s="1">
        <v>44717</v>
      </c>
      <c r="C1263" s="2">
        <v>0.95138888888888884</v>
      </c>
      <c r="D1263">
        <v>19</v>
      </c>
      <c r="E1263" t="s">
        <v>14</v>
      </c>
      <c r="F1263">
        <v>30</v>
      </c>
      <c r="G1263" t="s">
        <v>15</v>
      </c>
      <c r="H1263">
        <v>2</v>
      </c>
      <c r="I1263">
        <v>30</v>
      </c>
      <c r="J1263">
        <v>11.7</v>
      </c>
      <c r="K1263">
        <v>60</v>
      </c>
    </row>
    <row r="1264" spans="1:11">
      <c r="A1264">
        <v>219</v>
      </c>
      <c r="B1264" s="1">
        <v>45185</v>
      </c>
      <c r="C1264" s="2">
        <v>0.94027777777777777</v>
      </c>
      <c r="D1264">
        <v>79</v>
      </c>
      <c r="E1264" t="s">
        <v>14</v>
      </c>
      <c r="F1264">
        <v>53</v>
      </c>
      <c r="G1264" t="s">
        <v>15</v>
      </c>
      <c r="H1264">
        <v>3</v>
      </c>
      <c r="I1264">
        <v>30</v>
      </c>
      <c r="J1264">
        <v>10.199999999999999</v>
      </c>
      <c r="K1264">
        <v>90</v>
      </c>
    </row>
    <row r="1265" spans="1:11">
      <c r="A1265">
        <v>1219</v>
      </c>
      <c r="B1265" s="1">
        <v>44867</v>
      </c>
      <c r="C1265" s="2">
        <v>0.90763888888888888</v>
      </c>
      <c r="D1265">
        <v>149</v>
      </c>
      <c r="E1265" t="s">
        <v>14</v>
      </c>
      <c r="F1265">
        <v>53</v>
      </c>
      <c r="G1265" t="s">
        <v>15</v>
      </c>
      <c r="H1265">
        <v>3</v>
      </c>
      <c r="I1265">
        <v>30</v>
      </c>
      <c r="J1265">
        <v>11.1</v>
      </c>
      <c r="K1265">
        <v>90</v>
      </c>
    </row>
    <row r="1266" spans="1:11">
      <c r="A1266">
        <v>73</v>
      </c>
      <c r="B1266" s="1">
        <v>44575</v>
      </c>
      <c r="C1266" s="2">
        <v>0.90763888888888888</v>
      </c>
      <c r="D1266">
        <v>42</v>
      </c>
      <c r="E1266" t="s">
        <v>11</v>
      </c>
      <c r="F1266">
        <v>29</v>
      </c>
      <c r="G1266" t="s">
        <v>15</v>
      </c>
      <c r="H1266">
        <v>3</v>
      </c>
      <c r="I1266">
        <v>30</v>
      </c>
      <c r="J1266">
        <v>9</v>
      </c>
      <c r="K1266">
        <v>90</v>
      </c>
    </row>
    <row r="1267" spans="1:11">
      <c r="A1267">
        <v>162</v>
      </c>
      <c r="B1267" s="1">
        <v>45027</v>
      </c>
      <c r="C1267" s="2">
        <v>0.81736111111111109</v>
      </c>
      <c r="D1267">
        <v>118</v>
      </c>
      <c r="E1267" t="s">
        <v>11</v>
      </c>
      <c r="F1267">
        <v>39</v>
      </c>
      <c r="G1267" t="s">
        <v>12</v>
      </c>
      <c r="H1267">
        <v>2</v>
      </c>
      <c r="I1267">
        <v>30</v>
      </c>
      <c r="J1267">
        <v>9</v>
      </c>
      <c r="K1267">
        <v>60</v>
      </c>
    </row>
    <row r="1268" spans="1:11">
      <c r="A1268">
        <v>306</v>
      </c>
      <c r="B1268" s="1">
        <v>44565</v>
      </c>
      <c r="C1268" s="2">
        <v>0.92013888888888884</v>
      </c>
      <c r="D1268">
        <v>148</v>
      </c>
      <c r="E1268" t="s">
        <v>11</v>
      </c>
      <c r="F1268">
        <v>54</v>
      </c>
      <c r="G1268" t="s">
        <v>15</v>
      </c>
      <c r="H1268">
        <v>1</v>
      </c>
      <c r="I1268">
        <v>50</v>
      </c>
      <c r="J1268">
        <v>26.5</v>
      </c>
      <c r="K1268">
        <v>50</v>
      </c>
    </row>
    <row r="1269" spans="1:11">
      <c r="A1269">
        <v>725</v>
      </c>
      <c r="B1269" s="1">
        <v>45190</v>
      </c>
      <c r="C1269" s="2">
        <v>0.85555555555555551</v>
      </c>
      <c r="D1269">
        <v>2</v>
      </c>
      <c r="E1269" t="s">
        <v>11</v>
      </c>
      <c r="F1269">
        <v>61</v>
      </c>
      <c r="G1269" t="s">
        <v>15</v>
      </c>
      <c r="H1269">
        <v>1</v>
      </c>
      <c r="I1269">
        <v>300</v>
      </c>
      <c r="J1269">
        <v>153</v>
      </c>
      <c r="K1269">
        <v>300</v>
      </c>
    </row>
    <row r="1270" spans="1:11">
      <c r="A1270">
        <v>880</v>
      </c>
      <c r="B1270" s="1">
        <v>45195</v>
      </c>
      <c r="C1270" s="2">
        <v>0.84236111111111112</v>
      </c>
      <c r="D1270">
        <v>63</v>
      </c>
      <c r="E1270" t="s">
        <v>11</v>
      </c>
      <c r="F1270">
        <v>22</v>
      </c>
      <c r="G1270" t="s">
        <v>13</v>
      </c>
      <c r="H1270">
        <v>2</v>
      </c>
      <c r="I1270">
        <v>500</v>
      </c>
      <c r="J1270">
        <v>175</v>
      </c>
      <c r="K1270">
        <v>1000</v>
      </c>
    </row>
    <row r="1271" spans="1:11">
      <c r="A1271">
        <v>992</v>
      </c>
      <c r="B1271" s="1">
        <v>45214</v>
      </c>
      <c r="C1271" s="2">
        <v>0.81527777777777777</v>
      </c>
      <c r="D1271">
        <v>134</v>
      </c>
      <c r="E1271" t="s">
        <v>14</v>
      </c>
      <c r="F1271">
        <v>57</v>
      </c>
      <c r="G1271" t="s">
        <v>15</v>
      </c>
      <c r="H1271">
        <v>2</v>
      </c>
      <c r="I1271">
        <v>30</v>
      </c>
      <c r="J1271">
        <v>7.8</v>
      </c>
      <c r="K1271">
        <v>60</v>
      </c>
    </row>
    <row r="1272" spans="1:11">
      <c r="A1272">
        <v>1073</v>
      </c>
      <c r="B1272" s="1">
        <v>44613</v>
      </c>
      <c r="C1272" s="2">
        <v>0.76111111111111107</v>
      </c>
      <c r="D1272">
        <v>82</v>
      </c>
      <c r="E1272" t="s">
        <v>11</v>
      </c>
      <c r="F1272">
        <v>29</v>
      </c>
      <c r="G1272" t="s">
        <v>15</v>
      </c>
      <c r="H1272">
        <v>3</v>
      </c>
      <c r="I1272">
        <v>30</v>
      </c>
      <c r="J1272">
        <v>15.3</v>
      </c>
      <c r="K1272">
        <v>90</v>
      </c>
    </row>
    <row r="1273" spans="1:11">
      <c r="A1273">
        <v>1162</v>
      </c>
      <c r="B1273" s="1">
        <v>44755</v>
      </c>
      <c r="C1273" s="2">
        <v>0.71388888888888891</v>
      </c>
      <c r="D1273">
        <v>101</v>
      </c>
      <c r="E1273" t="s">
        <v>11</v>
      </c>
      <c r="F1273">
        <v>39</v>
      </c>
      <c r="G1273" t="s">
        <v>12</v>
      </c>
      <c r="H1273">
        <v>2</v>
      </c>
      <c r="I1273">
        <v>30</v>
      </c>
      <c r="J1273">
        <v>12.6</v>
      </c>
      <c r="K1273">
        <v>60</v>
      </c>
    </row>
    <row r="1274" spans="1:11">
      <c r="A1274">
        <v>1306</v>
      </c>
      <c r="B1274" s="1">
        <v>45241</v>
      </c>
      <c r="C1274" s="2">
        <v>0.87291666666666667</v>
      </c>
      <c r="D1274">
        <v>122</v>
      </c>
      <c r="E1274" t="s">
        <v>11</v>
      </c>
      <c r="F1274">
        <v>54</v>
      </c>
      <c r="G1274" t="s">
        <v>15</v>
      </c>
      <c r="H1274">
        <v>1</v>
      </c>
      <c r="I1274">
        <v>50</v>
      </c>
      <c r="J1274">
        <v>18.5</v>
      </c>
      <c r="K1274">
        <v>50</v>
      </c>
    </row>
    <row r="1275" spans="1:11">
      <c r="A1275">
        <v>1725</v>
      </c>
      <c r="B1275" s="1">
        <v>44697</v>
      </c>
      <c r="C1275" s="2">
        <v>0.87638888888888888</v>
      </c>
      <c r="D1275">
        <v>109</v>
      </c>
      <c r="E1275" t="s">
        <v>11</v>
      </c>
      <c r="F1275">
        <v>61</v>
      </c>
      <c r="G1275" t="s">
        <v>15</v>
      </c>
      <c r="H1275">
        <v>1</v>
      </c>
      <c r="I1275">
        <v>300</v>
      </c>
      <c r="J1275">
        <v>105</v>
      </c>
      <c r="K1275">
        <v>300</v>
      </c>
    </row>
    <row r="1276" spans="1:11">
      <c r="A1276">
        <v>1880</v>
      </c>
      <c r="B1276" s="1">
        <v>45091</v>
      </c>
      <c r="C1276" s="2">
        <v>0.8354166666666667</v>
      </c>
      <c r="D1276">
        <v>37</v>
      </c>
      <c r="E1276" t="s">
        <v>11</v>
      </c>
      <c r="F1276">
        <v>22</v>
      </c>
      <c r="G1276" t="s">
        <v>13</v>
      </c>
      <c r="H1276">
        <v>2</v>
      </c>
      <c r="I1276">
        <v>500</v>
      </c>
      <c r="J1276">
        <v>175</v>
      </c>
      <c r="K1276">
        <v>1000</v>
      </c>
    </row>
    <row r="1277" spans="1:11">
      <c r="A1277">
        <v>1992</v>
      </c>
      <c r="B1277" s="1">
        <v>45065</v>
      </c>
      <c r="C1277" s="2">
        <v>0.89930555555555558</v>
      </c>
      <c r="D1277">
        <v>70</v>
      </c>
      <c r="E1277" t="s">
        <v>14</v>
      </c>
      <c r="F1277">
        <v>57</v>
      </c>
      <c r="G1277" t="s">
        <v>15</v>
      </c>
      <c r="H1277">
        <v>2</v>
      </c>
      <c r="I1277">
        <v>30</v>
      </c>
      <c r="J1277">
        <v>8.6999999999999993</v>
      </c>
      <c r="K1277">
        <v>60</v>
      </c>
    </row>
    <row r="1278" spans="1:11">
      <c r="A1278">
        <v>597</v>
      </c>
      <c r="B1278" s="1">
        <v>44866</v>
      </c>
      <c r="C1278" s="2">
        <v>0.81180555555555556</v>
      </c>
      <c r="D1278">
        <v>84</v>
      </c>
      <c r="E1278" t="s">
        <v>11</v>
      </c>
      <c r="F1278">
        <v>22</v>
      </c>
      <c r="G1278" t="s">
        <v>13</v>
      </c>
      <c r="H1278">
        <v>4</v>
      </c>
      <c r="I1278">
        <v>300</v>
      </c>
      <c r="J1278">
        <v>111</v>
      </c>
      <c r="K1278">
        <v>1200</v>
      </c>
    </row>
    <row r="1279" spans="1:11">
      <c r="A1279">
        <v>622</v>
      </c>
      <c r="B1279" s="1">
        <v>44850</v>
      </c>
      <c r="C1279" s="2">
        <v>0.91666666666666663</v>
      </c>
      <c r="D1279">
        <v>155</v>
      </c>
      <c r="E1279" t="s">
        <v>14</v>
      </c>
      <c r="F1279">
        <v>49</v>
      </c>
      <c r="G1279" t="s">
        <v>13</v>
      </c>
      <c r="H1279">
        <v>3</v>
      </c>
      <c r="I1279">
        <v>25</v>
      </c>
      <c r="J1279">
        <v>6.25</v>
      </c>
      <c r="K1279">
        <v>75</v>
      </c>
    </row>
    <row r="1280" spans="1:11">
      <c r="A1280">
        <v>1597</v>
      </c>
      <c r="B1280" s="1">
        <v>45166</v>
      </c>
      <c r="C1280" s="2">
        <v>0.76458333333333328</v>
      </c>
      <c r="D1280">
        <v>32</v>
      </c>
      <c r="E1280" t="s">
        <v>11</v>
      </c>
      <c r="F1280">
        <v>22</v>
      </c>
      <c r="G1280" t="s">
        <v>13</v>
      </c>
      <c r="H1280">
        <v>4</v>
      </c>
      <c r="I1280">
        <v>300</v>
      </c>
      <c r="J1280">
        <v>78</v>
      </c>
      <c r="K1280">
        <v>1200</v>
      </c>
    </row>
    <row r="1281" spans="1:11">
      <c r="A1281">
        <v>1622</v>
      </c>
      <c r="B1281" s="1">
        <v>45038</v>
      </c>
      <c r="C1281" s="2">
        <v>0.89444444444444449</v>
      </c>
      <c r="D1281">
        <v>54</v>
      </c>
      <c r="E1281" t="s">
        <v>14</v>
      </c>
      <c r="F1281">
        <v>49</v>
      </c>
      <c r="G1281" t="s">
        <v>13</v>
      </c>
      <c r="H1281">
        <v>3</v>
      </c>
      <c r="I1281">
        <v>25</v>
      </c>
      <c r="J1281">
        <v>11.75</v>
      </c>
      <c r="K1281">
        <v>75</v>
      </c>
    </row>
    <row r="1282" spans="1:11">
      <c r="A1282">
        <v>116</v>
      </c>
      <c r="B1282" s="1">
        <v>45099</v>
      </c>
      <c r="C1282" s="2">
        <v>0.83611111111111114</v>
      </c>
      <c r="D1282">
        <v>58</v>
      </c>
      <c r="E1282" t="s">
        <v>14</v>
      </c>
      <c r="F1282">
        <v>23</v>
      </c>
      <c r="G1282" t="s">
        <v>12</v>
      </c>
      <c r="H1282">
        <v>1</v>
      </c>
      <c r="I1282">
        <v>30</v>
      </c>
      <c r="J1282">
        <v>15</v>
      </c>
      <c r="K1282">
        <v>30</v>
      </c>
    </row>
    <row r="1283" spans="1:11">
      <c r="A1283">
        <v>364</v>
      </c>
      <c r="B1283" s="1">
        <v>44719</v>
      </c>
      <c r="C1283" s="2">
        <v>0.79583333333333328</v>
      </c>
      <c r="D1283">
        <v>98</v>
      </c>
      <c r="E1283" t="s">
        <v>14</v>
      </c>
      <c r="F1283">
        <v>19</v>
      </c>
      <c r="G1283" t="s">
        <v>13</v>
      </c>
      <c r="H1283">
        <v>1</v>
      </c>
      <c r="I1283">
        <v>500</v>
      </c>
      <c r="J1283">
        <v>200</v>
      </c>
      <c r="K1283">
        <v>500</v>
      </c>
    </row>
    <row r="1284" spans="1:11">
      <c r="A1284">
        <v>368</v>
      </c>
      <c r="B1284" s="1">
        <v>44957</v>
      </c>
      <c r="C1284" s="2">
        <v>0.88263888888888886</v>
      </c>
      <c r="D1284">
        <v>90</v>
      </c>
      <c r="E1284" t="s">
        <v>14</v>
      </c>
      <c r="F1284">
        <v>56</v>
      </c>
      <c r="G1284" t="s">
        <v>12</v>
      </c>
      <c r="H1284">
        <v>4</v>
      </c>
      <c r="I1284">
        <v>300</v>
      </c>
      <c r="J1284">
        <v>132</v>
      </c>
      <c r="K1284">
        <v>1200</v>
      </c>
    </row>
    <row r="1285" spans="1:11">
      <c r="A1285">
        <v>1116</v>
      </c>
      <c r="B1285" s="1">
        <v>44788</v>
      </c>
      <c r="C1285" s="2">
        <v>0.93472222222222223</v>
      </c>
      <c r="D1285">
        <v>145</v>
      </c>
      <c r="E1285" t="s">
        <v>14</v>
      </c>
      <c r="F1285">
        <v>23</v>
      </c>
      <c r="G1285" t="s">
        <v>12</v>
      </c>
      <c r="H1285">
        <v>1</v>
      </c>
      <c r="I1285">
        <v>30</v>
      </c>
      <c r="J1285">
        <v>12.3</v>
      </c>
      <c r="K1285">
        <v>30</v>
      </c>
    </row>
    <row r="1286" spans="1:11">
      <c r="A1286">
        <v>1364</v>
      </c>
      <c r="B1286" s="1">
        <v>45192</v>
      </c>
      <c r="C1286" s="2">
        <v>0.71111111111111114</v>
      </c>
      <c r="D1286">
        <v>72</v>
      </c>
      <c r="E1286" t="s">
        <v>14</v>
      </c>
      <c r="F1286">
        <v>19</v>
      </c>
      <c r="G1286" t="s">
        <v>13</v>
      </c>
      <c r="H1286">
        <v>1</v>
      </c>
      <c r="I1286">
        <v>500</v>
      </c>
      <c r="J1286">
        <v>250</v>
      </c>
      <c r="K1286">
        <v>500</v>
      </c>
    </row>
    <row r="1287" spans="1:11">
      <c r="A1287">
        <v>1368</v>
      </c>
      <c r="B1287" s="1">
        <v>44628</v>
      </c>
      <c r="C1287" s="2">
        <v>0.89513888888888893</v>
      </c>
      <c r="D1287">
        <v>145</v>
      </c>
      <c r="E1287" t="s">
        <v>14</v>
      </c>
      <c r="F1287">
        <v>56</v>
      </c>
      <c r="G1287" t="s">
        <v>12</v>
      </c>
      <c r="H1287">
        <v>4</v>
      </c>
      <c r="I1287">
        <v>300</v>
      </c>
      <c r="J1287">
        <v>132</v>
      </c>
      <c r="K1287">
        <v>1200</v>
      </c>
    </row>
    <row r="1288" spans="1:11">
      <c r="A1288">
        <v>50</v>
      </c>
      <c r="B1288" s="1">
        <v>44649</v>
      </c>
      <c r="C1288" s="2">
        <v>0.78541666666666665</v>
      </c>
      <c r="D1288">
        <v>71</v>
      </c>
      <c r="E1288" t="s">
        <v>14</v>
      </c>
      <c r="F1288">
        <v>27</v>
      </c>
      <c r="G1288" t="s">
        <v>13</v>
      </c>
      <c r="H1288">
        <v>3</v>
      </c>
      <c r="I1288">
        <v>25</v>
      </c>
      <c r="J1288">
        <v>10.5</v>
      </c>
      <c r="K1288">
        <v>75</v>
      </c>
    </row>
    <row r="1289" spans="1:11">
      <c r="A1289">
        <v>479</v>
      </c>
      <c r="B1289" s="1">
        <v>44868</v>
      </c>
      <c r="C1289" s="2">
        <v>0.89930555555555558</v>
      </c>
      <c r="D1289">
        <v>90</v>
      </c>
      <c r="E1289" t="s">
        <v>11</v>
      </c>
      <c r="F1289">
        <v>52</v>
      </c>
      <c r="G1289" t="s">
        <v>15</v>
      </c>
      <c r="H1289">
        <v>4</v>
      </c>
      <c r="I1289">
        <v>300</v>
      </c>
      <c r="J1289">
        <v>105</v>
      </c>
      <c r="K1289">
        <v>1200</v>
      </c>
    </row>
    <row r="1290" spans="1:11">
      <c r="A1290">
        <v>804</v>
      </c>
      <c r="B1290" s="1">
        <v>45271</v>
      </c>
      <c r="C1290" s="2">
        <v>0.71666666666666667</v>
      </c>
      <c r="D1290">
        <v>99</v>
      </c>
      <c r="E1290" t="s">
        <v>11</v>
      </c>
      <c r="F1290">
        <v>42</v>
      </c>
      <c r="G1290" t="s">
        <v>15</v>
      </c>
      <c r="H1290">
        <v>1</v>
      </c>
      <c r="I1290">
        <v>30</v>
      </c>
      <c r="J1290">
        <v>10.8</v>
      </c>
      <c r="K1290">
        <v>30</v>
      </c>
    </row>
    <row r="1291" spans="1:11">
      <c r="A1291">
        <v>1050</v>
      </c>
      <c r="B1291" s="1">
        <v>44905</v>
      </c>
      <c r="C1291" s="2">
        <v>0.84375</v>
      </c>
      <c r="D1291">
        <v>24</v>
      </c>
      <c r="E1291" t="s">
        <v>14</v>
      </c>
      <c r="F1291">
        <v>27</v>
      </c>
      <c r="G1291" t="s">
        <v>13</v>
      </c>
      <c r="H1291">
        <v>3</v>
      </c>
      <c r="I1291">
        <v>25</v>
      </c>
      <c r="J1291">
        <v>11.25</v>
      </c>
      <c r="K1291">
        <v>75</v>
      </c>
    </row>
    <row r="1292" spans="1:11">
      <c r="A1292">
        <v>1479</v>
      </c>
      <c r="B1292" s="1">
        <v>44712</v>
      </c>
      <c r="C1292" s="2">
        <v>0.93333333333333335</v>
      </c>
      <c r="D1292">
        <v>108</v>
      </c>
      <c r="E1292" t="s">
        <v>11</v>
      </c>
      <c r="F1292">
        <v>52</v>
      </c>
      <c r="G1292" t="s">
        <v>15</v>
      </c>
      <c r="H1292">
        <v>4</v>
      </c>
      <c r="I1292">
        <v>300</v>
      </c>
      <c r="J1292">
        <v>162</v>
      </c>
      <c r="K1292">
        <v>1200</v>
      </c>
    </row>
    <row r="1293" spans="1:11">
      <c r="A1293">
        <v>1804</v>
      </c>
      <c r="B1293" s="1">
        <v>44936</v>
      </c>
      <c r="C1293" s="2">
        <v>0.94861111111111107</v>
      </c>
      <c r="D1293">
        <v>74</v>
      </c>
      <c r="E1293" t="s">
        <v>11</v>
      </c>
      <c r="F1293">
        <v>42</v>
      </c>
      <c r="G1293" t="s">
        <v>15</v>
      </c>
      <c r="H1293">
        <v>1</v>
      </c>
      <c r="I1293">
        <v>30</v>
      </c>
      <c r="J1293">
        <v>14.7</v>
      </c>
      <c r="K1293">
        <v>30</v>
      </c>
    </row>
    <row r="1294" spans="1:11">
      <c r="A1294">
        <v>92</v>
      </c>
      <c r="B1294" s="1">
        <v>44641</v>
      </c>
      <c r="C1294" s="2">
        <v>0.82013888888888886</v>
      </c>
      <c r="D1294">
        <v>10</v>
      </c>
      <c r="E1294" t="s">
        <v>14</v>
      </c>
      <c r="F1294">
        <v>51</v>
      </c>
      <c r="G1294" t="s">
        <v>15</v>
      </c>
      <c r="H1294">
        <v>4</v>
      </c>
      <c r="I1294">
        <v>30</v>
      </c>
      <c r="J1294">
        <v>8.6999999999999993</v>
      </c>
      <c r="K1294">
        <v>120</v>
      </c>
    </row>
    <row r="1295" spans="1:11">
      <c r="A1295">
        <v>282</v>
      </c>
      <c r="B1295" s="1">
        <v>45204</v>
      </c>
      <c r="C1295" s="2">
        <v>0.73541666666666672</v>
      </c>
      <c r="D1295">
        <v>10</v>
      </c>
      <c r="E1295" t="s">
        <v>14</v>
      </c>
      <c r="F1295">
        <v>64</v>
      </c>
      <c r="G1295" t="s">
        <v>15</v>
      </c>
      <c r="H1295">
        <v>4</v>
      </c>
      <c r="I1295">
        <v>50</v>
      </c>
      <c r="J1295">
        <v>56</v>
      </c>
      <c r="K1295">
        <v>200</v>
      </c>
    </row>
    <row r="1296" spans="1:11">
      <c r="A1296">
        <v>718</v>
      </c>
      <c r="B1296" s="1">
        <v>45232</v>
      </c>
      <c r="C1296" s="2">
        <v>0.85069444444444442</v>
      </c>
      <c r="D1296">
        <v>154</v>
      </c>
      <c r="E1296" t="s">
        <v>14</v>
      </c>
      <c r="F1296">
        <v>59</v>
      </c>
      <c r="G1296" t="s">
        <v>13</v>
      </c>
      <c r="H1296">
        <v>3</v>
      </c>
      <c r="I1296">
        <v>25</v>
      </c>
      <c r="J1296">
        <v>25</v>
      </c>
      <c r="K1296">
        <v>75</v>
      </c>
    </row>
    <row r="1297" spans="1:11">
      <c r="A1297">
        <v>1092</v>
      </c>
      <c r="B1297" s="1">
        <v>44684</v>
      </c>
      <c r="C1297" s="2">
        <v>0.84375</v>
      </c>
      <c r="D1297">
        <v>58</v>
      </c>
      <c r="E1297" t="s">
        <v>14</v>
      </c>
      <c r="F1297">
        <v>51</v>
      </c>
      <c r="G1297" t="s">
        <v>15</v>
      </c>
      <c r="H1297">
        <v>4</v>
      </c>
      <c r="I1297">
        <v>30</v>
      </c>
      <c r="J1297">
        <v>31.5</v>
      </c>
      <c r="K1297">
        <v>120</v>
      </c>
    </row>
    <row r="1298" spans="1:11">
      <c r="A1298">
        <v>1282</v>
      </c>
      <c r="B1298" s="1">
        <v>44977</v>
      </c>
      <c r="C1298" s="2">
        <v>0.83680555555555558</v>
      </c>
      <c r="D1298">
        <v>23</v>
      </c>
      <c r="E1298" t="s">
        <v>14</v>
      </c>
      <c r="F1298">
        <v>64</v>
      </c>
      <c r="G1298" t="s">
        <v>15</v>
      </c>
      <c r="H1298">
        <v>4</v>
      </c>
      <c r="I1298">
        <v>50</v>
      </c>
      <c r="J1298">
        <v>48.5</v>
      </c>
      <c r="K1298">
        <v>200</v>
      </c>
    </row>
    <row r="1299" spans="1:11">
      <c r="A1299">
        <v>1718</v>
      </c>
      <c r="B1299" s="1">
        <v>45224</v>
      </c>
      <c r="C1299" s="2">
        <v>0.79374999999999996</v>
      </c>
      <c r="D1299">
        <v>20</v>
      </c>
      <c r="E1299" t="s">
        <v>14</v>
      </c>
      <c r="F1299">
        <v>59</v>
      </c>
      <c r="G1299" t="s">
        <v>13</v>
      </c>
      <c r="H1299">
        <v>3</v>
      </c>
      <c r="I1299">
        <v>25</v>
      </c>
      <c r="J1299">
        <v>25.5</v>
      </c>
      <c r="K1299">
        <v>75</v>
      </c>
    </row>
    <row r="1300" spans="1:11">
      <c r="A1300">
        <v>617</v>
      </c>
      <c r="B1300" s="1">
        <v>44779</v>
      </c>
      <c r="C1300" s="2">
        <v>0.8</v>
      </c>
      <c r="D1300">
        <v>30</v>
      </c>
      <c r="E1300" t="s">
        <v>11</v>
      </c>
      <c r="F1300">
        <v>34</v>
      </c>
      <c r="G1300" t="s">
        <v>15</v>
      </c>
      <c r="H1300">
        <v>1</v>
      </c>
      <c r="I1300">
        <v>30</v>
      </c>
      <c r="J1300">
        <v>28.5</v>
      </c>
      <c r="K1300">
        <v>30</v>
      </c>
    </row>
    <row r="1301" spans="1:11">
      <c r="A1301">
        <v>624</v>
      </c>
      <c r="B1301" s="1">
        <v>44597</v>
      </c>
      <c r="C1301" s="2">
        <v>0.79722222222222228</v>
      </c>
      <c r="D1301">
        <v>48</v>
      </c>
      <c r="E1301" t="s">
        <v>14</v>
      </c>
      <c r="F1301">
        <v>34</v>
      </c>
      <c r="G1301" t="s">
        <v>13</v>
      </c>
      <c r="H1301">
        <v>3</v>
      </c>
      <c r="I1301">
        <v>300</v>
      </c>
      <c r="J1301">
        <v>342</v>
      </c>
      <c r="K1301">
        <v>900</v>
      </c>
    </row>
    <row r="1302" spans="1:11">
      <c r="A1302">
        <v>825</v>
      </c>
      <c r="B1302" s="1">
        <v>44569</v>
      </c>
      <c r="C1302" s="2">
        <v>0.7270833333333333</v>
      </c>
      <c r="D1302">
        <v>51</v>
      </c>
      <c r="E1302" t="s">
        <v>14</v>
      </c>
      <c r="F1302">
        <v>46</v>
      </c>
      <c r="G1302" t="s">
        <v>13</v>
      </c>
      <c r="H1302">
        <v>1</v>
      </c>
      <c r="I1302">
        <v>25</v>
      </c>
      <c r="J1302">
        <v>27.25</v>
      </c>
      <c r="K1302">
        <v>25</v>
      </c>
    </row>
    <row r="1303" spans="1:11">
      <c r="A1303">
        <v>1617</v>
      </c>
      <c r="B1303" s="1">
        <v>44682</v>
      </c>
      <c r="C1303" s="2">
        <v>0.71458333333333335</v>
      </c>
      <c r="D1303">
        <v>77</v>
      </c>
      <c r="E1303" t="s">
        <v>11</v>
      </c>
      <c r="F1303">
        <v>34</v>
      </c>
      <c r="G1303" t="s">
        <v>15</v>
      </c>
      <c r="H1303">
        <v>1</v>
      </c>
      <c r="I1303">
        <v>30</v>
      </c>
      <c r="J1303">
        <v>35.1</v>
      </c>
      <c r="K1303">
        <v>30</v>
      </c>
    </row>
    <row r="1304" spans="1:11">
      <c r="A1304">
        <v>1624</v>
      </c>
      <c r="B1304" s="1">
        <v>44883</v>
      </c>
      <c r="C1304" s="2">
        <v>0.8666666666666667</v>
      </c>
      <c r="D1304">
        <v>121</v>
      </c>
      <c r="E1304" t="s">
        <v>14</v>
      </c>
      <c r="F1304">
        <v>34</v>
      </c>
      <c r="G1304" t="s">
        <v>13</v>
      </c>
      <c r="H1304">
        <v>3</v>
      </c>
      <c r="I1304">
        <v>300</v>
      </c>
      <c r="J1304">
        <v>363</v>
      </c>
      <c r="K1304">
        <v>900</v>
      </c>
    </row>
    <row r="1305" spans="1:11">
      <c r="A1305">
        <v>1825</v>
      </c>
      <c r="B1305" s="1">
        <v>45168</v>
      </c>
      <c r="C1305" s="2">
        <v>0.77361111111111114</v>
      </c>
      <c r="D1305">
        <v>105</v>
      </c>
      <c r="E1305" t="s">
        <v>14</v>
      </c>
      <c r="F1305">
        <v>46</v>
      </c>
      <c r="G1305" t="s">
        <v>13</v>
      </c>
      <c r="H1305">
        <v>1</v>
      </c>
      <c r="I1305">
        <v>25</v>
      </c>
      <c r="J1305">
        <v>27</v>
      </c>
      <c r="K1305">
        <v>25</v>
      </c>
    </row>
    <row r="1306" spans="1:11">
      <c r="A1306">
        <v>568</v>
      </c>
      <c r="B1306" s="1">
        <v>45149</v>
      </c>
      <c r="C1306" s="2">
        <v>0.8354166666666667</v>
      </c>
      <c r="D1306">
        <v>32</v>
      </c>
      <c r="E1306" t="s">
        <v>14</v>
      </c>
      <c r="F1306">
        <v>51</v>
      </c>
      <c r="G1306" t="s">
        <v>15</v>
      </c>
      <c r="H1306">
        <v>1</v>
      </c>
      <c r="I1306">
        <v>300</v>
      </c>
      <c r="J1306">
        <v>372</v>
      </c>
      <c r="K1306">
        <v>300</v>
      </c>
    </row>
    <row r="1307" spans="1:11">
      <c r="A1307">
        <v>671</v>
      </c>
      <c r="B1307" s="1">
        <v>45192</v>
      </c>
      <c r="C1307" s="2">
        <v>0.82708333333333328</v>
      </c>
      <c r="D1307">
        <v>2</v>
      </c>
      <c r="E1307" t="s">
        <v>11</v>
      </c>
      <c r="F1307">
        <v>62</v>
      </c>
      <c r="G1307" t="s">
        <v>15</v>
      </c>
      <c r="H1307">
        <v>3</v>
      </c>
      <c r="I1307">
        <v>50</v>
      </c>
      <c r="J1307">
        <v>61.5</v>
      </c>
      <c r="K1307">
        <v>150</v>
      </c>
    </row>
    <row r="1308" spans="1:11">
      <c r="A1308">
        <v>756</v>
      </c>
      <c r="B1308" s="1">
        <v>45124</v>
      </c>
      <c r="C1308" s="2">
        <v>0.85624999999999996</v>
      </c>
      <c r="D1308">
        <v>4</v>
      </c>
      <c r="E1308" t="s">
        <v>14</v>
      </c>
      <c r="F1308">
        <v>62</v>
      </c>
      <c r="G1308" t="s">
        <v>15</v>
      </c>
      <c r="H1308">
        <v>4</v>
      </c>
      <c r="I1308">
        <v>300</v>
      </c>
      <c r="J1308">
        <v>333</v>
      </c>
      <c r="K1308">
        <v>1200</v>
      </c>
    </row>
    <row r="1309" spans="1:11">
      <c r="A1309">
        <v>815</v>
      </c>
      <c r="B1309" s="1">
        <v>45021</v>
      </c>
      <c r="C1309" s="2">
        <v>0.88541666666666663</v>
      </c>
      <c r="D1309">
        <v>139</v>
      </c>
      <c r="E1309" t="s">
        <v>14</v>
      </c>
      <c r="F1309">
        <v>51</v>
      </c>
      <c r="G1309" t="s">
        <v>12</v>
      </c>
      <c r="H1309">
        <v>3</v>
      </c>
      <c r="I1309">
        <v>25</v>
      </c>
      <c r="J1309">
        <v>23.75</v>
      </c>
      <c r="K1309">
        <v>75</v>
      </c>
    </row>
    <row r="1310" spans="1:11">
      <c r="A1310">
        <v>1568</v>
      </c>
      <c r="B1310" s="1">
        <v>44843</v>
      </c>
      <c r="C1310" s="2">
        <v>0.94027777777777777</v>
      </c>
      <c r="D1310">
        <v>51</v>
      </c>
      <c r="E1310" t="s">
        <v>14</v>
      </c>
      <c r="F1310">
        <v>51</v>
      </c>
      <c r="G1310" t="s">
        <v>15</v>
      </c>
      <c r="H1310">
        <v>1</v>
      </c>
      <c r="I1310">
        <v>300</v>
      </c>
      <c r="J1310">
        <v>336</v>
      </c>
      <c r="K1310">
        <v>300</v>
      </c>
    </row>
    <row r="1311" spans="1:11">
      <c r="A1311">
        <v>1671</v>
      </c>
      <c r="B1311" s="1">
        <v>44985</v>
      </c>
      <c r="C1311" s="2">
        <v>0.87152777777777779</v>
      </c>
      <c r="D1311">
        <v>47</v>
      </c>
      <c r="E1311" t="s">
        <v>11</v>
      </c>
      <c r="F1311">
        <v>62</v>
      </c>
      <c r="G1311" t="s">
        <v>15</v>
      </c>
      <c r="H1311">
        <v>3</v>
      </c>
      <c r="I1311">
        <v>50</v>
      </c>
      <c r="J1311">
        <v>62.5</v>
      </c>
      <c r="K1311">
        <v>150</v>
      </c>
    </row>
    <row r="1312" spans="1:11">
      <c r="A1312">
        <v>1756</v>
      </c>
      <c r="B1312" s="1">
        <v>44693</v>
      </c>
      <c r="C1312" s="2">
        <v>0.92777777777777781</v>
      </c>
      <c r="D1312">
        <v>119</v>
      </c>
      <c r="E1312" t="s">
        <v>14</v>
      </c>
      <c r="F1312">
        <v>62</v>
      </c>
      <c r="G1312" t="s">
        <v>15</v>
      </c>
      <c r="H1312">
        <v>4</v>
      </c>
      <c r="I1312">
        <v>300</v>
      </c>
      <c r="J1312">
        <v>297</v>
      </c>
      <c r="K1312">
        <v>1200</v>
      </c>
    </row>
    <row r="1313" spans="1:11">
      <c r="A1313">
        <v>1815</v>
      </c>
      <c r="B1313" s="1">
        <v>45070</v>
      </c>
      <c r="C1313" s="2">
        <v>0.92986111111111114</v>
      </c>
      <c r="D1313">
        <v>6</v>
      </c>
      <c r="E1313" t="s">
        <v>14</v>
      </c>
      <c r="F1313">
        <v>51</v>
      </c>
      <c r="G1313" t="s">
        <v>12</v>
      </c>
      <c r="H1313">
        <v>3</v>
      </c>
      <c r="I1313">
        <v>25</v>
      </c>
      <c r="J1313">
        <v>30.5</v>
      </c>
      <c r="K1313">
        <v>75</v>
      </c>
    </row>
    <row r="1314" spans="1:11">
      <c r="A1314">
        <v>146</v>
      </c>
      <c r="B1314" s="1">
        <v>44875</v>
      </c>
      <c r="C1314" s="2">
        <v>0.91736111111111107</v>
      </c>
      <c r="D1314">
        <v>74</v>
      </c>
      <c r="E1314" t="s">
        <v>11</v>
      </c>
      <c r="F1314">
        <v>38</v>
      </c>
      <c r="G1314" t="s">
        <v>12</v>
      </c>
      <c r="H1314">
        <v>4</v>
      </c>
      <c r="I1314">
        <v>50</v>
      </c>
      <c r="J1314">
        <v>49</v>
      </c>
      <c r="K1314">
        <v>200</v>
      </c>
    </row>
    <row r="1315" spans="1:11">
      <c r="A1315">
        <v>263</v>
      </c>
      <c r="B1315" s="1">
        <v>44685</v>
      </c>
      <c r="C1315" s="2">
        <v>0.90833333333333333</v>
      </c>
      <c r="D1315">
        <v>133</v>
      </c>
      <c r="E1315" t="s">
        <v>11</v>
      </c>
      <c r="F1315">
        <v>23</v>
      </c>
      <c r="G1315" t="s">
        <v>13</v>
      </c>
      <c r="H1315">
        <v>2</v>
      </c>
      <c r="I1315">
        <v>30</v>
      </c>
      <c r="J1315">
        <v>34.799999999999997</v>
      </c>
      <c r="K1315">
        <v>60</v>
      </c>
    </row>
    <row r="1316" spans="1:11">
      <c r="A1316">
        <v>704</v>
      </c>
      <c r="B1316" s="1">
        <v>45180</v>
      </c>
      <c r="C1316" s="2">
        <v>0.94444444444444442</v>
      </c>
      <c r="D1316">
        <v>141</v>
      </c>
      <c r="E1316" t="s">
        <v>14</v>
      </c>
      <c r="F1316">
        <v>62</v>
      </c>
      <c r="G1316" t="s">
        <v>12</v>
      </c>
      <c r="H1316">
        <v>3</v>
      </c>
      <c r="I1316">
        <v>30</v>
      </c>
      <c r="J1316">
        <v>34.799999999999997</v>
      </c>
      <c r="K1316">
        <v>90</v>
      </c>
    </row>
    <row r="1317" spans="1:11">
      <c r="A1317">
        <v>1146</v>
      </c>
      <c r="B1317" s="1">
        <v>45208</v>
      </c>
      <c r="C1317" s="2">
        <v>0.88263888888888886</v>
      </c>
      <c r="D1317">
        <v>52</v>
      </c>
      <c r="E1317" t="s">
        <v>11</v>
      </c>
      <c r="F1317">
        <v>38</v>
      </c>
      <c r="G1317" t="s">
        <v>12</v>
      </c>
      <c r="H1317">
        <v>4</v>
      </c>
      <c r="I1317">
        <v>50</v>
      </c>
      <c r="J1317">
        <v>60</v>
      </c>
      <c r="K1317">
        <v>200</v>
      </c>
    </row>
    <row r="1318" spans="1:11">
      <c r="A1318">
        <v>1263</v>
      </c>
      <c r="B1318" s="1">
        <v>44811</v>
      </c>
      <c r="C1318" s="2">
        <v>0.86736111111111114</v>
      </c>
      <c r="D1318">
        <v>47</v>
      </c>
      <c r="E1318" t="s">
        <v>11</v>
      </c>
      <c r="F1318">
        <v>23</v>
      </c>
      <c r="G1318" t="s">
        <v>13</v>
      </c>
      <c r="H1318">
        <v>2</v>
      </c>
      <c r="I1318">
        <v>30</v>
      </c>
      <c r="J1318">
        <v>35.4</v>
      </c>
      <c r="K1318">
        <v>60</v>
      </c>
    </row>
    <row r="1319" spans="1:11">
      <c r="A1319">
        <v>1704</v>
      </c>
      <c r="B1319" s="1">
        <v>44820</v>
      </c>
      <c r="C1319" s="2">
        <v>0.83819444444444446</v>
      </c>
      <c r="D1319">
        <v>155</v>
      </c>
      <c r="E1319" t="s">
        <v>14</v>
      </c>
      <c r="F1319">
        <v>62</v>
      </c>
      <c r="G1319" t="s">
        <v>12</v>
      </c>
      <c r="H1319">
        <v>3</v>
      </c>
      <c r="I1319">
        <v>30</v>
      </c>
      <c r="J1319">
        <v>30.3</v>
      </c>
      <c r="K1319">
        <v>90</v>
      </c>
    </row>
    <row r="1320" spans="1:11">
      <c r="A1320">
        <v>476</v>
      </c>
      <c r="B1320" s="1">
        <v>45272</v>
      </c>
      <c r="C1320" s="2">
        <v>0.77152777777777781</v>
      </c>
      <c r="D1320">
        <v>131</v>
      </c>
      <c r="E1320" t="s">
        <v>14</v>
      </c>
      <c r="F1320">
        <v>27</v>
      </c>
      <c r="G1320" t="s">
        <v>12</v>
      </c>
      <c r="H1320">
        <v>4</v>
      </c>
      <c r="I1320">
        <v>500</v>
      </c>
      <c r="J1320">
        <v>570</v>
      </c>
      <c r="K1320">
        <v>2000</v>
      </c>
    </row>
    <row r="1321" spans="1:11">
      <c r="A1321">
        <v>733</v>
      </c>
      <c r="B1321" s="1">
        <v>44859</v>
      </c>
      <c r="C1321" s="2">
        <v>0.87986111111111109</v>
      </c>
      <c r="D1321">
        <v>143</v>
      </c>
      <c r="E1321" t="s">
        <v>11</v>
      </c>
      <c r="F1321">
        <v>34</v>
      </c>
      <c r="G1321" t="s">
        <v>13</v>
      </c>
      <c r="H1321">
        <v>1</v>
      </c>
      <c r="I1321">
        <v>30</v>
      </c>
      <c r="J1321">
        <v>28.5</v>
      </c>
      <c r="K1321">
        <v>30</v>
      </c>
    </row>
    <row r="1322" spans="1:11">
      <c r="A1322">
        <v>924</v>
      </c>
      <c r="B1322" s="1">
        <v>44821</v>
      </c>
      <c r="C1322" s="2">
        <v>0.9291666666666667</v>
      </c>
      <c r="D1322">
        <v>151</v>
      </c>
      <c r="E1322" t="s">
        <v>11</v>
      </c>
      <c r="F1322">
        <v>55</v>
      </c>
      <c r="G1322" t="s">
        <v>13</v>
      </c>
      <c r="H1322">
        <v>2</v>
      </c>
      <c r="I1322">
        <v>50</v>
      </c>
      <c r="J1322">
        <v>55</v>
      </c>
      <c r="K1322">
        <v>100</v>
      </c>
    </row>
    <row r="1323" spans="1:11">
      <c r="A1323">
        <v>984</v>
      </c>
      <c r="B1323" s="1">
        <v>45250</v>
      </c>
      <c r="C1323" s="2">
        <v>0.81180555555555556</v>
      </c>
      <c r="D1323">
        <v>83</v>
      </c>
      <c r="E1323" t="s">
        <v>11</v>
      </c>
      <c r="F1323">
        <v>56</v>
      </c>
      <c r="G1323" t="s">
        <v>12</v>
      </c>
      <c r="H1323">
        <v>1</v>
      </c>
      <c r="I1323">
        <v>500</v>
      </c>
      <c r="J1323">
        <v>480</v>
      </c>
      <c r="K1323">
        <v>500</v>
      </c>
    </row>
    <row r="1324" spans="1:11">
      <c r="A1324">
        <v>1476</v>
      </c>
      <c r="B1324" s="1">
        <v>44876</v>
      </c>
      <c r="C1324" s="2">
        <v>0.93541666666666667</v>
      </c>
      <c r="D1324">
        <v>130</v>
      </c>
      <c r="E1324" t="s">
        <v>14</v>
      </c>
      <c r="F1324">
        <v>27</v>
      </c>
      <c r="G1324" t="s">
        <v>12</v>
      </c>
      <c r="H1324">
        <v>4</v>
      </c>
      <c r="I1324">
        <v>500</v>
      </c>
      <c r="J1324">
        <v>555</v>
      </c>
      <c r="K1324">
        <v>2000</v>
      </c>
    </row>
    <row r="1325" spans="1:11">
      <c r="A1325">
        <v>1733</v>
      </c>
      <c r="B1325" s="1">
        <v>45172</v>
      </c>
      <c r="C1325" s="2">
        <v>0.86944444444444446</v>
      </c>
      <c r="D1325">
        <v>146</v>
      </c>
      <c r="E1325" t="s">
        <v>11</v>
      </c>
      <c r="F1325">
        <v>34</v>
      </c>
      <c r="G1325" t="s">
        <v>13</v>
      </c>
      <c r="H1325">
        <v>1</v>
      </c>
      <c r="I1325">
        <v>30</v>
      </c>
      <c r="J1325">
        <v>36.6</v>
      </c>
      <c r="K1325">
        <v>30</v>
      </c>
    </row>
    <row r="1326" spans="1:11">
      <c r="A1326">
        <v>1924</v>
      </c>
      <c r="B1326" s="1">
        <v>44893</v>
      </c>
      <c r="C1326" s="2">
        <v>0.93402777777777779</v>
      </c>
      <c r="D1326">
        <v>107</v>
      </c>
      <c r="E1326" t="s">
        <v>11</v>
      </c>
      <c r="F1326">
        <v>55</v>
      </c>
      <c r="G1326" t="s">
        <v>13</v>
      </c>
      <c r="H1326">
        <v>2</v>
      </c>
      <c r="I1326">
        <v>50</v>
      </c>
      <c r="J1326">
        <v>54.5</v>
      </c>
      <c r="K1326">
        <v>100</v>
      </c>
    </row>
    <row r="1327" spans="1:11">
      <c r="A1327">
        <v>1984</v>
      </c>
      <c r="B1327" s="1">
        <v>45178</v>
      </c>
      <c r="C1327" s="2">
        <v>0.84027777777777779</v>
      </c>
      <c r="D1327">
        <v>126</v>
      </c>
      <c r="E1327" t="s">
        <v>11</v>
      </c>
      <c r="F1327">
        <v>56</v>
      </c>
      <c r="G1327" t="s">
        <v>12</v>
      </c>
      <c r="H1327">
        <v>1</v>
      </c>
      <c r="I1327">
        <v>500</v>
      </c>
      <c r="J1327">
        <v>530</v>
      </c>
      <c r="K1327">
        <v>500</v>
      </c>
    </row>
    <row r="1328" spans="1:11">
      <c r="A1328">
        <v>251</v>
      </c>
      <c r="B1328" s="1">
        <v>44819</v>
      </c>
      <c r="C1328" s="2">
        <v>0.875</v>
      </c>
      <c r="D1328">
        <v>141</v>
      </c>
      <c r="E1328" t="s">
        <v>14</v>
      </c>
      <c r="F1328">
        <v>57</v>
      </c>
      <c r="G1328" t="s">
        <v>13</v>
      </c>
      <c r="H1328">
        <v>4</v>
      </c>
      <c r="I1328">
        <v>50</v>
      </c>
      <c r="J1328">
        <v>62.5</v>
      </c>
      <c r="K1328">
        <v>200</v>
      </c>
    </row>
    <row r="1329" spans="1:11">
      <c r="A1329">
        <v>253</v>
      </c>
      <c r="B1329" s="1">
        <v>44834</v>
      </c>
      <c r="C1329" s="2">
        <v>0.8930555555555556</v>
      </c>
      <c r="D1329">
        <v>66</v>
      </c>
      <c r="E1329" t="s">
        <v>14</v>
      </c>
      <c r="F1329">
        <v>53</v>
      </c>
      <c r="G1329" t="s">
        <v>12</v>
      </c>
      <c r="H1329">
        <v>4</v>
      </c>
      <c r="I1329">
        <v>500</v>
      </c>
      <c r="J1329">
        <v>525</v>
      </c>
      <c r="K1329">
        <v>2000</v>
      </c>
    </row>
    <row r="1330" spans="1:11">
      <c r="A1330">
        <v>574</v>
      </c>
      <c r="B1330" s="1">
        <v>45186</v>
      </c>
      <c r="C1330" s="2">
        <v>0.84166666666666667</v>
      </c>
      <c r="D1330">
        <v>24</v>
      </c>
      <c r="E1330" t="s">
        <v>14</v>
      </c>
      <c r="F1330">
        <v>63</v>
      </c>
      <c r="G1330" t="s">
        <v>15</v>
      </c>
      <c r="H1330">
        <v>2</v>
      </c>
      <c r="I1330">
        <v>25</v>
      </c>
      <c r="J1330">
        <v>24.75</v>
      </c>
      <c r="K1330">
        <v>50</v>
      </c>
    </row>
    <row r="1331" spans="1:11">
      <c r="A1331">
        <v>751</v>
      </c>
      <c r="B1331" s="1">
        <v>45238</v>
      </c>
      <c r="C1331" s="2">
        <v>0.83194444444444449</v>
      </c>
      <c r="D1331">
        <v>115</v>
      </c>
      <c r="E1331" t="s">
        <v>14</v>
      </c>
      <c r="F1331">
        <v>42</v>
      </c>
      <c r="G1331" t="s">
        <v>12</v>
      </c>
      <c r="H1331">
        <v>2</v>
      </c>
      <c r="I1331">
        <v>25</v>
      </c>
      <c r="J1331">
        <v>24.75</v>
      </c>
      <c r="K1331">
        <v>50</v>
      </c>
    </row>
    <row r="1332" spans="1:11">
      <c r="A1332">
        <v>871</v>
      </c>
      <c r="B1332" s="1">
        <v>45232</v>
      </c>
      <c r="C1332" s="2">
        <v>0.95833333333333337</v>
      </c>
      <c r="D1332">
        <v>57</v>
      </c>
      <c r="E1332" t="s">
        <v>11</v>
      </c>
      <c r="F1332">
        <v>62</v>
      </c>
      <c r="G1332" t="s">
        <v>13</v>
      </c>
      <c r="H1332">
        <v>2</v>
      </c>
      <c r="I1332">
        <v>30</v>
      </c>
      <c r="J1332">
        <v>33.9</v>
      </c>
      <c r="K1332">
        <v>60</v>
      </c>
    </row>
    <row r="1333" spans="1:11">
      <c r="A1333">
        <v>1251</v>
      </c>
      <c r="B1333" s="1">
        <v>44815</v>
      </c>
      <c r="C1333" s="2">
        <v>0.88055555555555554</v>
      </c>
      <c r="D1333">
        <v>137</v>
      </c>
      <c r="E1333" t="s">
        <v>14</v>
      </c>
      <c r="F1333">
        <v>57</v>
      </c>
      <c r="G1333" t="s">
        <v>13</v>
      </c>
      <c r="H1333">
        <v>4</v>
      </c>
      <c r="I1333">
        <v>50</v>
      </c>
      <c r="J1333">
        <v>57.5</v>
      </c>
      <c r="K1333">
        <v>200</v>
      </c>
    </row>
    <row r="1334" spans="1:11">
      <c r="A1334">
        <v>1253</v>
      </c>
      <c r="B1334" s="1">
        <v>45263</v>
      </c>
      <c r="C1334" s="2">
        <v>0.83194444444444449</v>
      </c>
      <c r="D1334">
        <v>108</v>
      </c>
      <c r="E1334" t="s">
        <v>14</v>
      </c>
      <c r="F1334">
        <v>53</v>
      </c>
      <c r="G1334" t="s">
        <v>12</v>
      </c>
      <c r="H1334">
        <v>4</v>
      </c>
      <c r="I1334">
        <v>500</v>
      </c>
      <c r="J1334">
        <v>605</v>
      </c>
      <c r="K1334">
        <v>2000</v>
      </c>
    </row>
    <row r="1335" spans="1:11">
      <c r="A1335">
        <v>1574</v>
      </c>
      <c r="B1335" s="1">
        <v>44860</v>
      </c>
      <c r="C1335" s="2">
        <v>0.91041666666666665</v>
      </c>
      <c r="D1335">
        <v>150</v>
      </c>
      <c r="E1335" t="s">
        <v>14</v>
      </c>
      <c r="F1335">
        <v>63</v>
      </c>
      <c r="G1335" t="s">
        <v>15</v>
      </c>
      <c r="H1335">
        <v>2</v>
      </c>
      <c r="I1335">
        <v>25</v>
      </c>
      <c r="J1335">
        <v>24.75</v>
      </c>
      <c r="K1335">
        <v>50</v>
      </c>
    </row>
    <row r="1336" spans="1:11">
      <c r="A1336">
        <v>1751</v>
      </c>
      <c r="B1336" s="1">
        <v>45287</v>
      </c>
      <c r="C1336" s="2">
        <v>0.92291666666666672</v>
      </c>
      <c r="D1336">
        <v>99</v>
      </c>
      <c r="E1336" t="s">
        <v>14</v>
      </c>
      <c r="F1336">
        <v>42</v>
      </c>
      <c r="G1336" t="s">
        <v>12</v>
      </c>
      <c r="H1336">
        <v>2</v>
      </c>
      <c r="I1336">
        <v>25</v>
      </c>
      <c r="J1336">
        <v>30.25</v>
      </c>
      <c r="K1336">
        <v>50</v>
      </c>
    </row>
    <row r="1337" spans="1:11">
      <c r="A1337">
        <v>1871</v>
      </c>
      <c r="B1337" s="1">
        <v>44830</v>
      </c>
      <c r="C1337" s="2">
        <v>0.77708333333333335</v>
      </c>
      <c r="D1337">
        <v>41</v>
      </c>
      <c r="E1337" t="s">
        <v>11</v>
      </c>
      <c r="F1337">
        <v>62</v>
      </c>
      <c r="G1337" t="s">
        <v>13</v>
      </c>
      <c r="H1337">
        <v>2</v>
      </c>
      <c r="I1337">
        <v>30</v>
      </c>
      <c r="J1337">
        <v>30.6</v>
      </c>
      <c r="K1337">
        <v>60</v>
      </c>
    </row>
    <row r="1338" spans="1:11">
      <c r="A1338">
        <v>200</v>
      </c>
      <c r="B1338" s="1">
        <v>44843</v>
      </c>
      <c r="C1338" s="2">
        <v>0.93680555555555556</v>
      </c>
      <c r="D1338">
        <v>130</v>
      </c>
      <c r="E1338" t="s">
        <v>11</v>
      </c>
      <c r="F1338">
        <v>27</v>
      </c>
      <c r="G1338" t="s">
        <v>13</v>
      </c>
      <c r="H1338">
        <v>3</v>
      </c>
      <c r="I1338">
        <v>50</v>
      </c>
      <c r="J1338">
        <v>60</v>
      </c>
      <c r="K1338">
        <v>150</v>
      </c>
    </row>
    <row r="1339" spans="1:11">
      <c r="A1339">
        <v>594</v>
      </c>
      <c r="B1339" s="1">
        <v>45176</v>
      </c>
      <c r="C1339" s="2">
        <v>0.90902777777777777</v>
      </c>
      <c r="D1339">
        <v>72</v>
      </c>
      <c r="E1339" t="s">
        <v>14</v>
      </c>
      <c r="F1339">
        <v>19</v>
      </c>
      <c r="G1339" t="s">
        <v>15</v>
      </c>
      <c r="H1339">
        <v>2</v>
      </c>
      <c r="I1339">
        <v>300</v>
      </c>
      <c r="J1339">
        <v>291</v>
      </c>
      <c r="K1339">
        <v>600</v>
      </c>
    </row>
    <row r="1340" spans="1:11">
      <c r="A1340">
        <v>637</v>
      </c>
      <c r="B1340" s="1">
        <v>44897</v>
      </c>
      <c r="C1340" s="2">
        <v>0.78749999999999998</v>
      </c>
      <c r="D1340">
        <v>21</v>
      </c>
      <c r="E1340" t="s">
        <v>11</v>
      </c>
      <c r="F1340">
        <v>43</v>
      </c>
      <c r="G1340" t="s">
        <v>12</v>
      </c>
      <c r="H1340">
        <v>2</v>
      </c>
      <c r="I1340">
        <v>300</v>
      </c>
      <c r="J1340">
        <v>321</v>
      </c>
      <c r="K1340">
        <v>600</v>
      </c>
    </row>
    <row r="1341" spans="1:11">
      <c r="A1341">
        <v>855</v>
      </c>
      <c r="B1341" s="1">
        <v>44886</v>
      </c>
      <c r="C1341" s="2">
        <v>0.82152777777777775</v>
      </c>
      <c r="D1341">
        <v>13</v>
      </c>
      <c r="E1341" t="s">
        <v>11</v>
      </c>
      <c r="F1341">
        <v>54</v>
      </c>
      <c r="G1341" t="s">
        <v>13</v>
      </c>
      <c r="H1341">
        <v>1</v>
      </c>
      <c r="I1341">
        <v>25</v>
      </c>
      <c r="J1341">
        <v>25.75</v>
      </c>
      <c r="K1341">
        <v>25</v>
      </c>
    </row>
    <row r="1342" spans="1:11">
      <c r="A1342">
        <v>1200</v>
      </c>
      <c r="B1342" s="1">
        <v>45217</v>
      </c>
      <c r="C1342" s="2">
        <v>0.7944444444444444</v>
      </c>
      <c r="D1342">
        <v>20</v>
      </c>
      <c r="E1342" t="s">
        <v>11</v>
      </c>
      <c r="F1342">
        <v>27</v>
      </c>
      <c r="G1342" t="s">
        <v>13</v>
      </c>
      <c r="H1342">
        <v>3</v>
      </c>
      <c r="I1342">
        <v>50</v>
      </c>
      <c r="J1342">
        <v>54.5</v>
      </c>
      <c r="K1342">
        <v>150</v>
      </c>
    </row>
    <row r="1343" spans="1:11">
      <c r="A1343">
        <v>1594</v>
      </c>
      <c r="B1343" s="1">
        <v>45200</v>
      </c>
      <c r="C1343" s="2">
        <v>0.79305555555555551</v>
      </c>
      <c r="D1343">
        <v>31</v>
      </c>
      <c r="E1343" t="s">
        <v>14</v>
      </c>
      <c r="F1343">
        <v>19</v>
      </c>
      <c r="G1343" t="s">
        <v>15</v>
      </c>
      <c r="H1343">
        <v>2</v>
      </c>
      <c r="I1343">
        <v>300</v>
      </c>
      <c r="J1343">
        <v>345</v>
      </c>
      <c r="K1343">
        <v>600</v>
      </c>
    </row>
    <row r="1344" spans="1:11">
      <c r="A1344">
        <v>1637</v>
      </c>
      <c r="B1344" s="1">
        <v>44859</v>
      </c>
      <c r="C1344" s="2">
        <v>0.86805555555555558</v>
      </c>
      <c r="D1344">
        <v>97</v>
      </c>
      <c r="E1344" t="s">
        <v>11</v>
      </c>
      <c r="F1344">
        <v>43</v>
      </c>
      <c r="G1344" t="s">
        <v>12</v>
      </c>
      <c r="H1344">
        <v>2</v>
      </c>
      <c r="I1344">
        <v>300</v>
      </c>
      <c r="J1344">
        <v>297</v>
      </c>
      <c r="K1344">
        <v>600</v>
      </c>
    </row>
    <row r="1345" spans="1:11">
      <c r="A1345">
        <v>1855</v>
      </c>
      <c r="B1345" s="1">
        <v>45287</v>
      </c>
      <c r="C1345" s="2">
        <v>0.88541666666666663</v>
      </c>
      <c r="D1345">
        <v>44</v>
      </c>
      <c r="E1345" t="s">
        <v>11</v>
      </c>
      <c r="F1345">
        <v>54</v>
      </c>
      <c r="G1345" t="s">
        <v>13</v>
      </c>
      <c r="H1345">
        <v>1</v>
      </c>
      <c r="I1345">
        <v>25</v>
      </c>
      <c r="J1345">
        <v>31.25</v>
      </c>
      <c r="K1345">
        <v>25</v>
      </c>
    </row>
    <row r="1346" spans="1:11">
      <c r="A1346">
        <v>325</v>
      </c>
      <c r="B1346" s="1">
        <v>45185</v>
      </c>
      <c r="C1346" s="2">
        <v>0.91805555555555551</v>
      </c>
      <c r="D1346">
        <v>6</v>
      </c>
      <c r="E1346" t="s">
        <v>14</v>
      </c>
      <c r="F1346">
        <v>52</v>
      </c>
      <c r="G1346" t="s">
        <v>15</v>
      </c>
      <c r="H1346">
        <v>2</v>
      </c>
      <c r="I1346">
        <v>25</v>
      </c>
      <c r="J1346">
        <v>31.25</v>
      </c>
      <c r="K1346">
        <v>50</v>
      </c>
    </row>
    <row r="1347" spans="1:11">
      <c r="A1347">
        <v>682</v>
      </c>
      <c r="B1347" s="1">
        <v>45222</v>
      </c>
      <c r="C1347" s="2">
        <v>0.86875000000000002</v>
      </c>
      <c r="D1347">
        <v>60</v>
      </c>
      <c r="E1347" t="s">
        <v>11</v>
      </c>
      <c r="F1347">
        <v>46</v>
      </c>
      <c r="G1347" t="s">
        <v>13</v>
      </c>
      <c r="H1347">
        <v>4</v>
      </c>
      <c r="I1347">
        <v>300</v>
      </c>
      <c r="J1347">
        <v>354</v>
      </c>
      <c r="K1347">
        <v>1200</v>
      </c>
    </row>
    <row r="1348" spans="1:11">
      <c r="A1348">
        <v>931</v>
      </c>
      <c r="B1348" s="1">
        <v>45206</v>
      </c>
      <c r="C1348" s="2">
        <v>0.89861111111111114</v>
      </c>
      <c r="D1348">
        <v>48</v>
      </c>
      <c r="E1348" t="s">
        <v>11</v>
      </c>
      <c r="F1348">
        <v>30</v>
      </c>
      <c r="G1348" t="s">
        <v>13</v>
      </c>
      <c r="H1348">
        <v>4</v>
      </c>
      <c r="I1348">
        <v>30</v>
      </c>
      <c r="J1348">
        <v>29.1</v>
      </c>
      <c r="K1348">
        <v>120</v>
      </c>
    </row>
    <row r="1349" spans="1:11">
      <c r="A1349">
        <v>1325</v>
      </c>
      <c r="B1349" s="1">
        <v>44845</v>
      </c>
      <c r="C1349" s="2">
        <v>0.82430555555555551</v>
      </c>
      <c r="D1349">
        <v>18</v>
      </c>
      <c r="E1349" t="s">
        <v>14</v>
      </c>
      <c r="F1349">
        <v>52</v>
      </c>
      <c r="G1349" t="s">
        <v>15</v>
      </c>
      <c r="H1349">
        <v>2</v>
      </c>
      <c r="I1349">
        <v>25</v>
      </c>
      <c r="J1349">
        <v>26.75</v>
      </c>
      <c r="K1349">
        <v>50</v>
      </c>
    </row>
    <row r="1350" spans="1:11">
      <c r="A1350">
        <v>1682</v>
      </c>
      <c r="B1350" s="1">
        <v>44925</v>
      </c>
      <c r="C1350" s="2">
        <v>0.8125</v>
      </c>
      <c r="D1350">
        <v>71</v>
      </c>
      <c r="E1350" t="s">
        <v>11</v>
      </c>
      <c r="F1350">
        <v>46</v>
      </c>
      <c r="G1350" t="s">
        <v>13</v>
      </c>
      <c r="H1350">
        <v>4</v>
      </c>
      <c r="I1350">
        <v>300</v>
      </c>
      <c r="J1350">
        <v>315</v>
      </c>
      <c r="K1350">
        <v>1200</v>
      </c>
    </row>
    <row r="1351" spans="1:11">
      <c r="A1351">
        <v>1931</v>
      </c>
      <c r="B1351" s="1">
        <v>44896</v>
      </c>
      <c r="C1351" s="2">
        <v>0.80208333333333337</v>
      </c>
      <c r="D1351">
        <v>61</v>
      </c>
      <c r="E1351" t="s">
        <v>11</v>
      </c>
      <c r="F1351">
        <v>30</v>
      </c>
      <c r="G1351" t="s">
        <v>13</v>
      </c>
      <c r="H1351">
        <v>4</v>
      </c>
      <c r="I1351">
        <v>30</v>
      </c>
      <c r="J1351">
        <v>34.200000000000003</v>
      </c>
      <c r="K1351">
        <v>120</v>
      </c>
    </row>
    <row r="1352" spans="1:11">
      <c r="A1352">
        <v>925</v>
      </c>
      <c r="B1352" s="1">
        <v>44915</v>
      </c>
      <c r="C1352" s="2">
        <v>0.71666666666666667</v>
      </c>
      <c r="D1352">
        <v>54</v>
      </c>
      <c r="E1352" t="s">
        <v>11</v>
      </c>
      <c r="F1352">
        <v>25</v>
      </c>
      <c r="G1352" t="s">
        <v>15</v>
      </c>
      <c r="H1352">
        <v>1</v>
      </c>
      <c r="I1352">
        <v>300</v>
      </c>
      <c r="J1352">
        <v>315</v>
      </c>
      <c r="K1352">
        <v>300</v>
      </c>
    </row>
    <row r="1353" spans="1:11">
      <c r="A1353">
        <v>1925</v>
      </c>
      <c r="B1353" s="1">
        <v>45281</v>
      </c>
      <c r="C1353" s="2">
        <v>0.71180555555555558</v>
      </c>
      <c r="D1353">
        <v>81</v>
      </c>
      <c r="E1353" t="s">
        <v>11</v>
      </c>
      <c r="F1353">
        <v>25</v>
      </c>
      <c r="G1353" t="s">
        <v>15</v>
      </c>
      <c r="H1353">
        <v>1</v>
      </c>
      <c r="I1353">
        <v>300</v>
      </c>
      <c r="J1353">
        <v>366</v>
      </c>
      <c r="K1353">
        <v>300</v>
      </c>
    </row>
    <row r="1354" spans="1:11">
      <c r="A1354">
        <v>297</v>
      </c>
      <c r="B1354" s="1">
        <v>44816</v>
      </c>
      <c r="C1354" s="2">
        <v>0.88124999999999998</v>
      </c>
      <c r="D1354">
        <v>70</v>
      </c>
      <c r="E1354" t="s">
        <v>14</v>
      </c>
      <c r="F1354">
        <v>40</v>
      </c>
      <c r="G1354" t="s">
        <v>15</v>
      </c>
      <c r="H1354">
        <v>2</v>
      </c>
      <c r="I1354">
        <v>500</v>
      </c>
      <c r="J1354">
        <v>595</v>
      </c>
      <c r="K1354">
        <v>1000</v>
      </c>
    </row>
    <row r="1355" spans="1:11">
      <c r="A1355">
        <v>1297</v>
      </c>
      <c r="B1355" s="1">
        <v>45219</v>
      </c>
      <c r="C1355" s="2">
        <v>0.93888888888888888</v>
      </c>
      <c r="D1355">
        <v>21</v>
      </c>
      <c r="E1355" t="s">
        <v>14</v>
      </c>
      <c r="F1355">
        <v>40</v>
      </c>
      <c r="G1355" t="s">
        <v>15</v>
      </c>
      <c r="H1355">
        <v>2</v>
      </c>
      <c r="I1355">
        <v>500</v>
      </c>
      <c r="J1355">
        <v>535</v>
      </c>
      <c r="K1355">
        <v>1000</v>
      </c>
    </row>
    <row r="1356" spans="1:11">
      <c r="A1356">
        <v>814</v>
      </c>
      <c r="B1356" s="1">
        <v>44835</v>
      </c>
      <c r="C1356" s="2">
        <v>0.85624999999999996</v>
      </c>
      <c r="D1356">
        <v>96</v>
      </c>
      <c r="E1356" t="s">
        <v>14</v>
      </c>
      <c r="F1356">
        <v>59</v>
      </c>
      <c r="G1356" t="s">
        <v>12</v>
      </c>
      <c r="H1356">
        <v>1</v>
      </c>
      <c r="I1356">
        <v>500</v>
      </c>
      <c r="J1356">
        <v>540</v>
      </c>
      <c r="K1356">
        <v>500</v>
      </c>
    </row>
    <row r="1357" spans="1:11">
      <c r="A1357">
        <v>894</v>
      </c>
      <c r="B1357" s="1">
        <v>44826</v>
      </c>
      <c r="C1357" s="2">
        <v>0.95347222222222228</v>
      </c>
      <c r="D1357">
        <v>111</v>
      </c>
      <c r="E1357" t="s">
        <v>11</v>
      </c>
      <c r="F1357">
        <v>52</v>
      </c>
      <c r="G1357" t="s">
        <v>15</v>
      </c>
      <c r="H1357">
        <v>1</v>
      </c>
      <c r="I1357">
        <v>30</v>
      </c>
      <c r="J1357">
        <v>30.6</v>
      </c>
      <c r="K1357">
        <v>30</v>
      </c>
    </row>
    <row r="1358" spans="1:11">
      <c r="A1358">
        <v>1814</v>
      </c>
      <c r="B1358" s="1">
        <v>44811</v>
      </c>
      <c r="C1358" s="2">
        <v>0.74513888888888891</v>
      </c>
      <c r="D1358">
        <v>43</v>
      </c>
      <c r="E1358" t="s">
        <v>14</v>
      </c>
      <c r="F1358">
        <v>59</v>
      </c>
      <c r="G1358" t="s">
        <v>12</v>
      </c>
      <c r="H1358">
        <v>1</v>
      </c>
      <c r="I1358">
        <v>500</v>
      </c>
      <c r="J1358">
        <v>620</v>
      </c>
      <c r="K1358">
        <v>500</v>
      </c>
    </row>
    <row r="1359" spans="1:11">
      <c r="A1359">
        <v>1894</v>
      </c>
      <c r="B1359" s="1">
        <v>45289</v>
      </c>
      <c r="C1359" s="2">
        <v>0.75763888888888886</v>
      </c>
      <c r="D1359">
        <v>92</v>
      </c>
      <c r="E1359" t="s">
        <v>11</v>
      </c>
      <c r="F1359">
        <v>52</v>
      </c>
      <c r="G1359" t="s">
        <v>15</v>
      </c>
      <c r="H1359">
        <v>1</v>
      </c>
      <c r="I1359">
        <v>30</v>
      </c>
      <c r="J1359">
        <v>30</v>
      </c>
      <c r="K1359">
        <v>30</v>
      </c>
    </row>
    <row r="1360" spans="1:11">
      <c r="A1360">
        <v>194</v>
      </c>
      <c r="B1360" s="1">
        <v>45210</v>
      </c>
      <c r="C1360" s="2">
        <v>0.81041666666666667</v>
      </c>
      <c r="D1360">
        <v>116</v>
      </c>
      <c r="E1360" t="s">
        <v>11</v>
      </c>
      <c r="F1360">
        <v>55</v>
      </c>
      <c r="G1360" t="s">
        <v>12</v>
      </c>
      <c r="H1360">
        <v>4</v>
      </c>
      <c r="I1360">
        <v>50</v>
      </c>
      <c r="J1360">
        <v>51.5</v>
      </c>
      <c r="K1360">
        <v>200</v>
      </c>
    </row>
    <row r="1361" spans="1:11">
      <c r="A1361">
        <v>245</v>
      </c>
      <c r="B1361" s="1">
        <v>45261</v>
      </c>
      <c r="C1361" s="2">
        <v>0.90347222222222223</v>
      </c>
      <c r="D1361">
        <v>75</v>
      </c>
      <c r="E1361" t="s">
        <v>11</v>
      </c>
      <c r="F1361">
        <v>47</v>
      </c>
      <c r="G1361" t="s">
        <v>12</v>
      </c>
      <c r="H1361">
        <v>3</v>
      </c>
      <c r="I1361">
        <v>30</v>
      </c>
      <c r="J1361">
        <v>36</v>
      </c>
      <c r="K1361">
        <v>90</v>
      </c>
    </row>
    <row r="1362" spans="1:11">
      <c r="A1362">
        <v>296</v>
      </c>
      <c r="B1362" s="1">
        <v>44926</v>
      </c>
      <c r="C1362" s="2">
        <v>0.94722222222222219</v>
      </c>
      <c r="D1362">
        <v>73</v>
      </c>
      <c r="E1362" t="s">
        <v>14</v>
      </c>
      <c r="F1362">
        <v>22</v>
      </c>
      <c r="G1362" t="s">
        <v>12</v>
      </c>
      <c r="H1362">
        <v>4</v>
      </c>
      <c r="I1362">
        <v>300</v>
      </c>
      <c r="J1362">
        <v>369</v>
      </c>
      <c r="K1362">
        <v>1200</v>
      </c>
    </row>
    <row r="1363" spans="1:11">
      <c r="A1363">
        <v>644</v>
      </c>
      <c r="B1363" s="1">
        <v>44847</v>
      </c>
      <c r="C1363" s="2">
        <v>0.90902777777777777</v>
      </c>
      <c r="D1363">
        <v>107</v>
      </c>
      <c r="E1363" t="s">
        <v>11</v>
      </c>
      <c r="F1363">
        <v>23</v>
      </c>
      <c r="G1363" t="s">
        <v>13</v>
      </c>
      <c r="H1363">
        <v>3</v>
      </c>
      <c r="I1363">
        <v>25</v>
      </c>
      <c r="J1363">
        <v>29</v>
      </c>
      <c r="K1363">
        <v>75</v>
      </c>
    </row>
    <row r="1364" spans="1:11">
      <c r="A1364">
        <v>696</v>
      </c>
      <c r="B1364" s="1">
        <v>45208</v>
      </c>
      <c r="C1364" s="2">
        <v>0.75347222222222221</v>
      </c>
      <c r="D1364">
        <v>24</v>
      </c>
      <c r="E1364" t="s">
        <v>14</v>
      </c>
      <c r="F1364">
        <v>50</v>
      </c>
      <c r="G1364" t="s">
        <v>12</v>
      </c>
      <c r="H1364">
        <v>4</v>
      </c>
      <c r="I1364">
        <v>50</v>
      </c>
      <c r="J1364">
        <v>48.5</v>
      </c>
      <c r="K1364">
        <v>200</v>
      </c>
    </row>
    <row r="1365" spans="1:11">
      <c r="A1365">
        <v>1194</v>
      </c>
      <c r="B1365" s="1">
        <v>45208</v>
      </c>
      <c r="C1365" s="2">
        <v>0.92083333333333328</v>
      </c>
      <c r="D1365">
        <v>130</v>
      </c>
      <c r="E1365" t="s">
        <v>11</v>
      </c>
      <c r="F1365">
        <v>55</v>
      </c>
      <c r="G1365" t="s">
        <v>12</v>
      </c>
      <c r="H1365">
        <v>4</v>
      </c>
      <c r="I1365">
        <v>50</v>
      </c>
      <c r="J1365">
        <v>61.5</v>
      </c>
      <c r="K1365">
        <v>200</v>
      </c>
    </row>
    <row r="1366" spans="1:11">
      <c r="A1366">
        <v>1245</v>
      </c>
      <c r="B1366" s="1">
        <v>44859</v>
      </c>
      <c r="C1366" s="2">
        <v>0.86597222222222225</v>
      </c>
      <c r="D1366">
        <v>129</v>
      </c>
      <c r="E1366" t="s">
        <v>11</v>
      </c>
      <c r="F1366">
        <v>47</v>
      </c>
      <c r="G1366" t="s">
        <v>12</v>
      </c>
      <c r="H1366">
        <v>3</v>
      </c>
      <c r="I1366">
        <v>30</v>
      </c>
      <c r="J1366">
        <v>36</v>
      </c>
      <c r="K1366">
        <v>90</v>
      </c>
    </row>
    <row r="1367" spans="1:11">
      <c r="A1367">
        <v>1296</v>
      </c>
      <c r="B1367" s="1">
        <v>44891</v>
      </c>
      <c r="C1367" s="2">
        <v>0.86250000000000004</v>
      </c>
      <c r="D1367">
        <v>45</v>
      </c>
      <c r="E1367" t="s">
        <v>14</v>
      </c>
      <c r="F1367">
        <v>22</v>
      </c>
      <c r="G1367" t="s">
        <v>12</v>
      </c>
      <c r="H1367">
        <v>4</v>
      </c>
      <c r="I1367">
        <v>300</v>
      </c>
      <c r="J1367">
        <v>342</v>
      </c>
      <c r="K1367">
        <v>1200</v>
      </c>
    </row>
    <row r="1368" spans="1:11">
      <c r="A1368">
        <v>1644</v>
      </c>
      <c r="B1368" s="1">
        <v>44815</v>
      </c>
      <c r="C1368" s="2">
        <v>0.81388888888888888</v>
      </c>
      <c r="D1368">
        <v>124</v>
      </c>
      <c r="E1368" t="s">
        <v>11</v>
      </c>
      <c r="F1368">
        <v>23</v>
      </c>
      <c r="G1368" t="s">
        <v>13</v>
      </c>
      <c r="H1368">
        <v>3</v>
      </c>
      <c r="I1368">
        <v>25</v>
      </c>
      <c r="J1368">
        <v>28.75</v>
      </c>
      <c r="K1368">
        <v>75</v>
      </c>
    </row>
    <row r="1369" spans="1:11">
      <c r="A1369">
        <v>1696</v>
      </c>
      <c r="B1369" s="1">
        <v>44886</v>
      </c>
      <c r="C1369" s="2">
        <v>0.74930555555555556</v>
      </c>
      <c r="D1369">
        <v>24</v>
      </c>
      <c r="E1369" t="s">
        <v>14</v>
      </c>
      <c r="F1369">
        <v>50</v>
      </c>
      <c r="G1369" t="s">
        <v>12</v>
      </c>
      <c r="H1369">
        <v>4</v>
      </c>
      <c r="I1369">
        <v>50</v>
      </c>
      <c r="J1369">
        <v>55</v>
      </c>
      <c r="K1369">
        <v>200</v>
      </c>
    </row>
    <row r="1370" spans="1:11">
      <c r="A1370">
        <v>312</v>
      </c>
      <c r="B1370" s="1">
        <v>44865</v>
      </c>
      <c r="C1370" s="2">
        <v>0.75555555555555554</v>
      </c>
      <c r="D1370">
        <v>18</v>
      </c>
      <c r="E1370" t="s">
        <v>11</v>
      </c>
      <c r="F1370">
        <v>41</v>
      </c>
      <c r="G1370" t="s">
        <v>12</v>
      </c>
      <c r="H1370">
        <v>4</v>
      </c>
      <c r="I1370">
        <v>30</v>
      </c>
      <c r="J1370">
        <v>28.5</v>
      </c>
      <c r="K1370">
        <v>120</v>
      </c>
    </row>
    <row r="1371" spans="1:11">
      <c r="A1371">
        <v>692</v>
      </c>
      <c r="B1371" s="1">
        <v>44834</v>
      </c>
      <c r="C1371" s="2">
        <v>0.82499999999999996</v>
      </c>
      <c r="D1371">
        <v>110</v>
      </c>
      <c r="E1371" t="s">
        <v>14</v>
      </c>
      <c r="F1371">
        <v>64</v>
      </c>
      <c r="G1371" t="s">
        <v>12</v>
      </c>
      <c r="H1371">
        <v>2</v>
      </c>
      <c r="I1371">
        <v>50</v>
      </c>
      <c r="J1371">
        <v>49.5</v>
      </c>
      <c r="K1371">
        <v>100</v>
      </c>
    </row>
    <row r="1372" spans="1:11">
      <c r="A1372">
        <v>835</v>
      </c>
      <c r="B1372" s="1">
        <v>44834</v>
      </c>
      <c r="C1372" s="2">
        <v>0.95833333333333337</v>
      </c>
      <c r="D1372">
        <v>49</v>
      </c>
      <c r="E1372" t="s">
        <v>11</v>
      </c>
      <c r="F1372">
        <v>37</v>
      </c>
      <c r="G1372" t="s">
        <v>12</v>
      </c>
      <c r="H1372">
        <v>4</v>
      </c>
      <c r="I1372">
        <v>50</v>
      </c>
      <c r="J1372">
        <v>60</v>
      </c>
      <c r="K1372">
        <v>200</v>
      </c>
    </row>
    <row r="1373" spans="1:11">
      <c r="A1373">
        <v>1312</v>
      </c>
      <c r="B1373" s="1">
        <v>44898</v>
      </c>
      <c r="C1373" s="2">
        <v>0.72777777777777775</v>
      </c>
      <c r="D1373">
        <v>73</v>
      </c>
      <c r="E1373" t="s">
        <v>11</v>
      </c>
      <c r="F1373">
        <v>41</v>
      </c>
      <c r="G1373" t="s">
        <v>12</v>
      </c>
      <c r="H1373">
        <v>4</v>
      </c>
      <c r="I1373">
        <v>30</v>
      </c>
      <c r="J1373">
        <v>29.1</v>
      </c>
      <c r="K1373">
        <v>120</v>
      </c>
    </row>
    <row r="1374" spans="1:11">
      <c r="A1374">
        <v>1692</v>
      </c>
      <c r="B1374" s="1">
        <v>45210</v>
      </c>
      <c r="C1374" s="2">
        <v>0.82638888888888884</v>
      </c>
      <c r="D1374">
        <v>103</v>
      </c>
      <c r="E1374" t="s">
        <v>14</v>
      </c>
      <c r="F1374">
        <v>64</v>
      </c>
      <c r="G1374" t="s">
        <v>12</v>
      </c>
      <c r="H1374">
        <v>2</v>
      </c>
      <c r="I1374">
        <v>50</v>
      </c>
      <c r="J1374">
        <v>59.5</v>
      </c>
      <c r="K1374">
        <v>100</v>
      </c>
    </row>
    <row r="1375" spans="1:11">
      <c r="A1375">
        <v>1835</v>
      </c>
      <c r="B1375" s="1">
        <v>44822</v>
      </c>
      <c r="C1375" s="2">
        <v>0.87361111111111112</v>
      </c>
      <c r="D1375">
        <v>98</v>
      </c>
      <c r="E1375" t="s">
        <v>11</v>
      </c>
      <c r="F1375">
        <v>37</v>
      </c>
      <c r="G1375" t="s">
        <v>12</v>
      </c>
      <c r="H1375">
        <v>4</v>
      </c>
      <c r="I1375">
        <v>50</v>
      </c>
      <c r="J1375">
        <v>49.5</v>
      </c>
      <c r="K1375">
        <v>200</v>
      </c>
    </row>
    <row r="1376" spans="1:11">
      <c r="A1376">
        <v>183</v>
      </c>
      <c r="B1376" s="1">
        <v>44805</v>
      </c>
      <c r="C1376" s="2">
        <v>0.80694444444444446</v>
      </c>
      <c r="D1376">
        <v>28</v>
      </c>
      <c r="E1376" t="s">
        <v>14</v>
      </c>
      <c r="F1376">
        <v>43</v>
      </c>
      <c r="G1376" t="s">
        <v>13</v>
      </c>
      <c r="H1376">
        <v>3</v>
      </c>
      <c r="I1376">
        <v>300</v>
      </c>
      <c r="J1376">
        <v>375</v>
      </c>
      <c r="K1376">
        <v>900</v>
      </c>
    </row>
    <row r="1377" spans="1:11">
      <c r="A1377">
        <v>413</v>
      </c>
      <c r="B1377" s="1">
        <v>45258</v>
      </c>
      <c r="C1377" s="2">
        <v>0.91111111111111109</v>
      </c>
      <c r="D1377">
        <v>60</v>
      </c>
      <c r="E1377" t="s">
        <v>14</v>
      </c>
      <c r="F1377">
        <v>44</v>
      </c>
      <c r="G1377" t="s">
        <v>13</v>
      </c>
      <c r="H1377">
        <v>3</v>
      </c>
      <c r="I1377">
        <v>25</v>
      </c>
      <c r="J1377">
        <v>25.5</v>
      </c>
      <c r="K1377">
        <v>75</v>
      </c>
    </row>
    <row r="1378" spans="1:11">
      <c r="A1378">
        <v>799</v>
      </c>
      <c r="B1378" s="1">
        <v>45200</v>
      </c>
      <c r="C1378" s="2">
        <v>0.82222222222222219</v>
      </c>
      <c r="D1378">
        <v>86</v>
      </c>
      <c r="E1378" t="s">
        <v>11</v>
      </c>
      <c r="F1378">
        <v>56</v>
      </c>
      <c r="G1378" t="s">
        <v>15</v>
      </c>
      <c r="H1378">
        <v>2</v>
      </c>
      <c r="I1378">
        <v>50</v>
      </c>
      <c r="J1378">
        <v>60</v>
      </c>
      <c r="K1378">
        <v>100</v>
      </c>
    </row>
    <row r="1379" spans="1:11">
      <c r="A1379">
        <v>851</v>
      </c>
      <c r="B1379" s="1">
        <v>45260</v>
      </c>
      <c r="C1379" s="2">
        <v>0.72430555555555554</v>
      </c>
      <c r="D1379">
        <v>30</v>
      </c>
      <c r="E1379" t="s">
        <v>11</v>
      </c>
      <c r="F1379">
        <v>32</v>
      </c>
      <c r="G1379" t="s">
        <v>15</v>
      </c>
      <c r="H1379">
        <v>2</v>
      </c>
      <c r="I1379">
        <v>25</v>
      </c>
      <c r="J1379">
        <v>27.75</v>
      </c>
      <c r="K1379">
        <v>50</v>
      </c>
    </row>
    <row r="1380" spans="1:11">
      <c r="A1380">
        <v>1183</v>
      </c>
      <c r="B1380" s="1">
        <v>44923</v>
      </c>
      <c r="C1380" s="2">
        <v>0.71527777777777779</v>
      </c>
      <c r="D1380">
        <v>54</v>
      </c>
      <c r="E1380" t="s">
        <v>14</v>
      </c>
      <c r="F1380">
        <v>43</v>
      </c>
      <c r="G1380" t="s">
        <v>13</v>
      </c>
      <c r="H1380">
        <v>3</v>
      </c>
      <c r="I1380">
        <v>300</v>
      </c>
      <c r="J1380">
        <v>342</v>
      </c>
      <c r="K1380">
        <v>900</v>
      </c>
    </row>
    <row r="1381" spans="1:11">
      <c r="A1381">
        <v>1413</v>
      </c>
      <c r="B1381" s="1">
        <v>45242</v>
      </c>
      <c r="C1381" s="2">
        <v>0.81458333333333333</v>
      </c>
      <c r="D1381">
        <v>104</v>
      </c>
      <c r="E1381" t="s">
        <v>14</v>
      </c>
      <c r="F1381">
        <v>44</v>
      </c>
      <c r="G1381" t="s">
        <v>13</v>
      </c>
      <c r="H1381">
        <v>3</v>
      </c>
      <c r="I1381">
        <v>25</v>
      </c>
      <c r="J1381">
        <v>30.75</v>
      </c>
      <c r="K1381">
        <v>75</v>
      </c>
    </row>
    <row r="1382" spans="1:11">
      <c r="A1382">
        <v>1799</v>
      </c>
      <c r="B1382" s="1">
        <v>45200</v>
      </c>
      <c r="C1382" s="2">
        <v>0.79791666666666672</v>
      </c>
      <c r="D1382">
        <v>132</v>
      </c>
      <c r="E1382" t="s">
        <v>11</v>
      </c>
      <c r="F1382">
        <v>56</v>
      </c>
      <c r="G1382" t="s">
        <v>15</v>
      </c>
      <c r="H1382">
        <v>2</v>
      </c>
      <c r="I1382">
        <v>50</v>
      </c>
      <c r="J1382">
        <v>51</v>
      </c>
      <c r="K1382">
        <v>100</v>
      </c>
    </row>
    <row r="1383" spans="1:11">
      <c r="A1383">
        <v>1851</v>
      </c>
      <c r="B1383" s="1">
        <v>44814</v>
      </c>
      <c r="C1383" s="2">
        <v>0.9</v>
      </c>
      <c r="D1383">
        <v>87</v>
      </c>
      <c r="E1383" t="s">
        <v>11</v>
      </c>
      <c r="F1383">
        <v>32</v>
      </c>
      <c r="G1383" t="s">
        <v>15</v>
      </c>
      <c r="H1383">
        <v>2</v>
      </c>
      <c r="I1383">
        <v>25</v>
      </c>
      <c r="J1383">
        <v>25</v>
      </c>
      <c r="K1383">
        <v>50</v>
      </c>
    </row>
    <row r="1384" spans="1:11">
      <c r="A1384">
        <v>858</v>
      </c>
      <c r="B1384" s="1">
        <v>45177</v>
      </c>
      <c r="C1384" s="2">
        <v>0.78333333333333333</v>
      </c>
      <c r="D1384">
        <v>85</v>
      </c>
      <c r="E1384" t="s">
        <v>11</v>
      </c>
      <c r="F1384">
        <v>23</v>
      </c>
      <c r="G1384" t="s">
        <v>15</v>
      </c>
      <c r="H1384">
        <v>2</v>
      </c>
      <c r="I1384">
        <v>50</v>
      </c>
      <c r="J1384">
        <v>50.5</v>
      </c>
      <c r="K1384">
        <v>100</v>
      </c>
    </row>
    <row r="1385" spans="1:11">
      <c r="A1385">
        <v>919</v>
      </c>
      <c r="B1385" s="1">
        <v>45227</v>
      </c>
      <c r="C1385" s="2">
        <v>0.88402777777777775</v>
      </c>
      <c r="D1385">
        <v>82</v>
      </c>
      <c r="E1385" t="s">
        <v>14</v>
      </c>
      <c r="F1385">
        <v>22</v>
      </c>
      <c r="G1385" t="s">
        <v>13</v>
      </c>
      <c r="H1385">
        <v>2</v>
      </c>
      <c r="I1385">
        <v>25</v>
      </c>
      <c r="J1385">
        <v>27.75</v>
      </c>
      <c r="K1385">
        <v>50</v>
      </c>
    </row>
    <row r="1386" spans="1:11">
      <c r="A1386">
        <v>935</v>
      </c>
      <c r="B1386" s="1">
        <v>44814</v>
      </c>
      <c r="C1386" s="2">
        <v>0.88611111111111107</v>
      </c>
      <c r="D1386">
        <v>2</v>
      </c>
      <c r="E1386" t="s">
        <v>14</v>
      </c>
      <c r="F1386">
        <v>34</v>
      </c>
      <c r="G1386" t="s">
        <v>13</v>
      </c>
      <c r="H1386">
        <v>1</v>
      </c>
      <c r="I1386">
        <v>50</v>
      </c>
      <c r="J1386">
        <v>55.5</v>
      </c>
      <c r="K1386">
        <v>50</v>
      </c>
    </row>
    <row r="1387" spans="1:11">
      <c r="A1387">
        <v>1858</v>
      </c>
      <c r="B1387" s="1">
        <v>45183</v>
      </c>
      <c r="C1387" s="2">
        <v>0.86597222222222225</v>
      </c>
      <c r="D1387">
        <v>49</v>
      </c>
      <c r="E1387" t="s">
        <v>11</v>
      </c>
      <c r="F1387">
        <v>23</v>
      </c>
      <c r="G1387" t="s">
        <v>15</v>
      </c>
      <c r="H1387">
        <v>2</v>
      </c>
      <c r="I1387">
        <v>50</v>
      </c>
      <c r="J1387">
        <v>52</v>
      </c>
      <c r="K1387">
        <v>100</v>
      </c>
    </row>
    <row r="1388" spans="1:11">
      <c r="A1388">
        <v>1919</v>
      </c>
      <c r="B1388" s="1">
        <v>44859</v>
      </c>
      <c r="C1388" s="2">
        <v>0.74583333333333335</v>
      </c>
      <c r="D1388">
        <v>78</v>
      </c>
      <c r="E1388" t="s">
        <v>14</v>
      </c>
      <c r="F1388">
        <v>22</v>
      </c>
      <c r="G1388" t="s">
        <v>13</v>
      </c>
      <c r="H1388">
        <v>2</v>
      </c>
      <c r="I1388">
        <v>25</v>
      </c>
      <c r="J1388">
        <v>26.5</v>
      </c>
      <c r="K1388">
        <v>50</v>
      </c>
    </row>
    <row r="1389" spans="1:11">
      <c r="A1389">
        <v>1935</v>
      </c>
      <c r="B1389" s="1">
        <v>44911</v>
      </c>
      <c r="C1389" s="2">
        <v>0.94444444444444442</v>
      </c>
      <c r="D1389">
        <v>96</v>
      </c>
      <c r="E1389" t="s">
        <v>14</v>
      </c>
      <c r="F1389">
        <v>34</v>
      </c>
      <c r="G1389" t="s">
        <v>13</v>
      </c>
      <c r="H1389">
        <v>1</v>
      </c>
      <c r="I1389">
        <v>50</v>
      </c>
      <c r="J1389">
        <v>47.5</v>
      </c>
      <c r="K1389">
        <v>50</v>
      </c>
    </row>
    <row r="1390" spans="1:11">
      <c r="A1390">
        <v>132</v>
      </c>
      <c r="B1390" s="1">
        <v>45252</v>
      </c>
      <c r="C1390" s="2">
        <v>0.8569444444444444</v>
      </c>
      <c r="D1390">
        <v>86</v>
      </c>
      <c r="E1390" t="s">
        <v>11</v>
      </c>
      <c r="F1390">
        <v>42</v>
      </c>
      <c r="G1390" t="s">
        <v>15</v>
      </c>
      <c r="H1390">
        <v>4</v>
      </c>
      <c r="I1390">
        <v>50</v>
      </c>
      <c r="J1390">
        <v>62</v>
      </c>
      <c r="K1390">
        <v>200</v>
      </c>
    </row>
    <row r="1391" spans="1:11">
      <c r="A1391">
        <v>1132</v>
      </c>
      <c r="B1391" s="1">
        <v>45237</v>
      </c>
      <c r="C1391" s="2">
        <v>0.7270833333333333</v>
      </c>
      <c r="D1391">
        <v>14</v>
      </c>
      <c r="E1391" t="s">
        <v>11</v>
      </c>
      <c r="F1391">
        <v>42</v>
      </c>
      <c r="G1391" t="s">
        <v>15</v>
      </c>
      <c r="H1391">
        <v>4</v>
      </c>
      <c r="I1391">
        <v>50</v>
      </c>
      <c r="J1391">
        <v>59</v>
      </c>
      <c r="K1391">
        <v>200</v>
      </c>
    </row>
    <row r="1392" spans="1:11">
      <c r="A1392">
        <v>604</v>
      </c>
      <c r="B1392" s="1">
        <v>44820</v>
      </c>
      <c r="C1392" s="2">
        <v>0.81527777777777777</v>
      </c>
      <c r="D1392">
        <v>139</v>
      </c>
      <c r="E1392" t="s">
        <v>14</v>
      </c>
      <c r="F1392">
        <v>29</v>
      </c>
      <c r="G1392" t="s">
        <v>15</v>
      </c>
      <c r="H1392">
        <v>4</v>
      </c>
      <c r="I1392">
        <v>50</v>
      </c>
      <c r="J1392">
        <v>50.5</v>
      </c>
      <c r="K1392">
        <v>200</v>
      </c>
    </row>
    <row r="1393" spans="1:11">
      <c r="A1393">
        <v>832</v>
      </c>
      <c r="B1393" s="1">
        <v>44878</v>
      </c>
      <c r="C1393" s="2">
        <v>0.72569444444444442</v>
      </c>
      <c r="D1393">
        <v>106</v>
      </c>
      <c r="E1393" t="s">
        <v>11</v>
      </c>
      <c r="F1393">
        <v>47</v>
      </c>
      <c r="G1393" t="s">
        <v>13</v>
      </c>
      <c r="H1393">
        <v>4</v>
      </c>
      <c r="I1393">
        <v>500</v>
      </c>
      <c r="J1393">
        <v>600</v>
      </c>
      <c r="K1393">
        <v>2000</v>
      </c>
    </row>
    <row r="1394" spans="1:11">
      <c r="A1394">
        <v>1604</v>
      </c>
      <c r="B1394" s="1">
        <v>44924</v>
      </c>
      <c r="C1394" s="2">
        <v>0.77986111111111112</v>
      </c>
      <c r="D1394">
        <v>2</v>
      </c>
      <c r="E1394" t="s">
        <v>14</v>
      </c>
      <c r="F1394">
        <v>29</v>
      </c>
      <c r="G1394" t="s">
        <v>15</v>
      </c>
      <c r="H1394">
        <v>4</v>
      </c>
      <c r="I1394">
        <v>50</v>
      </c>
      <c r="J1394">
        <v>56</v>
      </c>
      <c r="K1394">
        <v>200</v>
      </c>
    </row>
    <row r="1395" spans="1:11">
      <c r="A1395">
        <v>1832</v>
      </c>
      <c r="B1395" s="1">
        <v>45240</v>
      </c>
      <c r="C1395" s="2">
        <v>0.88680555555555551</v>
      </c>
      <c r="D1395">
        <v>57</v>
      </c>
      <c r="E1395" t="s">
        <v>11</v>
      </c>
      <c r="F1395">
        <v>47</v>
      </c>
      <c r="G1395" t="s">
        <v>13</v>
      </c>
      <c r="H1395">
        <v>4</v>
      </c>
      <c r="I1395">
        <v>500</v>
      </c>
      <c r="J1395">
        <v>480</v>
      </c>
      <c r="K1395">
        <v>2000</v>
      </c>
    </row>
    <row r="1396" spans="1:11">
      <c r="A1396">
        <v>113</v>
      </c>
      <c r="B1396" s="1">
        <v>44842</v>
      </c>
      <c r="C1396" s="2">
        <v>0.80138888888888893</v>
      </c>
      <c r="D1396">
        <v>72</v>
      </c>
      <c r="E1396" t="s">
        <v>14</v>
      </c>
      <c r="F1396">
        <v>41</v>
      </c>
      <c r="G1396" t="s">
        <v>15</v>
      </c>
      <c r="H1396">
        <v>2</v>
      </c>
      <c r="I1396">
        <v>25</v>
      </c>
      <c r="J1396">
        <v>26.25</v>
      </c>
      <c r="K1396">
        <v>50</v>
      </c>
    </row>
    <row r="1397" spans="1:11">
      <c r="A1397">
        <v>1113</v>
      </c>
      <c r="B1397" s="1">
        <v>45268</v>
      </c>
      <c r="C1397" s="2">
        <v>0.7368055555555556</v>
      </c>
      <c r="D1397">
        <v>141</v>
      </c>
      <c r="E1397" t="s">
        <v>14</v>
      </c>
      <c r="F1397">
        <v>41</v>
      </c>
      <c r="G1397" t="s">
        <v>15</v>
      </c>
      <c r="H1397">
        <v>2</v>
      </c>
      <c r="I1397">
        <v>25</v>
      </c>
      <c r="J1397">
        <v>27.75</v>
      </c>
      <c r="K1397">
        <v>50</v>
      </c>
    </row>
    <row r="1398" spans="1:11">
      <c r="A1398">
        <v>165</v>
      </c>
      <c r="B1398" s="1">
        <v>44828</v>
      </c>
      <c r="C1398" s="2">
        <v>0.79236111111111107</v>
      </c>
      <c r="D1398">
        <v>75</v>
      </c>
      <c r="E1398" t="s">
        <v>14</v>
      </c>
      <c r="F1398">
        <v>60</v>
      </c>
      <c r="G1398" t="s">
        <v>12</v>
      </c>
      <c r="H1398">
        <v>4</v>
      </c>
      <c r="I1398">
        <v>300</v>
      </c>
      <c r="J1398">
        <v>318</v>
      </c>
      <c r="K1398">
        <v>1200</v>
      </c>
    </row>
    <row r="1399" spans="1:11">
      <c r="A1399">
        <v>1165</v>
      </c>
      <c r="B1399" s="1">
        <v>45261</v>
      </c>
      <c r="C1399" s="2">
        <v>0.71111111111111114</v>
      </c>
      <c r="D1399">
        <v>29</v>
      </c>
      <c r="E1399" t="s">
        <v>14</v>
      </c>
      <c r="F1399">
        <v>60</v>
      </c>
      <c r="G1399" t="s">
        <v>12</v>
      </c>
      <c r="H1399">
        <v>4</v>
      </c>
      <c r="I1399">
        <v>300</v>
      </c>
      <c r="J1399">
        <v>291</v>
      </c>
      <c r="K1399">
        <v>1200</v>
      </c>
    </row>
    <row r="1400" spans="1:11">
      <c r="A1400">
        <v>326</v>
      </c>
      <c r="B1400" s="1">
        <v>45253</v>
      </c>
      <c r="C1400" s="2">
        <v>0.82708333333333328</v>
      </c>
      <c r="D1400">
        <v>108</v>
      </c>
      <c r="E1400" t="s">
        <v>14</v>
      </c>
      <c r="F1400">
        <v>18</v>
      </c>
      <c r="G1400" t="s">
        <v>12</v>
      </c>
      <c r="H1400">
        <v>3</v>
      </c>
      <c r="I1400">
        <v>25</v>
      </c>
      <c r="J1400">
        <v>24.25</v>
      </c>
      <c r="K1400">
        <v>75</v>
      </c>
    </row>
    <row r="1401" spans="1:11">
      <c r="A1401">
        <v>1326</v>
      </c>
      <c r="B1401" s="1">
        <v>45170</v>
      </c>
      <c r="C1401" s="2">
        <v>0.94097222222222221</v>
      </c>
      <c r="D1401">
        <v>66</v>
      </c>
      <c r="E1401" t="s">
        <v>14</v>
      </c>
      <c r="F1401">
        <v>18</v>
      </c>
      <c r="G1401" t="s">
        <v>12</v>
      </c>
      <c r="H1401">
        <v>3</v>
      </c>
      <c r="I1401">
        <v>25</v>
      </c>
      <c r="J1401">
        <v>28.75</v>
      </c>
      <c r="K1401">
        <v>75</v>
      </c>
    </row>
    <row r="1402" spans="1:11">
      <c r="A1402">
        <v>19</v>
      </c>
      <c r="B1402" s="1">
        <v>45256</v>
      </c>
      <c r="C1402" s="2">
        <v>0.81874999999999998</v>
      </c>
      <c r="D1402">
        <v>30</v>
      </c>
      <c r="E1402" t="s">
        <v>14</v>
      </c>
      <c r="F1402">
        <v>62</v>
      </c>
      <c r="G1402" t="s">
        <v>12</v>
      </c>
      <c r="H1402">
        <v>2</v>
      </c>
      <c r="I1402">
        <v>25</v>
      </c>
      <c r="J1402">
        <v>28.5</v>
      </c>
      <c r="K1402">
        <v>50</v>
      </c>
    </row>
    <row r="1403" spans="1:11">
      <c r="A1403">
        <v>412</v>
      </c>
      <c r="B1403" s="1">
        <v>44808</v>
      </c>
      <c r="C1403" s="2">
        <v>0.81666666666666665</v>
      </c>
      <c r="D1403">
        <v>30</v>
      </c>
      <c r="E1403" t="s">
        <v>14</v>
      </c>
      <c r="F1403">
        <v>19</v>
      </c>
      <c r="G1403" t="s">
        <v>15</v>
      </c>
      <c r="H1403">
        <v>4</v>
      </c>
      <c r="I1403">
        <v>500</v>
      </c>
      <c r="J1403">
        <v>570</v>
      </c>
      <c r="K1403">
        <v>2000</v>
      </c>
    </row>
    <row r="1404" spans="1:11">
      <c r="A1404">
        <v>632</v>
      </c>
      <c r="B1404" s="1">
        <v>45224</v>
      </c>
      <c r="C1404" s="2">
        <v>0.84236111111111112</v>
      </c>
      <c r="D1404">
        <v>78</v>
      </c>
      <c r="E1404" t="s">
        <v>14</v>
      </c>
      <c r="F1404">
        <v>26</v>
      </c>
      <c r="G1404" t="s">
        <v>15</v>
      </c>
      <c r="H1404">
        <v>4</v>
      </c>
      <c r="I1404">
        <v>25</v>
      </c>
      <c r="J1404">
        <v>24.75</v>
      </c>
      <c r="K1404">
        <v>100</v>
      </c>
    </row>
    <row r="1405" spans="1:11">
      <c r="A1405">
        <v>1019</v>
      </c>
      <c r="B1405" s="1">
        <v>45274</v>
      </c>
      <c r="C1405" s="2">
        <v>0.89027777777777772</v>
      </c>
      <c r="D1405">
        <v>56</v>
      </c>
      <c r="E1405" t="s">
        <v>14</v>
      </c>
      <c r="F1405">
        <v>62</v>
      </c>
      <c r="G1405" t="s">
        <v>12</v>
      </c>
      <c r="H1405">
        <v>2</v>
      </c>
      <c r="I1405">
        <v>25</v>
      </c>
      <c r="J1405">
        <v>25.75</v>
      </c>
      <c r="K1405">
        <v>50</v>
      </c>
    </row>
    <row r="1406" spans="1:11">
      <c r="A1406">
        <v>1412</v>
      </c>
      <c r="B1406" s="1">
        <v>44847</v>
      </c>
      <c r="C1406" s="2">
        <v>0.83263888888888893</v>
      </c>
      <c r="D1406">
        <v>75</v>
      </c>
      <c r="E1406" t="s">
        <v>14</v>
      </c>
      <c r="F1406">
        <v>19</v>
      </c>
      <c r="G1406" t="s">
        <v>15</v>
      </c>
      <c r="H1406">
        <v>4</v>
      </c>
      <c r="I1406">
        <v>500</v>
      </c>
      <c r="J1406">
        <v>615</v>
      </c>
      <c r="K1406">
        <v>2000</v>
      </c>
    </row>
    <row r="1407" spans="1:11">
      <c r="A1407">
        <v>1632</v>
      </c>
      <c r="B1407" s="1">
        <v>44853</v>
      </c>
      <c r="C1407" s="2">
        <v>0.76111111111111107</v>
      </c>
      <c r="D1407">
        <v>29</v>
      </c>
      <c r="E1407" t="s">
        <v>14</v>
      </c>
      <c r="F1407">
        <v>26</v>
      </c>
      <c r="G1407" t="s">
        <v>15</v>
      </c>
      <c r="H1407">
        <v>4</v>
      </c>
      <c r="I1407">
        <v>25</v>
      </c>
      <c r="J1407">
        <v>24.75</v>
      </c>
      <c r="K1407">
        <v>100</v>
      </c>
    </row>
    <row r="1408" spans="1:11">
      <c r="A1408">
        <v>167</v>
      </c>
      <c r="B1408" s="1">
        <v>45190</v>
      </c>
      <c r="C1408" s="2">
        <v>0.87361111111111112</v>
      </c>
      <c r="D1408">
        <v>73</v>
      </c>
      <c r="E1408" t="s">
        <v>14</v>
      </c>
      <c r="F1408">
        <v>43</v>
      </c>
      <c r="G1408" t="s">
        <v>12</v>
      </c>
      <c r="H1408">
        <v>3</v>
      </c>
      <c r="I1408">
        <v>50</v>
      </c>
      <c r="J1408">
        <v>49</v>
      </c>
      <c r="K1408">
        <v>150</v>
      </c>
    </row>
    <row r="1409" spans="1:11">
      <c r="A1409">
        <v>172</v>
      </c>
      <c r="B1409" s="1">
        <v>44855</v>
      </c>
      <c r="C1409" s="2">
        <v>0.75624999999999998</v>
      </c>
      <c r="D1409">
        <v>52</v>
      </c>
      <c r="E1409" t="s">
        <v>11</v>
      </c>
      <c r="F1409">
        <v>32</v>
      </c>
      <c r="G1409" t="s">
        <v>13</v>
      </c>
      <c r="H1409">
        <v>2</v>
      </c>
      <c r="I1409">
        <v>25</v>
      </c>
      <c r="J1409">
        <v>28</v>
      </c>
      <c r="K1409">
        <v>50</v>
      </c>
    </row>
    <row r="1410" spans="1:11">
      <c r="A1410">
        <v>375</v>
      </c>
      <c r="B1410" s="1">
        <v>45191</v>
      </c>
      <c r="C1410" s="2">
        <v>0.73055555555555551</v>
      </c>
      <c r="D1410">
        <v>25</v>
      </c>
      <c r="E1410" t="s">
        <v>11</v>
      </c>
      <c r="F1410">
        <v>32</v>
      </c>
      <c r="G1410" t="s">
        <v>12</v>
      </c>
      <c r="H1410">
        <v>1</v>
      </c>
      <c r="I1410">
        <v>50</v>
      </c>
      <c r="J1410">
        <v>52</v>
      </c>
      <c r="K1410">
        <v>50</v>
      </c>
    </row>
    <row r="1411" spans="1:11">
      <c r="A1411">
        <v>538</v>
      </c>
      <c r="B1411" s="1">
        <v>45282</v>
      </c>
      <c r="C1411" s="2">
        <v>0.76388888888888884</v>
      </c>
      <c r="D1411">
        <v>102</v>
      </c>
      <c r="E1411" t="s">
        <v>11</v>
      </c>
      <c r="F1411">
        <v>18</v>
      </c>
      <c r="G1411" t="s">
        <v>12</v>
      </c>
      <c r="H1411">
        <v>3</v>
      </c>
      <c r="I1411">
        <v>50</v>
      </c>
      <c r="J1411">
        <v>56.5</v>
      </c>
      <c r="K1411">
        <v>150</v>
      </c>
    </row>
    <row r="1412" spans="1:11">
      <c r="A1412">
        <v>794</v>
      </c>
      <c r="B1412" s="1">
        <v>44867</v>
      </c>
      <c r="C1412" s="2">
        <v>0.90763888888888888</v>
      </c>
      <c r="D1412">
        <v>145</v>
      </c>
      <c r="E1412" t="s">
        <v>14</v>
      </c>
      <c r="F1412">
        <v>60</v>
      </c>
      <c r="G1412" t="s">
        <v>13</v>
      </c>
      <c r="H1412">
        <v>1</v>
      </c>
      <c r="I1412">
        <v>300</v>
      </c>
      <c r="J1412">
        <v>315</v>
      </c>
      <c r="K1412">
        <v>300</v>
      </c>
    </row>
    <row r="1413" spans="1:11">
      <c r="A1413">
        <v>1167</v>
      </c>
      <c r="B1413" s="1">
        <v>45198</v>
      </c>
      <c r="C1413" s="2">
        <v>0.88958333333333328</v>
      </c>
      <c r="D1413">
        <v>9</v>
      </c>
      <c r="E1413" t="s">
        <v>14</v>
      </c>
      <c r="F1413">
        <v>43</v>
      </c>
      <c r="G1413" t="s">
        <v>12</v>
      </c>
      <c r="H1413">
        <v>3</v>
      </c>
      <c r="I1413">
        <v>50</v>
      </c>
      <c r="J1413">
        <v>54</v>
      </c>
      <c r="K1413">
        <v>150</v>
      </c>
    </row>
    <row r="1414" spans="1:11">
      <c r="A1414">
        <v>1172</v>
      </c>
      <c r="B1414" s="1">
        <v>44853</v>
      </c>
      <c r="C1414" s="2">
        <v>0.8833333333333333</v>
      </c>
      <c r="D1414">
        <v>150</v>
      </c>
      <c r="E1414" t="s">
        <v>11</v>
      </c>
      <c r="F1414">
        <v>32</v>
      </c>
      <c r="G1414" t="s">
        <v>13</v>
      </c>
      <c r="H1414">
        <v>2</v>
      </c>
      <c r="I1414">
        <v>25</v>
      </c>
      <c r="J1414">
        <v>28.5</v>
      </c>
      <c r="K1414">
        <v>50</v>
      </c>
    </row>
    <row r="1415" spans="1:11">
      <c r="A1415">
        <v>1375</v>
      </c>
      <c r="B1415" s="1">
        <v>44835</v>
      </c>
      <c r="C1415" s="2">
        <v>0.74305555555555558</v>
      </c>
      <c r="D1415">
        <v>79</v>
      </c>
      <c r="E1415" t="s">
        <v>11</v>
      </c>
      <c r="F1415">
        <v>32</v>
      </c>
      <c r="G1415" t="s">
        <v>12</v>
      </c>
      <c r="H1415">
        <v>1</v>
      </c>
      <c r="I1415">
        <v>50</v>
      </c>
      <c r="J1415">
        <v>59</v>
      </c>
      <c r="K1415">
        <v>50</v>
      </c>
    </row>
    <row r="1416" spans="1:11">
      <c r="A1416">
        <v>1538</v>
      </c>
      <c r="B1416" s="1">
        <v>44816</v>
      </c>
      <c r="C1416" s="2">
        <v>0.87291666666666667</v>
      </c>
      <c r="D1416">
        <v>21</v>
      </c>
      <c r="E1416" t="s">
        <v>11</v>
      </c>
      <c r="F1416">
        <v>18</v>
      </c>
      <c r="G1416" t="s">
        <v>12</v>
      </c>
      <c r="H1416">
        <v>3</v>
      </c>
      <c r="I1416">
        <v>50</v>
      </c>
      <c r="J1416">
        <v>53.5</v>
      </c>
      <c r="K1416">
        <v>150</v>
      </c>
    </row>
    <row r="1417" spans="1:11">
      <c r="A1417">
        <v>1794</v>
      </c>
      <c r="B1417" s="1">
        <v>44917</v>
      </c>
      <c r="C1417" s="2">
        <v>0.81944444444444442</v>
      </c>
      <c r="D1417">
        <v>26</v>
      </c>
      <c r="E1417" t="s">
        <v>14</v>
      </c>
      <c r="F1417">
        <v>60</v>
      </c>
      <c r="G1417" t="s">
        <v>13</v>
      </c>
      <c r="H1417">
        <v>1</v>
      </c>
      <c r="I1417">
        <v>300</v>
      </c>
      <c r="J1417">
        <v>351</v>
      </c>
      <c r="K1417">
        <v>300</v>
      </c>
    </row>
    <row r="1418" spans="1:11">
      <c r="A1418">
        <v>131</v>
      </c>
      <c r="B1418" s="1">
        <v>45198</v>
      </c>
      <c r="C1418" s="2">
        <v>0.93888888888888888</v>
      </c>
      <c r="D1418">
        <v>44</v>
      </c>
      <c r="E1418" t="s">
        <v>14</v>
      </c>
      <c r="F1418">
        <v>21</v>
      </c>
      <c r="G1418" t="s">
        <v>13</v>
      </c>
      <c r="H1418">
        <v>2</v>
      </c>
      <c r="I1418">
        <v>300</v>
      </c>
      <c r="J1418">
        <v>375</v>
      </c>
      <c r="K1418">
        <v>600</v>
      </c>
    </row>
    <row r="1419" spans="1:11">
      <c r="A1419">
        <v>330</v>
      </c>
      <c r="B1419" s="1">
        <v>44845</v>
      </c>
      <c r="C1419" s="2">
        <v>0.84583333333333333</v>
      </c>
      <c r="D1419">
        <v>116</v>
      </c>
      <c r="E1419" t="s">
        <v>14</v>
      </c>
      <c r="F1419">
        <v>25</v>
      </c>
      <c r="G1419" t="s">
        <v>13</v>
      </c>
      <c r="H1419">
        <v>4</v>
      </c>
      <c r="I1419">
        <v>50</v>
      </c>
      <c r="J1419">
        <v>55</v>
      </c>
      <c r="K1419">
        <v>200</v>
      </c>
    </row>
    <row r="1420" spans="1:11">
      <c r="A1420">
        <v>494</v>
      </c>
      <c r="B1420" s="1">
        <v>45194</v>
      </c>
      <c r="C1420" s="2">
        <v>0.84583333333333333</v>
      </c>
      <c r="D1420">
        <v>140</v>
      </c>
      <c r="E1420" t="s">
        <v>14</v>
      </c>
      <c r="F1420">
        <v>42</v>
      </c>
      <c r="G1420" t="s">
        <v>13</v>
      </c>
      <c r="H1420">
        <v>4</v>
      </c>
      <c r="I1420">
        <v>50</v>
      </c>
      <c r="J1420">
        <v>58</v>
      </c>
      <c r="K1420">
        <v>200</v>
      </c>
    </row>
    <row r="1421" spans="1:11">
      <c r="A1421">
        <v>1131</v>
      </c>
      <c r="B1421" s="1">
        <v>44926</v>
      </c>
      <c r="C1421" s="2">
        <v>0.80277777777777781</v>
      </c>
      <c r="D1421">
        <v>130</v>
      </c>
      <c r="E1421" t="s">
        <v>14</v>
      </c>
      <c r="F1421">
        <v>21</v>
      </c>
      <c r="G1421" t="s">
        <v>13</v>
      </c>
      <c r="H1421">
        <v>2</v>
      </c>
      <c r="I1421">
        <v>300</v>
      </c>
      <c r="J1421">
        <v>336</v>
      </c>
      <c r="K1421">
        <v>600</v>
      </c>
    </row>
    <row r="1422" spans="1:11">
      <c r="A1422">
        <v>1330</v>
      </c>
      <c r="B1422" s="1">
        <v>45254</v>
      </c>
      <c r="C1422" s="2">
        <v>0.74236111111111114</v>
      </c>
      <c r="D1422">
        <v>20</v>
      </c>
      <c r="E1422" t="s">
        <v>14</v>
      </c>
      <c r="F1422">
        <v>25</v>
      </c>
      <c r="G1422" t="s">
        <v>13</v>
      </c>
      <c r="H1422">
        <v>4</v>
      </c>
      <c r="I1422">
        <v>50</v>
      </c>
      <c r="J1422">
        <v>48</v>
      </c>
      <c r="K1422">
        <v>200</v>
      </c>
    </row>
    <row r="1423" spans="1:11">
      <c r="A1423">
        <v>1494</v>
      </c>
      <c r="B1423" s="1">
        <v>44857</v>
      </c>
      <c r="C1423" s="2">
        <v>0.81180555555555556</v>
      </c>
      <c r="D1423">
        <v>74</v>
      </c>
      <c r="E1423" t="s">
        <v>14</v>
      </c>
      <c r="F1423">
        <v>42</v>
      </c>
      <c r="G1423" t="s">
        <v>13</v>
      </c>
      <c r="H1423">
        <v>4</v>
      </c>
      <c r="I1423">
        <v>50</v>
      </c>
      <c r="J1423">
        <v>62.5</v>
      </c>
      <c r="K1423">
        <v>200</v>
      </c>
    </row>
    <row r="1424" spans="1:11">
      <c r="A1424">
        <v>513</v>
      </c>
      <c r="B1424" s="1">
        <v>44855</v>
      </c>
      <c r="C1424" s="2">
        <v>0.77152777777777781</v>
      </c>
      <c r="D1424">
        <v>85</v>
      </c>
      <c r="E1424" t="s">
        <v>11</v>
      </c>
      <c r="F1424">
        <v>24</v>
      </c>
      <c r="G1424" t="s">
        <v>15</v>
      </c>
      <c r="H1424">
        <v>4</v>
      </c>
      <c r="I1424">
        <v>25</v>
      </c>
      <c r="J1424">
        <v>24.5</v>
      </c>
      <c r="K1424">
        <v>100</v>
      </c>
    </row>
    <row r="1425" spans="1:11">
      <c r="A1425">
        <v>573</v>
      </c>
      <c r="B1425" s="1">
        <v>45188</v>
      </c>
      <c r="C1425" s="2">
        <v>0.95763888888888893</v>
      </c>
      <c r="D1425">
        <v>78</v>
      </c>
      <c r="E1425" t="s">
        <v>11</v>
      </c>
      <c r="F1425">
        <v>49</v>
      </c>
      <c r="G1425" t="s">
        <v>13</v>
      </c>
      <c r="H1425">
        <v>2</v>
      </c>
      <c r="I1425">
        <v>30</v>
      </c>
      <c r="J1425">
        <v>36.299999999999997</v>
      </c>
      <c r="K1425">
        <v>60</v>
      </c>
    </row>
    <row r="1426" spans="1:11">
      <c r="A1426">
        <v>1513</v>
      </c>
      <c r="B1426" s="1">
        <v>44835</v>
      </c>
      <c r="C1426" s="2">
        <v>0.90763888888888888</v>
      </c>
      <c r="D1426">
        <v>19</v>
      </c>
      <c r="E1426" t="s">
        <v>11</v>
      </c>
      <c r="F1426">
        <v>24</v>
      </c>
      <c r="G1426" t="s">
        <v>15</v>
      </c>
      <c r="H1426">
        <v>4</v>
      </c>
      <c r="I1426">
        <v>25</v>
      </c>
      <c r="J1426">
        <v>31</v>
      </c>
      <c r="K1426">
        <v>100</v>
      </c>
    </row>
    <row r="1427" spans="1:11">
      <c r="A1427">
        <v>1573</v>
      </c>
      <c r="B1427" s="1">
        <v>44847</v>
      </c>
      <c r="C1427" s="2">
        <v>0.90625</v>
      </c>
      <c r="D1427">
        <v>148</v>
      </c>
      <c r="E1427" t="s">
        <v>11</v>
      </c>
      <c r="F1427">
        <v>49</v>
      </c>
      <c r="G1427" t="s">
        <v>13</v>
      </c>
      <c r="H1427">
        <v>2</v>
      </c>
      <c r="I1427">
        <v>30</v>
      </c>
      <c r="J1427">
        <v>31.2</v>
      </c>
      <c r="K1427">
        <v>60</v>
      </c>
    </row>
    <row r="1428" spans="1:11">
      <c r="A1428">
        <v>241</v>
      </c>
      <c r="B1428" s="1">
        <v>45279</v>
      </c>
      <c r="C1428" s="2">
        <v>0.84791666666666665</v>
      </c>
      <c r="D1428">
        <v>108</v>
      </c>
      <c r="E1428" t="s">
        <v>14</v>
      </c>
      <c r="F1428">
        <v>23</v>
      </c>
      <c r="G1428" t="s">
        <v>15</v>
      </c>
      <c r="H1428">
        <v>3</v>
      </c>
      <c r="I1428">
        <v>25</v>
      </c>
      <c r="J1428">
        <v>26.75</v>
      </c>
      <c r="K1428">
        <v>75</v>
      </c>
    </row>
    <row r="1429" spans="1:11">
      <c r="A1429">
        <v>579</v>
      </c>
      <c r="B1429" s="1">
        <v>45205</v>
      </c>
      <c r="C1429" s="2">
        <v>0.73819444444444449</v>
      </c>
      <c r="D1429">
        <v>41</v>
      </c>
      <c r="E1429" t="s">
        <v>14</v>
      </c>
      <c r="F1429">
        <v>38</v>
      </c>
      <c r="G1429" t="s">
        <v>15</v>
      </c>
      <c r="H1429">
        <v>1</v>
      </c>
      <c r="I1429">
        <v>30</v>
      </c>
      <c r="J1429">
        <v>36.6</v>
      </c>
      <c r="K1429">
        <v>30</v>
      </c>
    </row>
    <row r="1430" spans="1:11">
      <c r="A1430">
        <v>1241</v>
      </c>
      <c r="B1430" s="1">
        <v>45179</v>
      </c>
      <c r="C1430" s="2">
        <v>0.72777777777777775</v>
      </c>
      <c r="D1430">
        <v>26</v>
      </c>
      <c r="E1430" t="s">
        <v>14</v>
      </c>
      <c r="F1430">
        <v>23</v>
      </c>
      <c r="G1430" t="s">
        <v>15</v>
      </c>
      <c r="H1430">
        <v>3</v>
      </c>
      <c r="I1430">
        <v>25</v>
      </c>
      <c r="J1430">
        <v>24.5</v>
      </c>
      <c r="K1430">
        <v>75</v>
      </c>
    </row>
    <row r="1431" spans="1:11">
      <c r="A1431">
        <v>1579</v>
      </c>
      <c r="B1431" s="1">
        <v>45197</v>
      </c>
      <c r="C1431" s="2">
        <v>0.73472222222222228</v>
      </c>
      <c r="D1431">
        <v>119</v>
      </c>
      <c r="E1431" t="s">
        <v>14</v>
      </c>
      <c r="F1431">
        <v>38</v>
      </c>
      <c r="G1431" t="s">
        <v>15</v>
      </c>
      <c r="H1431">
        <v>1</v>
      </c>
      <c r="I1431">
        <v>30</v>
      </c>
      <c r="J1431">
        <v>28.8</v>
      </c>
      <c r="K1431">
        <v>30</v>
      </c>
    </row>
    <row r="1432" spans="1:11">
      <c r="A1432">
        <v>218</v>
      </c>
      <c r="B1432" s="1">
        <v>44889</v>
      </c>
      <c r="C1432" s="2">
        <v>0.86041666666666672</v>
      </c>
      <c r="D1432">
        <v>144</v>
      </c>
      <c r="E1432" t="s">
        <v>11</v>
      </c>
      <c r="F1432">
        <v>64</v>
      </c>
      <c r="G1432" t="s">
        <v>13</v>
      </c>
      <c r="H1432">
        <v>3</v>
      </c>
      <c r="I1432">
        <v>30</v>
      </c>
      <c r="J1432">
        <v>33.9</v>
      </c>
      <c r="K1432">
        <v>90</v>
      </c>
    </row>
    <row r="1433" spans="1:11">
      <c r="A1433">
        <v>846</v>
      </c>
      <c r="B1433" s="1">
        <v>45282</v>
      </c>
      <c r="C1433" s="2">
        <v>0.78194444444444444</v>
      </c>
      <c r="D1433">
        <v>13</v>
      </c>
      <c r="E1433" t="s">
        <v>11</v>
      </c>
      <c r="F1433">
        <v>42</v>
      </c>
      <c r="G1433" t="s">
        <v>13</v>
      </c>
      <c r="H1433">
        <v>1</v>
      </c>
      <c r="I1433">
        <v>50</v>
      </c>
      <c r="J1433">
        <v>59.5</v>
      </c>
      <c r="K1433">
        <v>50</v>
      </c>
    </row>
    <row r="1434" spans="1:11">
      <c r="A1434">
        <v>1218</v>
      </c>
      <c r="B1434" s="1">
        <v>45224</v>
      </c>
      <c r="C1434" s="2">
        <v>0.9243055555555556</v>
      </c>
      <c r="D1434">
        <v>30</v>
      </c>
      <c r="E1434" t="s">
        <v>11</v>
      </c>
      <c r="F1434">
        <v>64</v>
      </c>
      <c r="G1434" t="s">
        <v>13</v>
      </c>
      <c r="H1434">
        <v>3</v>
      </c>
      <c r="I1434">
        <v>30</v>
      </c>
      <c r="J1434">
        <v>34.200000000000003</v>
      </c>
      <c r="K1434">
        <v>90</v>
      </c>
    </row>
    <row r="1435" spans="1:11">
      <c r="A1435">
        <v>1846</v>
      </c>
      <c r="B1435" s="1">
        <v>45246</v>
      </c>
      <c r="C1435" s="2">
        <v>0.74375000000000002</v>
      </c>
      <c r="D1435">
        <v>83</v>
      </c>
      <c r="E1435" t="s">
        <v>11</v>
      </c>
      <c r="F1435">
        <v>42</v>
      </c>
      <c r="G1435" t="s">
        <v>13</v>
      </c>
      <c r="H1435">
        <v>1</v>
      </c>
      <c r="I1435">
        <v>50</v>
      </c>
      <c r="J1435">
        <v>49.5</v>
      </c>
      <c r="K1435">
        <v>50</v>
      </c>
    </row>
    <row r="1436" spans="1:11">
      <c r="A1436">
        <v>616</v>
      </c>
      <c r="B1436" s="1">
        <v>44926</v>
      </c>
      <c r="C1436" s="2">
        <v>0.8041666666666667</v>
      </c>
      <c r="D1436">
        <v>122</v>
      </c>
      <c r="E1436" t="s">
        <v>11</v>
      </c>
      <c r="F1436">
        <v>41</v>
      </c>
      <c r="G1436" t="s">
        <v>12</v>
      </c>
      <c r="H1436">
        <v>2</v>
      </c>
      <c r="I1436">
        <v>50</v>
      </c>
      <c r="J1436">
        <v>49.5</v>
      </c>
      <c r="K1436">
        <v>100</v>
      </c>
    </row>
    <row r="1437" spans="1:11">
      <c r="A1437">
        <v>1616</v>
      </c>
      <c r="B1437" s="1">
        <v>44826</v>
      </c>
      <c r="C1437" s="2">
        <v>0.77847222222222223</v>
      </c>
      <c r="D1437">
        <v>121</v>
      </c>
      <c r="E1437" t="s">
        <v>11</v>
      </c>
      <c r="F1437">
        <v>41</v>
      </c>
      <c r="G1437" t="s">
        <v>12</v>
      </c>
      <c r="H1437">
        <v>2</v>
      </c>
      <c r="I1437">
        <v>50</v>
      </c>
      <c r="J1437">
        <v>59</v>
      </c>
      <c r="K1437">
        <v>100</v>
      </c>
    </row>
    <row r="1438" spans="1:11">
      <c r="A1438">
        <v>523</v>
      </c>
      <c r="B1438" s="1">
        <v>45243</v>
      </c>
      <c r="C1438" s="2">
        <v>0.8041666666666667</v>
      </c>
      <c r="D1438">
        <v>110</v>
      </c>
      <c r="E1438" t="s">
        <v>14</v>
      </c>
      <c r="F1438">
        <v>62</v>
      </c>
      <c r="G1438" t="s">
        <v>15</v>
      </c>
      <c r="H1438">
        <v>1</v>
      </c>
      <c r="I1438">
        <v>300</v>
      </c>
      <c r="J1438">
        <v>375</v>
      </c>
      <c r="K1438">
        <v>300</v>
      </c>
    </row>
    <row r="1439" spans="1:11">
      <c r="A1439">
        <v>643</v>
      </c>
      <c r="B1439" s="1">
        <v>44839</v>
      </c>
      <c r="C1439" s="2">
        <v>0.93472222222222223</v>
      </c>
      <c r="D1439">
        <v>63</v>
      </c>
      <c r="E1439" t="s">
        <v>14</v>
      </c>
      <c r="F1439">
        <v>28</v>
      </c>
      <c r="G1439" t="s">
        <v>15</v>
      </c>
      <c r="H1439">
        <v>3</v>
      </c>
      <c r="I1439">
        <v>30</v>
      </c>
      <c r="J1439">
        <v>28.8</v>
      </c>
      <c r="K1439">
        <v>90</v>
      </c>
    </row>
    <row r="1440" spans="1:11">
      <c r="A1440">
        <v>1523</v>
      </c>
      <c r="B1440" s="1">
        <v>45291</v>
      </c>
      <c r="C1440" s="2">
        <v>0.86111111111111116</v>
      </c>
      <c r="D1440">
        <v>150</v>
      </c>
      <c r="E1440" t="s">
        <v>14</v>
      </c>
      <c r="F1440">
        <v>62</v>
      </c>
      <c r="G1440" t="s">
        <v>15</v>
      </c>
      <c r="H1440">
        <v>1</v>
      </c>
      <c r="I1440">
        <v>300</v>
      </c>
      <c r="J1440">
        <v>330</v>
      </c>
      <c r="K1440">
        <v>300</v>
      </c>
    </row>
    <row r="1441" spans="1:11">
      <c r="A1441">
        <v>1643</v>
      </c>
      <c r="B1441" s="1">
        <v>45216</v>
      </c>
      <c r="C1441" s="2">
        <v>0.90763888888888888</v>
      </c>
      <c r="D1441">
        <v>12</v>
      </c>
      <c r="E1441" t="s">
        <v>14</v>
      </c>
      <c r="F1441">
        <v>28</v>
      </c>
      <c r="G1441" t="s">
        <v>15</v>
      </c>
      <c r="H1441">
        <v>3</v>
      </c>
      <c r="I1441">
        <v>30</v>
      </c>
      <c r="J1441">
        <v>33.299999999999997</v>
      </c>
      <c r="K1441">
        <v>90</v>
      </c>
    </row>
    <row r="1442" spans="1:11">
      <c r="A1442">
        <v>351</v>
      </c>
      <c r="B1442" s="1">
        <v>45241</v>
      </c>
      <c r="C1442" s="2">
        <v>0.92777777777777781</v>
      </c>
      <c r="D1442">
        <v>38</v>
      </c>
      <c r="E1442" t="s">
        <v>14</v>
      </c>
      <c r="F1442">
        <v>56</v>
      </c>
      <c r="G1442" t="s">
        <v>12</v>
      </c>
      <c r="H1442">
        <v>3</v>
      </c>
      <c r="I1442">
        <v>30</v>
      </c>
      <c r="J1442">
        <v>36.6</v>
      </c>
      <c r="K1442">
        <v>90</v>
      </c>
    </row>
    <row r="1443" spans="1:11">
      <c r="A1443">
        <v>809</v>
      </c>
      <c r="B1443" s="1">
        <v>44909</v>
      </c>
      <c r="C1443" s="2">
        <v>0.95208333333333328</v>
      </c>
      <c r="D1443">
        <v>124</v>
      </c>
      <c r="E1443" t="s">
        <v>14</v>
      </c>
      <c r="F1443">
        <v>62</v>
      </c>
      <c r="G1443" t="s">
        <v>13</v>
      </c>
      <c r="H1443">
        <v>2</v>
      </c>
      <c r="I1443">
        <v>50</v>
      </c>
      <c r="J1443">
        <v>50</v>
      </c>
      <c r="K1443">
        <v>100</v>
      </c>
    </row>
    <row r="1444" spans="1:11">
      <c r="A1444">
        <v>954</v>
      </c>
      <c r="B1444" s="1">
        <v>45174</v>
      </c>
      <c r="C1444" s="2">
        <v>0.87708333333333333</v>
      </c>
      <c r="D1444">
        <v>87</v>
      </c>
      <c r="E1444" t="s">
        <v>14</v>
      </c>
      <c r="F1444">
        <v>50</v>
      </c>
      <c r="G1444" t="s">
        <v>15</v>
      </c>
      <c r="H1444">
        <v>3</v>
      </c>
      <c r="I1444">
        <v>300</v>
      </c>
      <c r="J1444">
        <v>321</v>
      </c>
      <c r="K1444">
        <v>900</v>
      </c>
    </row>
    <row r="1445" spans="1:11">
      <c r="A1445">
        <v>1351</v>
      </c>
      <c r="B1445" s="1">
        <v>44836</v>
      </c>
      <c r="C1445" s="2">
        <v>0.87361111111111112</v>
      </c>
      <c r="D1445">
        <v>88</v>
      </c>
      <c r="E1445" t="s">
        <v>14</v>
      </c>
      <c r="F1445">
        <v>56</v>
      </c>
      <c r="G1445" t="s">
        <v>12</v>
      </c>
      <c r="H1445">
        <v>3</v>
      </c>
      <c r="I1445">
        <v>30</v>
      </c>
      <c r="J1445">
        <v>28.5</v>
      </c>
      <c r="K1445">
        <v>90</v>
      </c>
    </row>
    <row r="1446" spans="1:11">
      <c r="A1446">
        <v>1809</v>
      </c>
      <c r="B1446" s="1">
        <v>45215</v>
      </c>
      <c r="C1446" s="2">
        <v>0.75624999999999998</v>
      </c>
      <c r="D1446">
        <v>51</v>
      </c>
      <c r="E1446" t="s">
        <v>14</v>
      </c>
      <c r="F1446">
        <v>62</v>
      </c>
      <c r="G1446" t="s">
        <v>13</v>
      </c>
      <c r="H1446">
        <v>2</v>
      </c>
      <c r="I1446">
        <v>50</v>
      </c>
      <c r="J1446">
        <v>61.5</v>
      </c>
      <c r="K1446">
        <v>100</v>
      </c>
    </row>
    <row r="1447" spans="1:11">
      <c r="A1447">
        <v>1954</v>
      </c>
      <c r="B1447" s="1">
        <v>45228</v>
      </c>
      <c r="C1447" s="2">
        <v>0.72916666666666663</v>
      </c>
      <c r="D1447">
        <v>93</v>
      </c>
      <c r="E1447" t="s">
        <v>14</v>
      </c>
      <c r="F1447">
        <v>50</v>
      </c>
      <c r="G1447" t="s">
        <v>15</v>
      </c>
      <c r="H1447">
        <v>3</v>
      </c>
      <c r="I1447">
        <v>300</v>
      </c>
      <c r="J1447">
        <v>318</v>
      </c>
      <c r="K1447">
        <v>900</v>
      </c>
    </row>
    <row r="1448" spans="1:11">
      <c r="A1448">
        <v>897</v>
      </c>
      <c r="B1448" s="1">
        <v>45181</v>
      </c>
      <c r="C1448" s="2">
        <v>0.74513888888888891</v>
      </c>
      <c r="D1448">
        <v>15</v>
      </c>
      <c r="E1448" t="s">
        <v>14</v>
      </c>
      <c r="F1448">
        <v>64</v>
      </c>
      <c r="G1448" t="s">
        <v>15</v>
      </c>
      <c r="H1448">
        <v>2</v>
      </c>
      <c r="I1448">
        <v>50</v>
      </c>
      <c r="J1448">
        <v>51.5</v>
      </c>
      <c r="K1448">
        <v>100</v>
      </c>
    </row>
    <row r="1449" spans="1:11">
      <c r="A1449">
        <v>1897</v>
      </c>
      <c r="B1449" s="1">
        <v>45226</v>
      </c>
      <c r="C1449" s="2">
        <v>0.71666666666666667</v>
      </c>
      <c r="D1449">
        <v>137</v>
      </c>
      <c r="E1449" t="s">
        <v>14</v>
      </c>
      <c r="F1449">
        <v>64</v>
      </c>
      <c r="G1449" t="s">
        <v>15</v>
      </c>
      <c r="H1449">
        <v>2</v>
      </c>
      <c r="I1449">
        <v>50</v>
      </c>
      <c r="J1449">
        <v>62</v>
      </c>
      <c r="K1449">
        <v>100</v>
      </c>
    </row>
    <row r="1450" spans="1:11">
      <c r="A1450">
        <v>147</v>
      </c>
      <c r="B1450" s="1">
        <v>44877</v>
      </c>
      <c r="C1450" s="2">
        <v>0.85416666666666663</v>
      </c>
      <c r="D1450">
        <v>101</v>
      </c>
      <c r="E1450" t="s">
        <v>11</v>
      </c>
      <c r="F1450">
        <v>23</v>
      </c>
      <c r="G1450" t="s">
        <v>15</v>
      </c>
      <c r="H1450">
        <v>1</v>
      </c>
      <c r="I1450">
        <v>300</v>
      </c>
      <c r="J1450">
        <v>297</v>
      </c>
      <c r="K1450">
        <v>300</v>
      </c>
    </row>
    <row r="1451" spans="1:11">
      <c r="A1451">
        <v>204</v>
      </c>
      <c r="B1451" s="1">
        <v>44814</v>
      </c>
      <c r="C1451" s="2">
        <v>0.87777777777777777</v>
      </c>
      <c r="D1451">
        <v>101</v>
      </c>
      <c r="E1451" t="s">
        <v>11</v>
      </c>
      <c r="F1451">
        <v>39</v>
      </c>
      <c r="G1451" t="s">
        <v>13</v>
      </c>
      <c r="H1451">
        <v>1</v>
      </c>
      <c r="I1451">
        <v>25</v>
      </c>
      <c r="J1451">
        <v>31.25</v>
      </c>
      <c r="K1451">
        <v>25</v>
      </c>
    </row>
    <row r="1452" spans="1:11">
      <c r="A1452">
        <v>390</v>
      </c>
      <c r="B1452" s="1">
        <v>44841</v>
      </c>
      <c r="C1452" s="2">
        <v>0.87013888888888891</v>
      </c>
      <c r="D1452">
        <v>88</v>
      </c>
      <c r="E1452" t="s">
        <v>11</v>
      </c>
      <c r="F1452">
        <v>39</v>
      </c>
      <c r="G1452" t="s">
        <v>15</v>
      </c>
      <c r="H1452">
        <v>2</v>
      </c>
      <c r="I1452">
        <v>50</v>
      </c>
      <c r="J1452">
        <v>51</v>
      </c>
      <c r="K1452">
        <v>100</v>
      </c>
    </row>
    <row r="1453" spans="1:11">
      <c r="A1453">
        <v>1147</v>
      </c>
      <c r="B1453" s="1">
        <v>45255</v>
      </c>
      <c r="C1453" s="2">
        <v>0.92638888888888893</v>
      </c>
      <c r="D1453">
        <v>35</v>
      </c>
      <c r="E1453" t="s">
        <v>11</v>
      </c>
      <c r="F1453">
        <v>23</v>
      </c>
      <c r="G1453" t="s">
        <v>15</v>
      </c>
      <c r="H1453">
        <v>1</v>
      </c>
      <c r="I1453">
        <v>300</v>
      </c>
      <c r="J1453">
        <v>330</v>
      </c>
      <c r="K1453">
        <v>300</v>
      </c>
    </row>
    <row r="1454" spans="1:11">
      <c r="A1454">
        <v>1204</v>
      </c>
      <c r="B1454" s="1">
        <v>45270</v>
      </c>
      <c r="C1454" s="2">
        <v>0.80833333333333335</v>
      </c>
      <c r="D1454">
        <v>72</v>
      </c>
      <c r="E1454" t="s">
        <v>11</v>
      </c>
      <c r="F1454">
        <v>39</v>
      </c>
      <c r="G1454" t="s">
        <v>13</v>
      </c>
      <c r="H1454">
        <v>1</v>
      </c>
      <c r="I1454">
        <v>25</v>
      </c>
      <c r="J1454">
        <v>27.5</v>
      </c>
      <c r="K1454">
        <v>25</v>
      </c>
    </row>
    <row r="1455" spans="1:11">
      <c r="A1455">
        <v>1390</v>
      </c>
      <c r="B1455" s="1">
        <v>44858</v>
      </c>
      <c r="C1455" s="2">
        <v>0.94930555555555551</v>
      </c>
      <c r="D1455">
        <v>117</v>
      </c>
      <c r="E1455" t="s">
        <v>11</v>
      </c>
      <c r="F1455">
        <v>39</v>
      </c>
      <c r="G1455" t="s">
        <v>15</v>
      </c>
      <c r="H1455">
        <v>2</v>
      </c>
      <c r="I1455">
        <v>50</v>
      </c>
      <c r="J1455">
        <v>54</v>
      </c>
      <c r="K1455">
        <v>100</v>
      </c>
    </row>
    <row r="1456" spans="1:11">
      <c r="A1456">
        <v>179</v>
      </c>
      <c r="B1456" s="1">
        <v>45206</v>
      </c>
      <c r="C1456" s="2">
        <v>0.86250000000000004</v>
      </c>
      <c r="D1456">
        <v>121</v>
      </c>
      <c r="E1456" t="s">
        <v>11</v>
      </c>
      <c r="F1456">
        <v>31</v>
      </c>
      <c r="G1456" t="s">
        <v>15</v>
      </c>
      <c r="H1456">
        <v>1</v>
      </c>
      <c r="I1456">
        <v>300</v>
      </c>
      <c r="J1456">
        <v>375</v>
      </c>
      <c r="K1456">
        <v>300</v>
      </c>
    </row>
    <row r="1457" spans="1:11">
      <c r="A1457">
        <v>327</v>
      </c>
      <c r="B1457" s="1">
        <v>45182</v>
      </c>
      <c r="C1457" s="2">
        <v>0.77083333333333337</v>
      </c>
      <c r="D1457">
        <v>107</v>
      </c>
      <c r="E1457" t="s">
        <v>11</v>
      </c>
      <c r="F1457">
        <v>57</v>
      </c>
      <c r="G1457" t="s">
        <v>15</v>
      </c>
      <c r="H1457">
        <v>3</v>
      </c>
      <c r="I1457">
        <v>50</v>
      </c>
      <c r="J1457">
        <v>56</v>
      </c>
      <c r="K1457">
        <v>150</v>
      </c>
    </row>
    <row r="1458" spans="1:11">
      <c r="A1458">
        <v>626</v>
      </c>
      <c r="B1458" s="1">
        <v>44864</v>
      </c>
      <c r="C1458" s="2">
        <v>0.87569444444444444</v>
      </c>
      <c r="D1458">
        <v>65</v>
      </c>
      <c r="E1458" t="s">
        <v>14</v>
      </c>
      <c r="F1458">
        <v>26</v>
      </c>
      <c r="G1458" t="s">
        <v>12</v>
      </c>
      <c r="H1458">
        <v>4</v>
      </c>
      <c r="I1458">
        <v>500</v>
      </c>
      <c r="J1458">
        <v>555</v>
      </c>
      <c r="K1458">
        <v>2000</v>
      </c>
    </row>
    <row r="1459" spans="1:11">
      <c r="A1459">
        <v>873</v>
      </c>
      <c r="B1459" s="1">
        <v>45266</v>
      </c>
      <c r="C1459" s="2">
        <v>0.84722222222222221</v>
      </c>
      <c r="D1459">
        <v>137</v>
      </c>
      <c r="E1459" t="s">
        <v>14</v>
      </c>
      <c r="F1459">
        <v>27</v>
      </c>
      <c r="G1459" t="s">
        <v>15</v>
      </c>
      <c r="H1459">
        <v>4</v>
      </c>
      <c r="I1459">
        <v>25</v>
      </c>
      <c r="J1459">
        <v>29</v>
      </c>
      <c r="K1459">
        <v>100</v>
      </c>
    </row>
    <row r="1460" spans="1:11">
      <c r="A1460">
        <v>1179</v>
      </c>
      <c r="B1460" s="1">
        <v>45272</v>
      </c>
      <c r="C1460" s="2">
        <v>0.72777777777777775</v>
      </c>
      <c r="D1460">
        <v>122</v>
      </c>
      <c r="E1460" t="s">
        <v>11</v>
      </c>
      <c r="F1460">
        <v>31</v>
      </c>
      <c r="G1460" t="s">
        <v>15</v>
      </c>
      <c r="H1460">
        <v>1</v>
      </c>
      <c r="I1460">
        <v>300</v>
      </c>
      <c r="J1460">
        <v>354</v>
      </c>
      <c r="K1460">
        <v>300</v>
      </c>
    </row>
    <row r="1461" spans="1:11">
      <c r="A1461">
        <v>1327</v>
      </c>
      <c r="B1461" s="1">
        <v>45283</v>
      </c>
      <c r="C1461" s="2">
        <v>0.88611111111111107</v>
      </c>
      <c r="D1461">
        <v>118</v>
      </c>
      <c r="E1461" t="s">
        <v>11</v>
      </c>
      <c r="F1461">
        <v>57</v>
      </c>
      <c r="G1461" t="s">
        <v>15</v>
      </c>
      <c r="H1461">
        <v>3</v>
      </c>
      <c r="I1461">
        <v>50</v>
      </c>
      <c r="J1461">
        <v>58</v>
      </c>
      <c r="K1461">
        <v>150</v>
      </c>
    </row>
    <row r="1462" spans="1:11">
      <c r="A1462">
        <v>1626</v>
      </c>
      <c r="B1462" s="1">
        <v>44844</v>
      </c>
      <c r="C1462" s="2">
        <v>0.80069444444444449</v>
      </c>
      <c r="D1462">
        <v>19</v>
      </c>
      <c r="E1462" t="s">
        <v>14</v>
      </c>
      <c r="F1462">
        <v>26</v>
      </c>
      <c r="G1462" t="s">
        <v>12</v>
      </c>
      <c r="H1462">
        <v>4</v>
      </c>
      <c r="I1462">
        <v>500</v>
      </c>
      <c r="J1462">
        <v>495</v>
      </c>
      <c r="K1462">
        <v>2000</v>
      </c>
    </row>
    <row r="1463" spans="1:11">
      <c r="A1463">
        <v>1873</v>
      </c>
      <c r="B1463" s="1">
        <v>44889</v>
      </c>
      <c r="C1463" s="2">
        <v>0.8041666666666667</v>
      </c>
      <c r="D1463">
        <v>64</v>
      </c>
      <c r="E1463" t="s">
        <v>14</v>
      </c>
      <c r="F1463">
        <v>27</v>
      </c>
      <c r="G1463" t="s">
        <v>15</v>
      </c>
      <c r="H1463">
        <v>4</v>
      </c>
      <c r="I1463">
        <v>25</v>
      </c>
      <c r="J1463">
        <v>26.75</v>
      </c>
      <c r="K1463">
        <v>100</v>
      </c>
    </row>
    <row r="1464" spans="1:11">
      <c r="A1464">
        <v>196</v>
      </c>
      <c r="B1464" s="1">
        <v>45289</v>
      </c>
      <c r="C1464" s="2">
        <v>0.80138888888888893</v>
      </c>
      <c r="D1464">
        <v>43</v>
      </c>
      <c r="E1464" t="s">
        <v>14</v>
      </c>
      <c r="F1464">
        <v>32</v>
      </c>
      <c r="G1464" t="s">
        <v>12</v>
      </c>
      <c r="H1464">
        <v>3</v>
      </c>
      <c r="I1464">
        <v>300</v>
      </c>
      <c r="J1464">
        <v>312</v>
      </c>
      <c r="K1464">
        <v>900</v>
      </c>
    </row>
    <row r="1465" spans="1:11">
      <c r="A1465">
        <v>789</v>
      </c>
      <c r="B1465" s="1">
        <v>45266</v>
      </c>
      <c r="C1465" s="2">
        <v>0.92569444444444449</v>
      </c>
      <c r="D1465">
        <v>34</v>
      </c>
      <c r="E1465" t="s">
        <v>14</v>
      </c>
      <c r="F1465">
        <v>61</v>
      </c>
      <c r="G1465" t="s">
        <v>12</v>
      </c>
      <c r="H1465">
        <v>4</v>
      </c>
      <c r="I1465">
        <v>500</v>
      </c>
      <c r="J1465">
        <v>510</v>
      </c>
      <c r="K1465">
        <v>2000</v>
      </c>
    </row>
    <row r="1466" spans="1:11">
      <c r="A1466">
        <v>1196</v>
      </c>
      <c r="B1466" s="1">
        <v>44926</v>
      </c>
      <c r="C1466" s="2">
        <v>0.88749999999999996</v>
      </c>
      <c r="D1466">
        <v>93</v>
      </c>
      <c r="E1466" t="s">
        <v>14</v>
      </c>
      <c r="F1466">
        <v>32</v>
      </c>
      <c r="G1466" t="s">
        <v>12</v>
      </c>
      <c r="H1466">
        <v>3</v>
      </c>
      <c r="I1466">
        <v>300</v>
      </c>
      <c r="J1466">
        <v>306</v>
      </c>
      <c r="K1466">
        <v>900</v>
      </c>
    </row>
    <row r="1467" spans="1:11">
      <c r="A1467">
        <v>1789</v>
      </c>
      <c r="B1467" s="1">
        <v>45240</v>
      </c>
      <c r="C1467" s="2">
        <v>0.70972222222222225</v>
      </c>
      <c r="D1467">
        <v>144</v>
      </c>
      <c r="E1467" t="s">
        <v>14</v>
      </c>
      <c r="F1467">
        <v>61</v>
      </c>
      <c r="G1467" t="s">
        <v>12</v>
      </c>
      <c r="H1467">
        <v>4</v>
      </c>
      <c r="I1467">
        <v>500</v>
      </c>
      <c r="J1467">
        <v>615</v>
      </c>
      <c r="K1467">
        <v>2000</v>
      </c>
    </row>
    <row r="1468" spans="1:11">
      <c r="A1468">
        <v>89</v>
      </c>
      <c r="B1468" s="1">
        <v>45290</v>
      </c>
      <c r="C1468" s="2">
        <v>0.88541666666666663</v>
      </c>
      <c r="D1468">
        <v>117</v>
      </c>
      <c r="E1468" t="s">
        <v>14</v>
      </c>
      <c r="F1468">
        <v>55</v>
      </c>
      <c r="G1468" t="s">
        <v>15</v>
      </c>
      <c r="H1468">
        <v>4</v>
      </c>
      <c r="I1468">
        <v>500</v>
      </c>
      <c r="J1468">
        <v>590</v>
      </c>
      <c r="K1468">
        <v>2000</v>
      </c>
    </row>
    <row r="1469" spans="1:11">
      <c r="A1469">
        <v>707</v>
      </c>
      <c r="B1469" s="1">
        <v>45222</v>
      </c>
      <c r="C1469" s="2">
        <v>0.8569444444444444</v>
      </c>
      <c r="D1469">
        <v>117</v>
      </c>
      <c r="E1469" t="s">
        <v>14</v>
      </c>
      <c r="F1469">
        <v>26</v>
      </c>
      <c r="G1469" t="s">
        <v>12</v>
      </c>
      <c r="H1469">
        <v>1</v>
      </c>
      <c r="I1469">
        <v>500</v>
      </c>
      <c r="J1469">
        <v>580</v>
      </c>
      <c r="K1469">
        <v>500</v>
      </c>
    </row>
    <row r="1470" spans="1:11">
      <c r="A1470">
        <v>909</v>
      </c>
      <c r="B1470" s="1">
        <v>45228</v>
      </c>
      <c r="C1470" s="2">
        <v>0.82152777777777775</v>
      </c>
      <c r="D1470">
        <v>71</v>
      </c>
      <c r="E1470" t="s">
        <v>11</v>
      </c>
      <c r="F1470">
        <v>26</v>
      </c>
      <c r="G1470" t="s">
        <v>15</v>
      </c>
      <c r="H1470">
        <v>1</v>
      </c>
      <c r="I1470">
        <v>300</v>
      </c>
      <c r="J1470">
        <v>288</v>
      </c>
      <c r="K1470">
        <v>300</v>
      </c>
    </row>
    <row r="1471" spans="1:11">
      <c r="A1471">
        <v>1089</v>
      </c>
      <c r="B1471" s="1">
        <v>45220</v>
      </c>
      <c r="C1471" s="2">
        <v>0.78055555555555556</v>
      </c>
      <c r="D1471">
        <v>108</v>
      </c>
      <c r="E1471" t="s">
        <v>14</v>
      </c>
      <c r="F1471">
        <v>55</v>
      </c>
      <c r="G1471" t="s">
        <v>15</v>
      </c>
      <c r="H1471">
        <v>4</v>
      </c>
      <c r="I1471">
        <v>500</v>
      </c>
      <c r="J1471">
        <v>555</v>
      </c>
      <c r="K1471">
        <v>2000</v>
      </c>
    </row>
    <row r="1472" spans="1:11">
      <c r="A1472">
        <v>1707</v>
      </c>
      <c r="B1472" s="1">
        <v>45186</v>
      </c>
      <c r="C1472" s="2">
        <v>0.77430555555555558</v>
      </c>
      <c r="D1472">
        <v>144</v>
      </c>
      <c r="E1472" t="s">
        <v>14</v>
      </c>
      <c r="F1472">
        <v>26</v>
      </c>
      <c r="G1472" t="s">
        <v>12</v>
      </c>
      <c r="H1472">
        <v>1</v>
      </c>
      <c r="I1472">
        <v>500</v>
      </c>
      <c r="J1472">
        <v>535</v>
      </c>
      <c r="K1472">
        <v>500</v>
      </c>
    </row>
    <row r="1473" spans="1:11">
      <c r="A1473">
        <v>1909</v>
      </c>
      <c r="B1473" s="1">
        <v>44856</v>
      </c>
      <c r="C1473" s="2">
        <v>0.82013888888888886</v>
      </c>
      <c r="D1473">
        <v>17</v>
      </c>
      <c r="E1473" t="s">
        <v>11</v>
      </c>
      <c r="F1473">
        <v>26</v>
      </c>
      <c r="G1473" t="s">
        <v>15</v>
      </c>
      <c r="H1473">
        <v>1</v>
      </c>
      <c r="I1473">
        <v>300</v>
      </c>
      <c r="J1473">
        <v>339</v>
      </c>
      <c r="K1473">
        <v>300</v>
      </c>
    </row>
    <row r="1474" spans="1:11">
      <c r="A1474">
        <v>51</v>
      </c>
      <c r="B1474" s="1">
        <v>44846</v>
      </c>
      <c r="C1474" s="2">
        <v>0.92291666666666672</v>
      </c>
      <c r="D1474">
        <v>78</v>
      </c>
      <c r="E1474" t="s">
        <v>11</v>
      </c>
      <c r="F1474">
        <v>27</v>
      </c>
      <c r="G1474" t="s">
        <v>13</v>
      </c>
      <c r="H1474">
        <v>3</v>
      </c>
      <c r="I1474">
        <v>25</v>
      </c>
      <c r="J1474">
        <v>24.75</v>
      </c>
      <c r="K1474">
        <v>75</v>
      </c>
    </row>
    <row r="1475" spans="1:11">
      <c r="A1475">
        <v>154</v>
      </c>
      <c r="B1475" s="1">
        <v>44919</v>
      </c>
      <c r="C1475" s="2">
        <v>0.74097222222222225</v>
      </c>
      <c r="D1475">
        <v>24</v>
      </c>
      <c r="E1475" t="s">
        <v>11</v>
      </c>
      <c r="F1475">
        <v>51</v>
      </c>
      <c r="G1475" t="s">
        <v>15</v>
      </c>
      <c r="H1475">
        <v>3</v>
      </c>
      <c r="I1475">
        <v>300</v>
      </c>
      <c r="J1475">
        <v>321</v>
      </c>
      <c r="K1475">
        <v>900</v>
      </c>
    </row>
    <row r="1476" spans="1:11">
      <c r="A1476">
        <v>276</v>
      </c>
      <c r="B1476" s="1">
        <v>45217</v>
      </c>
      <c r="C1476" s="2">
        <v>0.89375000000000004</v>
      </c>
      <c r="D1476">
        <v>40</v>
      </c>
      <c r="E1476" t="s">
        <v>14</v>
      </c>
      <c r="F1476">
        <v>21</v>
      </c>
      <c r="G1476" t="s">
        <v>13</v>
      </c>
      <c r="H1476">
        <v>4</v>
      </c>
      <c r="I1476">
        <v>25</v>
      </c>
      <c r="J1476">
        <v>27.5</v>
      </c>
      <c r="K1476">
        <v>100</v>
      </c>
    </row>
    <row r="1477" spans="1:11">
      <c r="A1477">
        <v>497</v>
      </c>
      <c r="B1477" s="1">
        <v>45291</v>
      </c>
      <c r="C1477" s="2">
        <v>0.75763888888888886</v>
      </c>
      <c r="D1477">
        <v>127</v>
      </c>
      <c r="E1477" t="s">
        <v>11</v>
      </c>
      <c r="F1477">
        <v>41</v>
      </c>
      <c r="G1477" t="s">
        <v>12</v>
      </c>
      <c r="H1477">
        <v>4</v>
      </c>
      <c r="I1477">
        <v>30</v>
      </c>
      <c r="J1477">
        <v>37.200000000000003</v>
      </c>
      <c r="K1477">
        <v>120</v>
      </c>
    </row>
    <row r="1478" spans="1:11">
      <c r="A1478">
        <v>889</v>
      </c>
      <c r="B1478" s="1">
        <v>45189</v>
      </c>
      <c r="C1478" s="2">
        <v>0.93888888888888888</v>
      </c>
      <c r="D1478">
        <v>39</v>
      </c>
      <c r="E1478" t="s">
        <v>14</v>
      </c>
      <c r="F1478">
        <v>35</v>
      </c>
      <c r="G1478" t="s">
        <v>15</v>
      </c>
      <c r="H1478">
        <v>1</v>
      </c>
      <c r="I1478">
        <v>50</v>
      </c>
      <c r="J1478">
        <v>57.5</v>
      </c>
      <c r="K1478">
        <v>50</v>
      </c>
    </row>
    <row r="1479" spans="1:11">
      <c r="A1479">
        <v>1051</v>
      </c>
      <c r="B1479" s="1">
        <v>45182</v>
      </c>
      <c r="C1479" s="2">
        <v>0.74097222222222225</v>
      </c>
      <c r="D1479">
        <v>104</v>
      </c>
      <c r="E1479" t="s">
        <v>11</v>
      </c>
      <c r="F1479">
        <v>27</v>
      </c>
      <c r="G1479" t="s">
        <v>13</v>
      </c>
      <c r="H1479">
        <v>3</v>
      </c>
      <c r="I1479">
        <v>25</v>
      </c>
      <c r="J1479">
        <v>25</v>
      </c>
      <c r="K1479">
        <v>75</v>
      </c>
    </row>
    <row r="1480" spans="1:11">
      <c r="A1480">
        <v>1154</v>
      </c>
      <c r="B1480" s="1">
        <v>45276</v>
      </c>
      <c r="C1480" s="2">
        <v>0.90555555555555556</v>
      </c>
      <c r="D1480">
        <v>29</v>
      </c>
      <c r="E1480" t="s">
        <v>11</v>
      </c>
      <c r="F1480">
        <v>51</v>
      </c>
      <c r="G1480" t="s">
        <v>15</v>
      </c>
      <c r="H1480">
        <v>3</v>
      </c>
      <c r="I1480">
        <v>300</v>
      </c>
      <c r="J1480">
        <v>291</v>
      </c>
      <c r="K1480">
        <v>900</v>
      </c>
    </row>
    <row r="1481" spans="1:11">
      <c r="A1481">
        <v>1276</v>
      </c>
      <c r="B1481" s="1">
        <v>44845</v>
      </c>
      <c r="C1481" s="2">
        <v>0.78749999999999998</v>
      </c>
      <c r="D1481">
        <v>140</v>
      </c>
      <c r="E1481" t="s">
        <v>14</v>
      </c>
      <c r="F1481">
        <v>21</v>
      </c>
      <c r="G1481" t="s">
        <v>13</v>
      </c>
      <c r="H1481">
        <v>4</v>
      </c>
      <c r="I1481">
        <v>25</v>
      </c>
      <c r="J1481">
        <v>27</v>
      </c>
      <c r="K1481">
        <v>100</v>
      </c>
    </row>
    <row r="1482" spans="1:11">
      <c r="A1482">
        <v>1497</v>
      </c>
      <c r="B1482" s="1">
        <v>44884</v>
      </c>
      <c r="C1482" s="2">
        <v>0.90555555555555556</v>
      </c>
      <c r="D1482">
        <v>109</v>
      </c>
      <c r="E1482" t="s">
        <v>11</v>
      </c>
      <c r="F1482">
        <v>41</v>
      </c>
      <c r="G1482" t="s">
        <v>12</v>
      </c>
      <c r="H1482">
        <v>4</v>
      </c>
      <c r="I1482">
        <v>30</v>
      </c>
      <c r="J1482">
        <v>32.4</v>
      </c>
      <c r="K1482">
        <v>120</v>
      </c>
    </row>
    <row r="1483" spans="1:11">
      <c r="A1483">
        <v>1889</v>
      </c>
      <c r="B1483" s="1">
        <v>44806</v>
      </c>
      <c r="C1483" s="2">
        <v>0.95</v>
      </c>
      <c r="D1483">
        <v>80</v>
      </c>
      <c r="E1483" t="s">
        <v>14</v>
      </c>
      <c r="F1483">
        <v>35</v>
      </c>
      <c r="G1483" t="s">
        <v>15</v>
      </c>
      <c r="H1483">
        <v>1</v>
      </c>
      <c r="I1483">
        <v>50</v>
      </c>
      <c r="J1483">
        <v>56</v>
      </c>
      <c r="K1483">
        <v>50</v>
      </c>
    </row>
    <row r="1484" spans="1:11">
      <c r="A1484">
        <v>122</v>
      </c>
      <c r="B1484" s="1">
        <v>45261</v>
      </c>
      <c r="C1484" s="2">
        <v>0.79305555555555551</v>
      </c>
      <c r="D1484">
        <v>1</v>
      </c>
      <c r="E1484" t="s">
        <v>11</v>
      </c>
      <c r="F1484">
        <v>64</v>
      </c>
      <c r="G1484" t="s">
        <v>15</v>
      </c>
      <c r="H1484">
        <v>4</v>
      </c>
      <c r="I1484">
        <v>30</v>
      </c>
      <c r="J1484">
        <v>35.4</v>
      </c>
      <c r="K1484">
        <v>120</v>
      </c>
    </row>
    <row r="1485" spans="1:11">
      <c r="A1485">
        <v>373</v>
      </c>
      <c r="B1485" s="1">
        <v>44827</v>
      </c>
      <c r="C1485" s="2">
        <v>0.92986111111111114</v>
      </c>
      <c r="D1485">
        <v>78</v>
      </c>
      <c r="E1485" t="s">
        <v>14</v>
      </c>
      <c r="F1485">
        <v>25</v>
      </c>
      <c r="G1485" t="s">
        <v>13</v>
      </c>
      <c r="H1485">
        <v>2</v>
      </c>
      <c r="I1485">
        <v>300</v>
      </c>
      <c r="J1485">
        <v>333</v>
      </c>
      <c r="K1485">
        <v>600</v>
      </c>
    </row>
    <row r="1486" spans="1:11">
      <c r="A1486">
        <v>524</v>
      </c>
      <c r="B1486" s="1">
        <v>45186</v>
      </c>
      <c r="C1486" s="2">
        <v>0.82777777777777772</v>
      </c>
      <c r="D1486">
        <v>12</v>
      </c>
      <c r="E1486" t="s">
        <v>11</v>
      </c>
      <c r="F1486">
        <v>46</v>
      </c>
      <c r="G1486" t="s">
        <v>13</v>
      </c>
      <c r="H1486">
        <v>4</v>
      </c>
      <c r="I1486">
        <v>300</v>
      </c>
      <c r="J1486">
        <v>297</v>
      </c>
      <c r="K1486">
        <v>1200</v>
      </c>
    </row>
    <row r="1487" spans="1:11">
      <c r="A1487">
        <v>688</v>
      </c>
      <c r="B1487" s="1">
        <v>45227</v>
      </c>
      <c r="C1487" s="2">
        <v>0.90625</v>
      </c>
      <c r="D1487">
        <v>132</v>
      </c>
      <c r="E1487" t="s">
        <v>11</v>
      </c>
      <c r="F1487">
        <v>56</v>
      </c>
      <c r="G1487" t="s">
        <v>12</v>
      </c>
      <c r="H1487">
        <v>4</v>
      </c>
      <c r="I1487">
        <v>25</v>
      </c>
      <c r="J1487">
        <v>24.75</v>
      </c>
      <c r="K1487">
        <v>100</v>
      </c>
    </row>
    <row r="1488" spans="1:11">
      <c r="A1488">
        <v>813</v>
      </c>
      <c r="B1488" s="1">
        <v>44849</v>
      </c>
      <c r="C1488" s="2">
        <v>0.82708333333333328</v>
      </c>
      <c r="D1488">
        <v>125</v>
      </c>
      <c r="E1488" t="s">
        <v>11</v>
      </c>
      <c r="F1488">
        <v>52</v>
      </c>
      <c r="G1488" t="s">
        <v>15</v>
      </c>
      <c r="H1488">
        <v>3</v>
      </c>
      <c r="I1488">
        <v>50</v>
      </c>
      <c r="J1488">
        <v>62</v>
      </c>
      <c r="K1488">
        <v>150</v>
      </c>
    </row>
    <row r="1489" spans="1:11">
      <c r="A1489">
        <v>1122</v>
      </c>
      <c r="B1489" s="1">
        <v>44811</v>
      </c>
      <c r="C1489" s="2">
        <v>0.82847222222222228</v>
      </c>
      <c r="D1489">
        <v>138</v>
      </c>
      <c r="E1489" t="s">
        <v>11</v>
      </c>
      <c r="F1489">
        <v>64</v>
      </c>
      <c r="G1489" t="s">
        <v>15</v>
      </c>
      <c r="H1489">
        <v>4</v>
      </c>
      <c r="I1489">
        <v>30</v>
      </c>
      <c r="J1489">
        <v>31.8</v>
      </c>
      <c r="K1489">
        <v>120</v>
      </c>
    </row>
    <row r="1490" spans="1:11">
      <c r="A1490">
        <v>1373</v>
      </c>
      <c r="B1490" s="1">
        <v>45201</v>
      </c>
      <c r="C1490" s="2">
        <v>0.85138888888888886</v>
      </c>
      <c r="D1490">
        <v>64</v>
      </c>
      <c r="E1490" t="s">
        <v>14</v>
      </c>
      <c r="F1490">
        <v>25</v>
      </c>
      <c r="G1490" t="s">
        <v>13</v>
      </c>
      <c r="H1490">
        <v>2</v>
      </c>
      <c r="I1490">
        <v>300</v>
      </c>
      <c r="J1490">
        <v>294</v>
      </c>
      <c r="K1490">
        <v>600</v>
      </c>
    </row>
    <row r="1491" spans="1:11">
      <c r="A1491">
        <v>1524</v>
      </c>
      <c r="B1491" s="1">
        <v>44860</v>
      </c>
      <c r="C1491" s="2">
        <v>0.92361111111111116</v>
      </c>
      <c r="D1491">
        <v>115</v>
      </c>
      <c r="E1491" t="s">
        <v>11</v>
      </c>
      <c r="F1491">
        <v>46</v>
      </c>
      <c r="G1491" t="s">
        <v>13</v>
      </c>
      <c r="H1491">
        <v>4</v>
      </c>
      <c r="I1491">
        <v>300</v>
      </c>
      <c r="J1491">
        <v>321</v>
      </c>
      <c r="K1491">
        <v>1200</v>
      </c>
    </row>
    <row r="1492" spans="1:11">
      <c r="A1492">
        <v>1688</v>
      </c>
      <c r="B1492" s="1">
        <v>44912</v>
      </c>
      <c r="C1492" s="2">
        <v>0.72569444444444442</v>
      </c>
      <c r="D1492">
        <v>150</v>
      </c>
      <c r="E1492" t="s">
        <v>11</v>
      </c>
      <c r="F1492">
        <v>56</v>
      </c>
      <c r="G1492" t="s">
        <v>12</v>
      </c>
      <c r="H1492">
        <v>4</v>
      </c>
      <c r="I1492">
        <v>25</v>
      </c>
      <c r="J1492">
        <v>26.5</v>
      </c>
      <c r="K1492">
        <v>100</v>
      </c>
    </row>
    <row r="1493" spans="1:11">
      <c r="A1493">
        <v>1813</v>
      </c>
      <c r="B1493" s="1">
        <v>44887</v>
      </c>
      <c r="C1493" s="2">
        <v>0.93333333333333335</v>
      </c>
      <c r="D1493">
        <v>86</v>
      </c>
      <c r="E1493" t="s">
        <v>11</v>
      </c>
      <c r="F1493">
        <v>52</v>
      </c>
      <c r="G1493" t="s">
        <v>15</v>
      </c>
      <c r="H1493">
        <v>3</v>
      </c>
      <c r="I1493">
        <v>50</v>
      </c>
      <c r="J1493">
        <v>61.5</v>
      </c>
      <c r="K1493">
        <v>150</v>
      </c>
    </row>
    <row r="1494" spans="1:11">
      <c r="A1494">
        <v>178</v>
      </c>
      <c r="B1494" s="1">
        <v>45210</v>
      </c>
      <c r="C1494" s="2">
        <v>0.74375000000000002</v>
      </c>
      <c r="D1494">
        <v>142</v>
      </c>
      <c r="E1494" t="s">
        <v>11</v>
      </c>
      <c r="F1494">
        <v>40</v>
      </c>
      <c r="G1494" t="s">
        <v>12</v>
      </c>
      <c r="H1494">
        <v>2</v>
      </c>
      <c r="I1494">
        <v>30</v>
      </c>
      <c r="J1494">
        <v>34.200000000000003</v>
      </c>
      <c r="K1494">
        <v>60</v>
      </c>
    </row>
    <row r="1495" spans="1:11">
      <c r="A1495">
        <v>208</v>
      </c>
      <c r="B1495" s="1">
        <v>45220</v>
      </c>
      <c r="C1495" s="2">
        <v>0.87222222222222223</v>
      </c>
      <c r="D1495">
        <v>144</v>
      </c>
      <c r="E1495" t="s">
        <v>14</v>
      </c>
      <c r="F1495">
        <v>34</v>
      </c>
      <c r="G1495" t="s">
        <v>15</v>
      </c>
      <c r="H1495">
        <v>4</v>
      </c>
      <c r="I1495">
        <v>50</v>
      </c>
      <c r="J1495">
        <v>57</v>
      </c>
      <c r="K1495">
        <v>200</v>
      </c>
    </row>
    <row r="1496" spans="1:11">
      <c r="A1496">
        <v>247</v>
      </c>
      <c r="B1496" s="1">
        <v>44918</v>
      </c>
      <c r="C1496" s="2">
        <v>0.74722222222222223</v>
      </c>
      <c r="D1496">
        <v>82</v>
      </c>
      <c r="E1496" t="s">
        <v>11</v>
      </c>
      <c r="F1496">
        <v>41</v>
      </c>
      <c r="G1496" t="s">
        <v>15</v>
      </c>
      <c r="H1496">
        <v>2</v>
      </c>
      <c r="I1496">
        <v>30</v>
      </c>
      <c r="J1496">
        <v>31.5</v>
      </c>
      <c r="K1496">
        <v>60</v>
      </c>
    </row>
    <row r="1497" spans="1:11">
      <c r="A1497">
        <v>290</v>
      </c>
      <c r="B1497" s="1">
        <v>45268</v>
      </c>
      <c r="C1497" s="2">
        <v>0.90208333333333335</v>
      </c>
      <c r="D1497">
        <v>86</v>
      </c>
      <c r="E1497" t="s">
        <v>14</v>
      </c>
      <c r="F1497">
        <v>30</v>
      </c>
      <c r="G1497" t="s">
        <v>13</v>
      </c>
      <c r="H1497">
        <v>2</v>
      </c>
      <c r="I1497">
        <v>300</v>
      </c>
      <c r="J1497">
        <v>342</v>
      </c>
      <c r="K1497">
        <v>600</v>
      </c>
    </row>
    <row r="1498" spans="1:11">
      <c r="A1498">
        <v>656</v>
      </c>
      <c r="B1498" s="1">
        <v>45242</v>
      </c>
      <c r="C1498" s="2">
        <v>0.87361111111111112</v>
      </c>
      <c r="D1498">
        <v>27</v>
      </c>
      <c r="E1498" t="s">
        <v>11</v>
      </c>
      <c r="F1498">
        <v>29</v>
      </c>
      <c r="G1498" t="s">
        <v>13</v>
      </c>
      <c r="H1498">
        <v>3</v>
      </c>
      <c r="I1498">
        <v>30</v>
      </c>
      <c r="J1498">
        <v>29.4</v>
      </c>
      <c r="K1498">
        <v>90</v>
      </c>
    </row>
    <row r="1499" spans="1:11">
      <c r="A1499">
        <v>735</v>
      </c>
      <c r="B1499" s="1">
        <v>44891</v>
      </c>
      <c r="C1499" s="2">
        <v>0.90138888888888891</v>
      </c>
      <c r="D1499">
        <v>153</v>
      </c>
      <c r="E1499" t="s">
        <v>14</v>
      </c>
      <c r="F1499">
        <v>64</v>
      </c>
      <c r="G1499" t="s">
        <v>12</v>
      </c>
      <c r="H1499">
        <v>4</v>
      </c>
      <c r="I1499">
        <v>500</v>
      </c>
      <c r="J1499">
        <v>515</v>
      </c>
      <c r="K1499">
        <v>2000</v>
      </c>
    </row>
    <row r="1500" spans="1:11">
      <c r="A1500">
        <v>1178</v>
      </c>
      <c r="B1500" s="1">
        <v>45289</v>
      </c>
      <c r="C1500" s="2">
        <v>0.88541666666666663</v>
      </c>
      <c r="D1500">
        <v>137</v>
      </c>
      <c r="E1500" t="s">
        <v>11</v>
      </c>
      <c r="F1500">
        <v>40</v>
      </c>
      <c r="G1500" t="s">
        <v>12</v>
      </c>
      <c r="H1500">
        <v>2</v>
      </c>
      <c r="I1500">
        <v>30</v>
      </c>
      <c r="J1500">
        <v>33</v>
      </c>
      <c r="K1500">
        <v>60</v>
      </c>
    </row>
    <row r="1501" spans="1:11">
      <c r="A1501">
        <v>1208</v>
      </c>
      <c r="B1501" s="1">
        <v>44849</v>
      </c>
      <c r="C1501" s="2">
        <v>0.73888888888888893</v>
      </c>
      <c r="D1501">
        <v>9</v>
      </c>
      <c r="E1501" t="s">
        <v>14</v>
      </c>
      <c r="F1501">
        <v>34</v>
      </c>
      <c r="G1501" t="s">
        <v>15</v>
      </c>
      <c r="H1501">
        <v>4</v>
      </c>
      <c r="I1501">
        <v>50</v>
      </c>
      <c r="J1501">
        <v>47.5</v>
      </c>
      <c r="K1501">
        <v>200</v>
      </c>
    </row>
    <row r="1502" spans="1:11">
      <c r="A1502">
        <v>1247</v>
      </c>
      <c r="B1502" s="1">
        <v>45171</v>
      </c>
      <c r="C1502" s="2">
        <v>0.76180555555555551</v>
      </c>
      <c r="D1502">
        <v>78</v>
      </c>
      <c r="E1502" t="s">
        <v>11</v>
      </c>
      <c r="F1502">
        <v>41</v>
      </c>
      <c r="G1502" t="s">
        <v>15</v>
      </c>
      <c r="H1502">
        <v>2</v>
      </c>
      <c r="I1502">
        <v>30</v>
      </c>
      <c r="J1502">
        <v>35.700000000000003</v>
      </c>
      <c r="K1502">
        <v>60</v>
      </c>
    </row>
    <row r="1503" spans="1:11">
      <c r="A1503">
        <v>1290</v>
      </c>
      <c r="B1503" s="1">
        <v>44925</v>
      </c>
      <c r="C1503" s="2">
        <v>0.94444444444444442</v>
      </c>
      <c r="D1503">
        <v>66</v>
      </c>
      <c r="E1503" t="s">
        <v>14</v>
      </c>
      <c r="F1503">
        <v>30</v>
      </c>
      <c r="G1503" t="s">
        <v>13</v>
      </c>
      <c r="H1503">
        <v>2</v>
      </c>
      <c r="I1503">
        <v>300</v>
      </c>
      <c r="J1503">
        <v>318</v>
      </c>
      <c r="K1503">
        <v>600</v>
      </c>
    </row>
    <row r="1504" spans="1:11">
      <c r="A1504">
        <v>1656</v>
      </c>
      <c r="B1504" s="1">
        <v>45185</v>
      </c>
      <c r="C1504" s="2">
        <v>0.8354166666666667</v>
      </c>
      <c r="D1504">
        <v>141</v>
      </c>
      <c r="E1504" t="s">
        <v>11</v>
      </c>
      <c r="F1504">
        <v>29</v>
      </c>
      <c r="G1504" t="s">
        <v>13</v>
      </c>
      <c r="H1504">
        <v>3</v>
      </c>
      <c r="I1504">
        <v>30</v>
      </c>
      <c r="J1504">
        <v>35.4</v>
      </c>
      <c r="K1504">
        <v>90</v>
      </c>
    </row>
    <row r="1505" spans="1:11">
      <c r="A1505">
        <v>1735</v>
      </c>
      <c r="B1505" s="1">
        <v>45174</v>
      </c>
      <c r="C1505" s="2">
        <v>0.72638888888888886</v>
      </c>
      <c r="D1505">
        <v>86</v>
      </c>
      <c r="E1505" t="s">
        <v>14</v>
      </c>
      <c r="F1505">
        <v>64</v>
      </c>
      <c r="G1505" t="s">
        <v>12</v>
      </c>
      <c r="H1505">
        <v>4</v>
      </c>
      <c r="I1505">
        <v>500</v>
      </c>
      <c r="J1505">
        <v>505</v>
      </c>
      <c r="K1505">
        <v>2000</v>
      </c>
    </row>
    <row r="1506" spans="1:11">
      <c r="A1506">
        <v>319</v>
      </c>
      <c r="B1506" s="1">
        <v>44872</v>
      </c>
      <c r="C1506" s="2">
        <v>0.78472222222222221</v>
      </c>
      <c r="D1506">
        <v>145</v>
      </c>
      <c r="E1506" t="s">
        <v>11</v>
      </c>
      <c r="F1506">
        <v>31</v>
      </c>
      <c r="G1506" t="s">
        <v>12</v>
      </c>
      <c r="H1506">
        <v>1</v>
      </c>
      <c r="I1506">
        <v>500</v>
      </c>
      <c r="J1506">
        <v>500</v>
      </c>
      <c r="K1506">
        <v>500</v>
      </c>
    </row>
    <row r="1507" spans="1:11">
      <c r="A1507">
        <v>670</v>
      </c>
      <c r="B1507" s="1">
        <v>45198</v>
      </c>
      <c r="C1507" s="2">
        <v>0.72499999999999998</v>
      </c>
      <c r="D1507">
        <v>59</v>
      </c>
      <c r="E1507" t="s">
        <v>11</v>
      </c>
      <c r="F1507">
        <v>27</v>
      </c>
      <c r="G1507" t="s">
        <v>13</v>
      </c>
      <c r="H1507">
        <v>1</v>
      </c>
      <c r="I1507">
        <v>30</v>
      </c>
      <c r="J1507">
        <v>35.700000000000003</v>
      </c>
      <c r="K1507">
        <v>30</v>
      </c>
    </row>
    <row r="1508" spans="1:11">
      <c r="A1508">
        <v>1319</v>
      </c>
      <c r="B1508" s="1">
        <v>45255</v>
      </c>
      <c r="C1508" s="2">
        <v>0.72013888888888888</v>
      </c>
      <c r="D1508">
        <v>76</v>
      </c>
      <c r="E1508" t="s">
        <v>11</v>
      </c>
      <c r="F1508">
        <v>31</v>
      </c>
      <c r="G1508" t="s">
        <v>12</v>
      </c>
      <c r="H1508">
        <v>1</v>
      </c>
      <c r="I1508">
        <v>500</v>
      </c>
      <c r="J1508">
        <v>585</v>
      </c>
      <c r="K1508">
        <v>500</v>
      </c>
    </row>
    <row r="1509" spans="1:11">
      <c r="A1509">
        <v>1670</v>
      </c>
      <c r="B1509" s="1">
        <v>45223</v>
      </c>
      <c r="C1509" s="2">
        <v>0.89722222222222225</v>
      </c>
      <c r="D1509">
        <v>58</v>
      </c>
      <c r="E1509" t="s">
        <v>11</v>
      </c>
      <c r="F1509">
        <v>27</v>
      </c>
      <c r="G1509" t="s">
        <v>13</v>
      </c>
      <c r="H1509">
        <v>1</v>
      </c>
      <c r="I1509">
        <v>30</v>
      </c>
      <c r="J1509">
        <v>34.200000000000003</v>
      </c>
      <c r="K1509">
        <v>30</v>
      </c>
    </row>
    <row r="1510" spans="1:11">
      <c r="A1510">
        <v>385</v>
      </c>
      <c r="B1510" s="1">
        <v>44885</v>
      </c>
      <c r="C1510" s="2">
        <v>0.79583333333333328</v>
      </c>
      <c r="D1510">
        <v>127</v>
      </c>
      <c r="E1510" t="s">
        <v>11</v>
      </c>
      <c r="F1510">
        <v>50</v>
      </c>
      <c r="G1510" t="s">
        <v>15</v>
      </c>
      <c r="H1510">
        <v>3</v>
      </c>
      <c r="I1510">
        <v>500</v>
      </c>
      <c r="J1510">
        <v>525</v>
      </c>
      <c r="K1510">
        <v>1500</v>
      </c>
    </row>
    <row r="1511" spans="1:11">
      <c r="A1511">
        <v>1385</v>
      </c>
      <c r="B1511" s="1">
        <v>45237</v>
      </c>
      <c r="C1511" s="2">
        <v>0.80694444444444446</v>
      </c>
      <c r="D1511">
        <v>55</v>
      </c>
      <c r="E1511" t="s">
        <v>11</v>
      </c>
      <c r="F1511">
        <v>50</v>
      </c>
      <c r="G1511" t="s">
        <v>15</v>
      </c>
      <c r="H1511">
        <v>3</v>
      </c>
      <c r="I1511">
        <v>500</v>
      </c>
      <c r="J1511">
        <v>505</v>
      </c>
      <c r="K1511">
        <v>1500</v>
      </c>
    </row>
    <row r="1512" spans="1:11">
      <c r="A1512">
        <v>10</v>
      </c>
      <c r="B1512" s="1">
        <v>44858</v>
      </c>
      <c r="C1512" s="2">
        <v>0.95486111111111116</v>
      </c>
      <c r="D1512">
        <v>81</v>
      </c>
      <c r="E1512" t="s">
        <v>14</v>
      </c>
      <c r="F1512">
        <v>52</v>
      </c>
      <c r="G1512" t="s">
        <v>12</v>
      </c>
      <c r="H1512">
        <v>4</v>
      </c>
      <c r="I1512">
        <v>50</v>
      </c>
      <c r="J1512">
        <v>62.5</v>
      </c>
      <c r="K1512">
        <v>200</v>
      </c>
    </row>
    <row r="1513" spans="1:11">
      <c r="A1513">
        <v>26</v>
      </c>
      <c r="B1513" s="1">
        <v>45213</v>
      </c>
      <c r="C1513" s="2">
        <v>0.74583333333333335</v>
      </c>
      <c r="D1513">
        <v>51</v>
      </c>
      <c r="E1513" t="s">
        <v>14</v>
      </c>
      <c r="F1513">
        <v>28</v>
      </c>
      <c r="G1513" t="s">
        <v>15</v>
      </c>
      <c r="H1513">
        <v>2</v>
      </c>
      <c r="I1513">
        <v>500</v>
      </c>
      <c r="J1513">
        <v>600</v>
      </c>
      <c r="K1513">
        <v>1000</v>
      </c>
    </row>
    <row r="1514" spans="1:11">
      <c r="A1514">
        <v>437</v>
      </c>
      <c r="B1514" s="1">
        <v>45256</v>
      </c>
      <c r="C1514" s="2">
        <v>0.78680555555555554</v>
      </c>
      <c r="D1514">
        <v>56</v>
      </c>
      <c r="E1514" t="s">
        <v>14</v>
      </c>
      <c r="F1514">
        <v>35</v>
      </c>
      <c r="G1514" t="s">
        <v>15</v>
      </c>
      <c r="H1514">
        <v>4</v>
      </c>
      <c r="I1514">
        <v>300</v>
      </c>
      <c r="J1514">
        <v>345</v>
      </c>
      <c r="K1514">
        <v>1200</v>
      </c>
    </row>
    <row r="1515" spans="1:11">
      <c r="A1515">
        <v>689</v>
      </c>
      <c r="B1515" s="1">
        <v>44850</v>
      </c>
      <c r="C1515" s="2">
        <v>0.84513888888888888</v>
      </c>
      <c r="D1515">
        <v>55</v>
      </c>
      <c r="E1515" t="s">
        <v>11</v>
      </c>
      <c r="F1515">
        <v>57</v>
      </c>
      <c r="G1515" t="s">
        <v>15</v>
      </c>
      <c r="H1515">
        <v>2</v>
      </c>
      <c r="I1515">
        <v>50</v>
      </c>
      <c r="J1515">
        <v>52.5</v>
      </c>
      <c r="K1515">
        <v>100</v>
      </c>
    </row>
    <row r="1516" spans="1:11">
      <c r="A1516">
        <v>1010</v>
      </c>
      <c r="B1516" s="1">
        <v>44855</v>
      </c>
      <c r="C1516" s="2">
        <v>0.9243055555555556</v>
      </c>
      <c r="D1516">
        <v>65</v>
      </c>
      <c r="E1516" t="s">
        <v>14</v>
      </c>
      <c r="F1516">
        <v>52</v>
      </c>
      <c r="G1516" t="s">
        <v>12</v>
      </c>
      <c r="H1516">
        <v>4</v>
      </c>
      <c r="I1516">
        <v>50</v>
      </c>
      <c r="J1516">
        <v>54.5</v>
      </c>
      <c r="K1516">
        <v>200</v>
      </c>
    </row>
    <row r="1517" spans="1:11">
      <c r="A1517">
        <v>1026</v>
      </c>
      <c r="B1517" s="1">
        <v>44889</v>
      </c>
      <c r="C1517" s="2">
        <v>0.79861111111111116</v>
      </c>
      <c r="D1517">
        <v>60</v>
      </c>
      <c r="E1517" t="s">
        <v>14</v>
      </c>
      <c r="F1517">
        <v>28</v>
      </c>
      <c r="G1517" t="s">
        <v>15</v>
      </c>
      <c r="H1517">
        <v>2</v>
      </c>
      <c r="I1517">
        <v>500</v>
      </c>
      <c r="J1517">
        <v>520</v>
      </c>
      <c r="K1517">
        <v>1000</v>
      </c>
    </row>
    <row r="1518" spans="1:11">
      <c r="A1518">
        <v>1437</v>
      </c>
      <c r="B1518" s="1">
        <v>45173</v>
      </c>
      <c r="C1518" s="2">
        <v>0.80486111111111114</v>
      </c>
      <c r="D1518">
        <v>76</v>
      </c>
      <c r="E1518" t="s">
        <v>14</v>
      </c>
      <c r="F1518">
        <v>35</v>
      </c>
      <c r="G1518" t="s">
        <v>15</v>
      </c>
      <c r="H1518">
        <v>4</v>
      </c>
      <c r="I1518">
        <v>300</v>
      </c>
      <c r="J1518">
        <v>372</v>
      </c>
      <c r="K1518">
        <v>1200</v>
      </c>
    </row>
    <row r="1519" spans="1:11">
      <c r="A1519">
        <v>1689</v>
      </c>
      <c r="B1519" s="1">
        <v>45279</v>
      </c>
      <c r="C1519" s="2">
        <v>0.87083333333333335</v>
      </c>
      <c r="D1519">
        <v>114</v>
      </c>
      <c r="E1519" t="s">
        <v>11</v>
      </c>
      <c r="F1519">
        <v>57</v>
      </c>
      <c r="G1519" t="s">
        <v>15</v>
      </c>
      <c r="H1519">
        <v>2</v>
      </c>
      <c r="I1519">
        <v>50</v>
      </c>
      <c r="J1519">
        <v>47.5</v>
      </c>
      <c r="K1519">
        <v>100</v>
      </c>
    </row>
    <row r="1520" spans="1:11">
      <c r="A1520">
        <v>558</v>
      </c>
      <c r="B1520" s="1">
        <v>45225</v>
      </c>
      <c r="C1520" s="2">
        <v>0.74097222222222225</v>
      </c>
      <c r="D1520">
        <v>108</v>
      </c>
      <c r="E1520" t="s">
        <v>14</v>
      </c>
      <c r="F1520">
        <v>41</v>
      </c>
      <c r="G1520" t="s">
        <v>12</v>
      </c>
      <c r="H1520">
        <v>1</v>
      </c>
      <c r="I1520">
        <v>25</v>
      </c>
      <c r="J1520">
        <v>26</v>
      </c>
      <c r="K1520">
        <v>25</v>
      </c>
    </row>
    <row r="1521" spans="1:11">
      <c r="A1521">
        <v>634</v>
      </c>
      <c r="B1521" s="1">
        <v>44844</v>
      </c>
      <c r="C1521" s="2">
        <v>0.80902777777777779</v>
      </c>
      <c r="D1521">
        <v>68</v>
      </c>
      <c r="E1521" t="s">
        <v>11</v>
      </c>
      <c r="F1521">
        <v>60</v>
      </c>
      <c r="G1521" t="s">
        <v>15</v>
      </c>
      <c r="H1521">
        <v>4</v>
      </c>
      <c r="I1521">
        <v>500</v>
      </c>
      <c r="J1521">
        <v>535</v>
      </c>
      <c r="K1521">
        <v>2000</v>
      </c>
    </row>
    <row r="1522" spans="1:11">
      <c r="A1522">
        <v>1558</v>
      </c>
      <c r="B1522" s="1">
        <v>44917</v>
      </c>
      <c r="C1522" s="2">
        <v>0.85902777777777772</v>
      </c>
      <c r="D1522">
        <v>91</v>
      </c>
      <c r="E1522" t="s">
        <v>14</v>
      </c>
      <c r="F1522">
        <v>41</v>
      </c>
      <c r="G1522" t="s">
        <v>12</v>
      </c>
      <c r="H1522">
        <v>1</v>
      </c>
      <c r="I1522">
        <v>25</v>
      </c>
      <c r="J1522">
        <v>27.75</v>
      </c>
      <c r="K1522">
        <v>25</v>
      </c>
    </row>
    <row r="1523" spans="1:11">
      <c r="A1523">
        <v>1634</v>
      </c>
      <c r="B1523" s="1">
        <v>45233</v>
      </c>
      <c r="C1523" s="2">
        <v>0.72083333333333333</v>
      </c>
      <c r="D1523">
        <v>90</v>
      </c>
      <c r="E1523" t="s">
        <v>11</v>
      </c>
      <c r="F1523">
        <v>60</v>
      </c>
      <c r="G1523" t="s">
        <v>15</v>
      </c>
      <c r="H1523">
        <v>4</v>
      </c>
      <c r="I1523">
        <v>500</v>
      </c>
      <c r="J1523">
        <v>520</v>
      </c>
      <c r="K1523">
        <v>2000</v>
      </c>
    </row>
    <row r="1524" spans="1:11">
      <c r="A1524">
        <v>201</v>
      </c>
      <c r="B1524" s="1">
        <v>44847</v>
      </c>
      <c r="C1524" s="2">
        <v>0.79722222222222228</v>
      </c>
      <c r="D1524">
        <v>105</v>
      </c>
      <c r="E1524" t="s">
        <v>11</v>
      </c>
      <c r="F1524">
        <v>56</v>
      </c>
      <c r="G1524" t="s">
        <v>15</v>
      </c>
      <c r="H1524">
        <v>1</v>
      </c>
      <c r="I1524">
        <v>25</v>
      </c>
      <c r="J1524">
        <v>29.75</v>
      </c>
      <c r="K1524">
        <v>25</v>
      </c>
    </row>
    <row r="1525" spans="1:11">
      <c r="A1525">
        <v>286</v>
      </c>
      <c r="B1525" s="1">
        <v>44839</v>
      </c>
      <c r="C1525" s="2">
        <v>0.9555555555555556</v>
      </c>
      <c r="D1525">
        <v>92</v>
      </c>
      <c r="E1525" t="s">
        <v>11</v>
      </c>
      <c r="F1525">
        <v>55</v>
      </c>
      <c r="G1525" t="s">
        <v>15</v>
      </c>
      <c r="H1525">
        <v>2</v>
      </c>
      <c r="I1525">
        <v>25</v>
      </c>
      <c r="J1525">
        <v>27.75</v>
      </c>
      <c r="K1525">
        <v>50</v>
      </c>
    </row>
    <row r="1526" spans="1:11">
      <c r="A1526">
        <v>876</v>
      </c>
      <c r="B1526" s="1">
        <v>45202</v>
      </c>
      <c r="C1526" s="2">
        <v>0.81874999999999998</v>
      </c>
      <c r="D1526">
        <v>104</v>
      </c>
      <c r="E1526" t="s">
        <v>11</v>
      </c>
      <c r="F1526">
        <v>43</v>
      </c>
      <c r="G1526" t="s">
        <v>12</v>
      </c>
      <c r="H1526">
        <v>4</v>
      </c>
      <c r="I1526">
        <v>30</v>
      </c>
      <c r="J1526">
        <v>30</v>
      </c>
      <c r="K1526">
        <v>120</v>
      </c>
    </row>
    <row r="1527" spans="1:11">
      <c r="A1527">
        <v>1201</v>
      </c>
      <c r="B1527" s="1">
        <v>45230</v>
      </c>
      <c r="C1527" s="2">
        <v>0.72777777777777775</v>
      </c>
      <c r="D1527">
        <v>115</v>
      </c>
      <c r="E1527" t="s">
        <v>11</v>
      </c>
      <c r="F1527">
        <v>56</v>
      </c>
      <c r="G1527" t="s">
        <v>15</v>
      </c>
      <c r="H1527">
        <v>1</v>
      </c>
      <c r="I1527">
        <v>25</v>
      </c>
      <c r="J1527">
        <v>27.75</v>
      </c>
      <c r="K1527">
        <v>25</v>
      </c>
    </row>
    <row r="1528" spans="1:11">
      <c r="A1528">
        <v>1286</v>
      </c>
      <c r="B1528" s="1">
        <v>44921</v>
      </c>
      <c r="C1528" s="2">
        <v>0.72430555555555554</v>
      </c>
      <c r="D1528">
        <v>111</v>
      </c>
      <c r="E1528" t="s">
        <v>11</v>
      </c>
      <c r="F1528">
        <v>55</v>
      </c>
      <c r="G1528" t="s">
        <v>15</v>
      </c>
      <c r="H1528">
        <v>2</v>
      </c>
      <c r="I1528">
        <v>25</v>
      </c>
      <c r="J1528">
        <v>28.5</v>
      </c>
      <c r="K1528">
        <v>50</v>
      </c>
    </row>
    <row r="1529" spans="1:11">
      <c r="A1529">
        <v>1876</v>
      </c>
      <c r="B1529" s="1">
        <v>45235</v>
      </c>
      <c r="C1529" s="2">
        <v>0.82847222222222228</v>
      </c>
      <c r="D1529">
        <v>68</v>
      </c>
      <c r="E1529" t="s">
        <v>11</v>
      </c>
      <c r="F1529">
        <v>43</v>
      </c>
      <c r="G1529" t="s">
        <v>12</v>
      </c>
      <c r="H1529">
        <v>4</v>
      </c>
      <c r="I1529">
        <v>30</v>
      </c>
      <c r="J1529">
        <v>32.1</v>
      </c>
      <c r="K1529">
        <v>120</v>
      </c>
    </row>
    <row r="1530" spans="1:11">
      <c r="A1530">
        <v>55</v>
      </c>
      <c r="B1530" s="1">
        <v>45197</v>
      </c>
      <c r="C1530" s="2">
        <v>0.85555555555555551</v>
      </c>
      <c r="D1530">
        <v>57</v>
      </c>
      <c r="E1530" t="s">
        <v>11</v>
      </c>
      <c r="F1530">
        <v>31</v>
      </c>
      <c r="G1530" t="s">
        <v>13</v>
      </c>
      <c r="H1530">
        <v>4</v>
      </c>
      <c r="I1530">
        <v>30</v>
      </c>
      <c r="J1530">
        <v>31.8</v>
      </c>
      <c r="K1530">
        <v>120</v>
      </c>
    </row>
    <row r="1531" spans="1:11">
      <c r="A1531">
        <v>428</v>
      </c>
      <c r="B1531" s="1">
        <v>44897</v>
      </c>
      <c r="C1531" s="2">
        <v>0.94722222222222219</v>
      </c>
      <c r="D1531">
        <v>50</v>
      </c>
      <c r="E1531" t="s">
        <v>14</v>
      </c>
      <c r="F1531">
        <v>40</v>
      </c>
      <c r="G1531" t="s">
        <v>15</v>
      </c>
      <c r="H1531">
        <v>4</v>
      </c>
      <c r="I1531">
        <v>50</v>
      </c>
      <c r="J1531">
        <v>49.5</v>
      </c>
      <c r="K1531">
        <v>200</v>
      </c>
    </row>
    <row r="1532" spans="1:11">
      <c r="A1532">
        <v>441</v>
      </c>
      <c r="B1532" s="1">
        <v>45236</v>
      </c>
      <c r="C1532" s="2">
        <v>0.91666666666666663</v>
      </c>
      <c r="D1532">
        <v>85</v>
      </c>
      <c r="E1532" t="s">
        <v>11</v>
      </c>
      <c r="F1532">
        <v>57</v>
      </c>
      <c r="G1532" t="s">
        <v>13</v>
      </c>
      <c r="H1532">
        <v>4</v>
      </c>
      <c r="I1532">
        <v>300</v>
      </c>
      <c r="J1532">
        <v>351</v>
      </c>
      <c r="K1532">
        <v>1200</v>
      </c>
    </row>
    <row r="1533" spans="1:11">
      <c r="A1533">
        <v>976</v>
      </c>
      <c r="B1533" s="1">
        <v>45207</v>
      </c>
      <c r="C1533" s="2">
        <v>0.82638888888888884</v>
      </c>
      <c r="D1533">
        <v>56</v>
      </c>
      <c r="E1533" t="s">
        <v>14</v>
      </c>
      <c r="F1533">
        <v>48</v>
      </c>
      <c r="G1533" t="s">
        <v>13</v>
      </c>
      <c r="H1533">
        <v>2</v>
      </c>
      <c r="I1533">
        <v>300</v>
      </c>
      <c r="J1533">
        <v>345</v>
      </c>
      <c r="K1533">
        <v>600</v>
      </c>
    </row>
    <row r="1534" spans="1:11">
      <c r="A1534">
        <v>1055</v>
      </c>
      <c r="B1534" s="1">
        <v>44857</v>
      </c>
      <c r="C1534" s="2">
        <v>0.89930555555555558</v>
      </c>
      <c r="D1534">
        <v>97</v>
      </c>
      <c r="E1534" t="s">
        <v>11</v>
      </c>
      <c r="F1534">
        <v>31</v>
      </c>
      <c r="G1534" t="s">
        <v>13</v>
      </c>
      <c r="H1534">
        <v>4</v>
      </c>
      <c r="I1534">
        <v>30</v>
      </c>
      <c r="J1534">
        <v>37.5</v>
      </c>
      <c r="K1534">
        <v>120</v>
      </c>
    </row>
    <row r="1535" spans="1:11">
      <c r="A1535">
        <v>1428</v>
      </c>
      <c r="B1535" s="1">
        <v>45178</v>
      </c>
      <c r="C1535" s="2">
        <v>0.78055555555555556</v>
      </c>
      <c r="D1535">
        <v>96</v>
      </c>
      <c r="E1535" t="s">
        <v>14</v>
      </c>
      <c r="F1535">
        <v>40</v>
      </c>
      <c r="G1535" t="s">
        <v>15</v>
      </c>
      <c r="H1535">
        <v>4</v>
      </c>
      <c r="I1535">
        <v>50</v>
      </c>
      <c r="J1535">
        <v>57</v>
      </c>
      <c r="K1535">
        <v>200</v>
      </c>
    </row>
    <row r="1536" spans="1:11">
      <c r="A1536">
        <v>1441</v>
      </c>
      <c r="B1536" s="1">
        <v>45203</v>
      </c>
      <c r="C1536" s="2">
        <v>0.90138888888888891</v>
      </c>
      <c r="D1536">
        <v>63</v>
      </c>
      <c r="E1536" t="s">
        <v>11</v>
      </c>
      <c r="F1536">
        <v>57</v>
      </c>
      <c r="G1536" t="s">
        <v>13</v>
      </c>
      <c r="H1536">
        <v>4</v>
      </c>
      <c r="I1536">
        <v>300</v>
      </c>
      <c r="J1536">
        <v>354</v>
      </c>
      <c r="K1536">
        <v>1200</v>
      </c>
    </row>
    <row r="1537" spans="1:11">
      <c r="A1537">
        <v>1976</v>
      </c>
      <c r="B1537" s="1">
        <v>45214</v>
      </c>
      <c r="C1537" s="2">
        <v>0.88194444444444442</v>
      </c>
      <c r="D1537">
        <v>108</v>
      </c>
      <c r="E1537" t="s">
        <v>14</v>
      </c>
      <c r="F1537">
        <v>48</v>
      </c>
      <c r="G1537" t="s">
        <v>13</v>
      </c>
      <c r="H1537">
        <v>2</v>
      </c>
      <c r="I1537">
        <v>300</v>
      </c>
      <c r="J1537">
        <v>360</v>
      </c>
      <c r="K1537">
        <v>600</v>
      </c>
    </row>
    <row r="1538" spans="1:11">
      <c r="A1538">
        <v>149</v>
      </c>
      <c r="B1538" s="1">
        <v>45213</v>
      </c>
      <c r="C1538" s="2">
        <v>0.74444444444444446</v>
      </c>
      <c r="D1538">
        <v>73</v>
      </c>
      <c r="E1538" t="s">
        <v>11</v>
      </c>
      <c r="F1538">
        <v>22</v>
      </c>
      <c r="G1538" t="s">
        <v>12</v>
      </c>
      <c r="H1538">
        <v>3</v>
      </c>
      <c r="I1538">
        <v>25</v>
      </c>
      <c r="J1538">
        <v>27</v>
      </c>
      <c r="K1538">
        <v>75</v>
      </c>
    </row>
    <row r="1539" spans="1:11">
      <c r="A1539">
        <v>227</v>
      </c>
      <c r="B1539" s="1">
        <v>45245</v>
      </c>
      <c r="C1539" s="2">
        <v>0.80486111111111114</v>
      </c>
      <c r="D1539">
        <v>87</v>
      </c>
      <c r="E1539" t="s">
        <v>11</v>
      </c>
      <c r="F1539">
        <v>36</v>
      </c>
      <c r="G1539" t="s">
        <v>15</v>
      </c>
      <c r="H1539">
        <v>2</v>
      </c>
      <c r="I1539">
        <v>50</v>
      </c>
      <c r="J1539">
        <v>50.5</v>
      </c>
      <c r="K1539">
        <v>100</v>
      </c>
    </row>
    <row r="1540" spans="1:11">
      <c r="A1540">
        <v>393</v>
      </c>
      <c r="B1540" s="1">
        <v>44853</v>
      </c>
      <c r="C1540" s="2">
        <v>0.78611111111111109</v>
      </c>
      <c r="D1540">
        <v>85</v>
      </c>
      <c r="E1540" t="s">
        <v>14</v>
      </c>
      <c r="F1540">
        <v>22</v>
      </c>
      <c r="G1540" t="s">
        <v>13</v>
      </c>
      <c r="H1540">
        <v>2</v>
      </c>
      <c r="I1540">
        <v>500</v>
      </c>
      <c r="J1540">
        <v>595</v>
      </c>
      <c r="K1540">
        <v>1000</v>
      </c>
    </row>
    <row r="1541" spans="1:11">
      <c r="A1541">
        <v>401</v>
      </c>
      <c r="B1541" s="1">
        <v>45263</v>
      </c>
      <c r="C1541" s="2">
        <v>0.79374999999999996</v>
      </c>
      <c r="D1541">
        <v>51</v>
      </c>
      <c r="E1541" t="s">
        <v>14</v>
      </c>
      <c r="F1541">
        <v>62</v>
      </c>
      <c r="G1541" t="s">
        <v>12</v>
      </c>
      <c r="H1541">
        <v>1</v>
      </c>
      <c r="I1541">
        <v>300</v>
      </c>
      <c r="J1541">
        <v>372</v>
      </c>
      <c r="K1541">
        <v>300</v>
      </c>
    </row>
    <row r="1542" spans="1:11">
      <c r="A1542">
        <v>546</v>
      </c>
      <c r="B1542" s="1">
        <v>44925</v>
      </c>
      <c r="C1542" s="2">
        <v>0.93888888888888888</v>
      </c>
      <c r="D1542">
        <v>57</v>
      </c>
      <c r="E1542" t="s">
        <v>14</v>
      </c>
      <c r="F1542">
        <v>36</v>
      </c>
      <c r="G1542" t="s">
        <v>15</v>
      </c>
      <c r="H1542">
        <v>4</v>
      </c>
      <c r="I1542">
        <v>50</v>
      </c>
      <c r="J1542">
        <v>53.5</v>
      </c>
      <c r="K1542">
        <v>200</v>
      </c>
    </row>
    <row r="1543" spans="1:11">
      <c r="A1543">
        <v>872</v>
      </c>
      <c r="B1543" s="1">
        <v>45270</v>
      </c>
      <c r="C1543" s="2">
        <v>0.9291666666666667</v>
      </c>
      <c r="D1543">
        <v>113</v>
      </c>
      <c r="E1543" t="s">
        <v>14</v>
      </c>
      <c r="F1543">
        <v>63</v>
      </c>
      <c r="G1543" t="s">
        <v>13</v>
      </c>
      <c r="H1543">
        <v>3</v>
      </c>
      <c r="I1543">
        <v>25</v>
      </c>
      <c r="J1543">
        <v>24.75</v>
      </c>
      <c r="K1543">
        <v>75</v>
      </c>
    </row>
    <row r="1544" spans="1:11">
      <c r="A1544">
        <v>914</v>
      </c>
      <c r="B1544" s="1">
        <v>44811</v>
      </c>
      <c r="C1544" s="2">
        <v>0.93402777777777779</v>
      </c>
      <c r="D1544">
        <v>83</v>
      </c>
      <c r="E1544" t="s">
        <v>14</v>
      </c>
      <c r="F1544">
        <v>59</v>
      </c>
      <c r="G1544" t="s">
        <v>15</v>
      </c>
      <c r="H1544">
        <v>1</v>
      </c>
      <c r="I1544">
        <v>500</v>
      </c>
      <c r="J1544">
        <v>510</v>
      </c>
      <c r="K1544">
        <v>500</v>
      </c>
    </row>
    <row r="1545" spans="1:11">
      <c r="A1545">
        <v>1149</v>
      </c>
      <c r="B1545" s="1">
        <v>45183</v>
      </c>
      <c r="C1545" s="2">
        <v>0.80763888888888891</v>
      </c>
      <c r="D1545">
        <v>98</v>
      </c>
      <c r="E1545" t="s">
        <v>11</v>
      </c>
      <c r="F1545">
        <v>22</v>
      </c>
      <c r="G1545" t="s">
        <v>12</v>
      </c>
      <c r="H1545">
        <v>3</v>
      </c>
      <c r="I1545">
        <v>25</v>
      </c>
      <c r="J1545">
        <v>29.75</v>
      </c>
      <c r="K1545">
        <v>75</v>
      </c>
    </row>
    <row r="1546" spans="1:11">
      <c r="A1546">
        <v>1227</v>
      </c>
      <c r="B1546" s="1">
        <v>45200</v>
      </c>
      <c r="C1546" s="2">
        <v>0.83958333333333335</v>
      </c>
      <c r="D1546">
        <v>103</v>
      </c>
      <c r="E1546" t="s">
        <v>11</v>
      </c>
      <c r="F1546">
        <v>36</v>
      </c>
      <c r="G1546" t="s">
        <v>15</v>
      </c>
      <c r="H1546">
        <v>2</v>
      </c>
      <c r="I1546">
        <v>50</v>
      </c>
      <c r="J1546">
        <v>47.5</v>
      </c>
      <c r="K1546">
        <v>100</v>
      </c>
    </row>
    <row r="1547" spans="1:11">
      <c r="A1547">
        <v>1393</v>
      </c>
      <c r="B1547" s="1">
        <v>44842</v>
      </c>
      <c r="C1547" s="2">
        <v>0.72499999999999998</v>
      </c>
      <c r="D1547">
        <v>56</v>
      </c>
      <c r="E1547" t="s">
        <v>14</v>
      </c>
      <c r="F1547">
        <v>22</v>
      </c>
      <c r="G1547" t="s">
        <v>13</v>
      </c>
      <c r="H1547">
        <v>2</v>
      </c>
      <c r="I1547">
        <v>500</v>
      </c>
      <c r="J1547">
        <v>580</v>
      </c>
      <c r="K1547">
        <v>1000</v>
      </c>
    </row>
    <row r="1548" spans="1:11">
      <c r="A1548">
        <v>1401</v>
      </c>
      <c r="B1548" s="1">
        <v>44835</v>
      </c>
      <c r="C1548" s="2">
        <v>0.88888888888888884</v>
      </c>
      <c r="D1548">
        <v>85</v>
      </c>
      <c r="E1548" t="s">
        <v>14</v>
      </c>
      <c r="F1548">
        <v>62</v>
      </c>
      <c r="G1548" t="s">
        <v>12</v>
      </c>
      <c r="H1548">
        <v>1</v>
      </c>
      <c r="I1548">
        <v>300</v>
      </c>
      <c r="J1548">
        <v>294</v>
      </c>
      <c r="K1548">
        <v>300</v>
      </c>
    </row>
    <row r="1549" spans="1:11">
      <c r="A1549">
        <v>1546</v>
      </c>
      <c r="B1549" s="1">
        <v>44913</v>
      </c>
      <c r="C1549" s="2">
        <v>0.79583333333333328</v>
      </c>
      <c r="D1549">
        <v>93</v>
      </c>
      <c r="E1549" t="s">
        <v>14</v>
      </c>
      <c r="F1549">
        <v>36</v>
      </c>
      <c r="G1549" t="s">
        <v>15</v>
      </c>
      <c r="H1549">
        <v>4</v>
      </c>
      <c r="I1549">
        <v>50</v>
      </c>
      <c r="J1549">
        <v>48</v>
      </c>
      <c r="K1549">
        <v>200</v>
      </c>
    </row>
    <row r="1550" spans="1:11">
      <c r="A1550">
        <v>1872</v>
      </c>
      <c r="B1550" s="1">
        <v>44887</v>
      </c>
      <c r="C1550" s="2">
        <v>0.70972222222222225</v>
      </c>
      <c r="D1550">
        <v>57</v>
      </c>
      <c r="E1550" t="s">
        <v>14</v>
      </c>
      <c r="F1550">
        <v>63</v>
      </c>
      <c r="G1550" t="s">
        <v>13</v>
      </c>
      <c r="H1550">
        <v>3</v>
      </c>
      <c r="I1550">
        <v>25</v>
      </c>
      <c r="J1550">
        <v>26.25</v>
      </c>
      <c r="K1550">
        <v>75</v>
      </c>
    </row>
    <row r="1551" spans="1:11">
      <c r="A1551">
        <v>1914</v>
      </c>
      <c r="B1551" s="1">
        <v>45235</v>
      </c>
      <c r="C1551" s="2">
        <v>0.74236111111111114</v>
      </c>
      <c r="D1551">
        <v>70</v>
      </c>
      <c r="E1551" t="s">
        <v>14</v>
      </c>
      <c r="F1551">
        <v>59</v>
      </c>
      <c r="G1551" t="s">
        <v>15</v>
      </c>
      <c r="H1551">
        <v>1</v>
      </c>
      <c r="I1551">
        <v>500</v>
      </c>
      <c r="J1551">
        <v>510</v>
      </c>
      <c r="K1551">
        <v>500</v>
      </c>
    </row>
    <row r="1552" spans="1:11">
      <c r="A1552">
        <v>310</v>
      </c>
      <c r="B1552" s="1">
        <v>44875</v>
      </c>
      <c r="C1552" s="2">
        <v>0.89861111111111114</v>
      </c>
      <c r="D1552">
        <v>76</v>
      </c>
      <c r="E1552" t="s">
        <v>14</v>
      </c>
      <c r="F1552">
        <v>28</v>
      </c>
      <c r="G1552" t="s">
        <v>13</v>
      </c>
      <c r="H1552">
        <v>1</v>
      </c>
      <c r="I1552">
        <v>25</v>
      </c>
      <c r="J1552">
        <v>31</v>
      </c>
      <c r="K1552">
        <v>25</v>
      </c>
    </row>
    <row r="1553" spans="1:11">
      <c r="A1553">
        <v>844</v>
      </c>
      <c r="B1553" s="1">
        <v>45208</v>
      </c>
      <c r="C1553" s="2">
        <v>0.74583333333333335</v>
      </c>
      <c r="D1553">
        <v>95</v>
      </c>
      <c r="E1553" t="s">
        <v>11</v>
      </c>
      <c r="F1553">
        <v>35</v>
      </c>
      <c r="G1553" t="s">
        <v>12</v>
      </c>
      <c r="H1553">
        <v>3</v>
      </c>
      <c r="I1553">
        <v>50</v>
      </c>
      <c r="J1553">
        <v>62</v>
      </c>
      <c r="K1553">
        <v>150</v>
      </c>
    </row>
    <row r="1554" spans="1:11">
      <c r="A1554">
        <v>852</v>
      </c>
      <c r="B1554" s="1">
        <v>44835</v>
      </c>
      <c r="C1554" s="2">
        <v>0.81597222222222221</v>
      </c>
      <c r="D1554">
        <v>82</v>
      </c>
      <c r="E1554" t="s">
        <v>14</v>
      </c>
      <c r="F1554">
        <v>41</v>
      </c>
      <c r="G1554" t="s">
        <v>12</v>
      </c>
      <c r="H1554">
        <v>1</v>
      </c>
      <c r="I1554">
        <v>300</v>
      </c>
      <c r="J1554">
        <v>375</v>
      </c>
      <c r="K1554">
        <v>300</v>
      </c>
    </row>
    <row r="1555" spans="1:11">
      <c r="A1555">
        <v>1310</v>
      </c>
      <c r="B1555" s="1">
        <v>44863</v>
      </c>
      <c r="C1555" s="2">
        <v>0.89652777777777781</v>
      </c>
      <c r="D1555">
        <v>74</v>
      </c>
      <c r="E1555" t="s">
        <v>14</v>
      </c>
      <c r="F1555">
        <v>28</v>
      </c>
      <c r="G1555" t="s">
        <v>13</v>
      </c>
      <c r="H1555">
        <v>1</v>
      </c>
      <c r="I1555">
        <v>25</v>
      </c>
      <c r="J1555">
        <v>24.75</v>
      </c>
      <c r="K1555">
        <v>25</v>
      </c>
    </row>
    <row r="1556" spans="1:11">
      <c r="A1556">
        <v>1844</v>
      </c>
      <c r="B1556" s="1">
        <v>44859</v>
      </c>
      <c r="C1556" s="2">
        <v>0.85416666666666663</v>
      </c>
      <c r="D1556">
        <v>70</v>
      </c>
      <c r="E1556" t="s">
        <v>11</v>
      </c>
      <c r="F1556">
        <v>35</v>
      </c>
      <c r="G1556" t="s">
        <v>12</v>
      </c>
      <c r="H1556">
        <v>3</v>
      </c>
      <c r="I1556">
        <v>50</v>
      </c>
      <c r="J1556">
        <v>50.5</v>
      </c>
      <c r="K1556">
        <v>150</v>
      </c>
    </row>
    <row r="1557" spans="1:11">
      <c r="A1557">
        <v>1852</v>
      </c>
      <c r="B1557" s="1">
        <v>45210</v>
      </c>
      <c r="C1557" s="2">
        <v>0.75624999999999998</v>
      </c>
      <c r="D1557">
        <v>109</v>
      </c>
      <c r="E1557" t="s">
        <v>14</v>
      </c>
      <c r="F1557">
        <v>41</v>
      </c>
      <c r="G1557" t="s">
        <v>12</v>
      </c>
      <c r="H1557">
        <v>1</v>
      </c>
      <c r="I1557">
        <v>300</v>
      </c>
      <c r="J1557">
        <v>333</v>
      </c>
      <c r="K1557">
        <v>300</v>
      </c>
    </row>
    <row r="1558" spans="1:11">
      <c r="A1558">
        <v>97</v>
      </c>
      <c r="B1558" s="1">
        <v>44891</v>
      </c>
      <c r="C1558" s="2">
        <v>0.76180555555555551</v>
      </c>
      <c r="D1558">
        <v>112</v>
      </c>
      <c r="E1558" t="s">
        <v>14</v>
      </c>
      <c r="F1558">
        <v>51</v>
      </c>
      <c r="G1558" t="s">
        <v>13</v>
      </c>
      <c r="H1558">
        <v>2</v>
      </c>
      <c r="I1558">
        <v>500</v>
      </c>
      <c r="J1558">
        <v>555</v>
      </c>
      <c r="K1558">
        <v>1000</v>
      </c>
    </row>
    <row r="1559" spans="1:11">
      <c r="A1559">
        <v>619</v>
      </c>
      <c r="B1559" s="1">
        <v>45208</v>
      </c>
      <c r="C1559" s="2">
        <v>0.75694444444444442</v>
      </c>
      <c r="D1559">
        <v>56</v>
      </c>
      <c r="E1559" t="s">
        <v>11</v>
      </c>
      <c r="F1559">
        <v>47</v>
      </c>
      <c r="G1559" t="s">
        <v>15</v>
      </c>
      <c r="H1559">
        <v>4</v>
      </c>
      <c r="I1559">
        <v>25</v>
      </c>
      <c r="J1559">
        <v>26.25</v>
      </c>
      <c r="K1559">
        <v>100</v>
      </c>
    </row>
    <row r="1560" spans="1:11">
      <c r="A1560">
        <v>948</v>
      </c>
      <c r="B1560" s="1">
        <v>45270</v>
      </c>
      <c r="C1560" s="2">
        <v>0.92083333333333328</v>
      </c>
      <c r="D1560">
        <v>52</v>
      </c>
      <c r="E1560" t="s">
        <v>14</v>
      </c>
      <c r="F1560">
        <v>23</v>
      </c>
      <c r="G1560" t="s">
        <v>15</v>
      </c>
      <c r="H1560">
        <v>3</v>
      </c>
      <c r="I1560">
        <v>25</v>
      </c>
      <c r="J1560">
        <v>28.75</v>
      </c>
      <c r="K1560">
        <v>75</v>
      </c>
    </row>
    <row r="1561" spans="1:11">
      <c r="A1561">
        <v>1097</v>
      </c>
      <c r="B1561" s="1">
        <v>44921</v>
      </c>
      <c r="C1561" s="2">
        <v>0.87013888888888891</v>
      </c>
      <c r="D1561">
        <v>86</v>
      </c>
      <c r="E1561" t="s">
        <v>14</v>
      </c>
      <c r="F1561">
        <v>51</v>
      </c>
      <c r="G1561" t="s">
        <v>13</v>
      </c>
      <c r="H1561">
        <v>2</v>
      </c>
      <c r="I1561">
        <v>500</v>
      </c>
      <c r="J1561">
        <v>485</v>
      </c>
      <c r="K1561">
        <v>1000</v>
      </c>
    </row>
    <row r="1562" spans="1:11">
      <c r="A1562">
        <v>1619</v>
      </c>
      <c r="B1562" s="1">
        <v>44854</v>
      </c>
      <c r="C1562" s="2">
        <v>0.75486111111111109</v>
      </c>
      <c r="D1562">
        <v>61</v>
      </c>
      <c r="E1562" t="s">
        <v>11</v>
      </c>
      <c r="F1562">
        <v>47</v>
      </c>
      <c r="G1562" t="s">
        <v>15</v>
      </c>
      <c r="H1562">
        <v>4</v>
      </c>
      <c r="I1562">
        <v>25</v>
      </c>
      <c r="J1562">
        <v>24.25</v>
      </c>
      <c r="K1562">
        <v>100</v>
      </c>
    </row>
    <row r="1563" spans="1:11">
      <c r="A1563">
        <v>1948</v>
      </c>
      <c r="B1563" s="1">
        <v>45186</v>
      </c>
      <c r="C1563" s="2">
        <v>0.88124999999999998</v>
      </c>
      <c r="D1563">
        <v>100</v>
      </c>
      <c r="E1563" t="s">
        <v>14</v>
      </c>
      <c r="F1563">
        <v>23</v>
      </c>
      <c r="G1563" t="s">
        <v>15</v>
      </c>
      <c r="H1563">
        <v>3</v>
      </c>
      <c r="I1563">
        <v>25</v>
      </c>
      <c r="J1563">
        <v>24.5</v>
      </c>
      <c r="K1563">
        <v>75</v>
      </c>
    </row>
    <row r="1564" spans="1:11">
      <c r="A1564">
        <v>456</v>
      </c>
      <c r="B1564" s="1">
        <v>45275</v>
      </c>
      <c r="C1564" s="2">
        <v>0.82291666666666663</v>
      </c>
      <c r="D1564">
        <v>51</v>
      </c>
      <c r="E1564" t="s">
        <v>11</v>
      </c>
      <c r="F1564">
        <v>57</v>
      </c>
      <c r="G1564" t="s">
        <v>15</v>
      </c>
      <c r="H1564">
        <v>2</v>
      </c>
      <c r="I1564">
        <v>30</v>
      </c>
      <c r="J1564">
        <v>33.9</v>
      </c>
      <c r="K1564">
        <v>60</v>
      </c>
    </row>
    <row r="1565" spans="1:11">
      <c r="A1565">
        <v>627</v>
      </c>
      <c r="B1565" s="1">
        <v>44858</v>
      </c>
      <c r="C1565" s="2">
        <v>0.75972222222222219</v>
      </c>
      <c r="D1565">
        <v>79</v>
      </c>
      <c r="E1565" t="s">
        <v>11</v>
      </c>
      <c r="F1565">
        <v>57</v>
      </c>
      <c r="G1565" t="s">
        <v>12</v>
      </c>
      <c r="H1565">
        <v>1</v>
      </c>
      <c r="I1565">
        <v>50</v>
      </c>
      <c r="J1565">
        <v>55.5</v>
      </c>
      <c r="K1565">
        <v>50</v>
      </c>
    </row>
    <row r="1566" spans="1:11">
      <c r="A1566">
        <v>1456</v>
      </c>
      <c r="B1566" s="1">
        <v>44806</v>
      </c>
      <c r="C1566" s="2">
        <v>0.78402777777777777</v>
      </c>
      <c r="D1566">
        <v>85</v>
      </c>
      <c r="E1566" t="s">
        <v>11</v>
      </c>
      <c r="F1566">
        <v>57</v>
      </c>
      <c r="G1566" t="s">
        <v>15</v>
      </c>
      <c r="H1566">
        <v>2</v>
      </c>
      <c r="I1566">
        <v>30</v>
      </c>
      <c r="J1566">
        <v>37.200000000000003</v>
      </c>
      <c r="K1566">
        <v>60</v>
      </c>
    </row>
    <row r="1567" spans="1:11">
      <c r="A1567">
        <v>1627</v>
      </c>
      <c r="B1567" s="1">
        <v>44883</v>
      </c>
      <c r="C1567" s="2">
        <v>0.72291666666666665</v>
      </c>
      <c r="D1567">
        <v>84</v>
      </c>
      <c r="E1567" t="s">
        <v>11</v>
      </c>
      <c r="F1567">
        <v>57</v>
      </c>
      <c r="G1567" t="s">
        <v>12</v>
      </c>
      <c r="H1567">
        <v>1</v>
      </c>
      <c r="I1567">
        <v>50</v>
      </c>
      <c r="J1567">
        <v>60</v>
      </c>
      <c r="K1567">
        <v>50</v>
      </c>
    </row>
    <row r="1568" spans="1:11">
      <c r="A1568">
        <v>22</v>
      </c>
      <c r="B1568" s="1">
        <v>45255</v>
      </c>
      <c r="C1568" s="2">
        <v>0.71597222222222223</v>
      </c>
      <c r="D1568">
        <v>66</v>
      </c>
      <c r="E1568" t="s">
        <v>11</v>
      </c>
      <c r="F1568">
        <v>18</v>
      </c>
      <c r="G1568" t="s">
        <v>12</v>
      </c>
      <c r="H1568">
        <v>2</v>
      </c>
      <c r="I1568">
        <v>50</v>
      </c>
      <c r="J1568">
        <v>60.5</v>
      </c>
      <c r="K1568">
        <v>100</v>
      </c>
    </row>
    <row r="1569" spans="1:11">
      <c r="A1569">
        <v>121</v>
      </c>
      <c r="B1569" s="1">
        <v>45206</v>
      </c>
      <c r="C1569" s="2">
        <v>0.7895833333333333</v>
      </c>
      <c r="D1569">
        <v>110</v>
      </c>
      <c r="E1569" t="s">
        <v>14</v>
      </c>
      <c r="F1569">
        <v>28</v>
      </c>
      <c r="G1569" t="s">
        <v>15</v>
      </c>
      <c r="H1569">
        <v>4</v>
      </c>
      <c r="I1569">
        <v>50</v>
      </c>
      <c r="J1569">
        <v>54.5</v>
      </c>
      <c r="K1569">
        <v>200</v>
      </c>
    </row>
    <row r="1570" spans="1:11">
      <c r="A1570">
        <v>431</v>
      </c>
      <c r="B1570" s="1">
        <v>44863</v>
      </c>
      <c r="C1570" s="2">
        <v>0.91805555555555551</v>
      </c>
      <c r="D1570">
        <v>99</v>
      </c>
      <c r="E1570" t="s">
        <v>11</v>
      </c>
      <c r="F1570">
        <v>63</v>
      </c>
      <c r="G1570" t="s">
        <v>15</v>
      </c>
      <c r="H1570">
        <v>4</v>
      </c>
      <c r="I1570">
        <v>300</v>
      </c>
      <c r="J1570">
        <v>345</v>
      </c>
      <c r="K1570">
        <v>1200</v>
      </c>
    </row>
    <row r="1571" spans="1:11">
      <c r="A1571">
        <v>1022</v>
      </c>
      <c r="B1571" s="1">
        <v>45174</v>
      </c>
      <c r="C1571" s="2">
        <v>0.74236111111111114</v>
      </c>
      <c r="D1571">
        <v>69</v>
      </c>
      <c r="E1571" t="s">
        <v>11</v>
      </c>
      <c r="F1571">
        <v>18</v>
      </c>
      <c r="G1571" t="s">
        <v>12</v>
      </c>
      <c r="H1571">
        <v>2</v>
      </c>
      <c r="I1571">
        <v>50</v>
      </c>
      <c r="J1571">
        <v>52.5</v>
      </c>
      <c r="K1571">
        <v>100</v>
      </c>
    </row>
    <row r="1572" spans="1:11">
      <c r="A1572">
        <v>1121</v>
      </c>
      <c r="B1572" s="1">
        <v>44888</v>
      </c>
      <c r="C1572" s="2">
        <v>0.88194444444444442</v>
      </c>
      <c r="D1572">
        <v>95</v>
      </c>
      <c r="E1572" t="s">
        <v>14</v>
      </c>
      <c r="F1572">
        <v>28</v>
      </c>
      <c r="G1572" t="s">
        <v>15</v>
      </c>
      <c r="H1572">
        <v>4</v>
      </c>
      <c r="I1572">
        <v>50</v>
      </c>
      <c r="J1572">
        <v>50.5</v>
      </c>
      <c r="K1572">
        <v>200</v>
      </c>
    </row>
    <row r="1573" spans="1:11">
      <c r="A1573">
        <v>1431</v>
      </c>
      <c r="B1573" s="1">
        <v>45197</v>
      </c>
      <c r="C1573" s="2">
        <v>0.89444444444444449</v>
      </c>
      <c r="D1573">
        <v>114</v>
      </c>
      <c r="E1573" t="s">
        <v>11</v>
      </c>
      <c r="F1573">
        <v>63</v>
      </c>
      <c r="G1573" t="s">
        <v>15</v>
      </c>
      <c r="H1573">
        <v>4</v>
      </c>
      <c r="I1573">
        <v>300</v>
      </c>
      <c r="J1573">
        <v>312</v>
      </c>
      <c r="K1573">
        <v>1200</v>
      </c>
    </row>
    <row r="1574" spans="1:11">
      <c r="A1574">
        <v>370</v>
      </c>
      <c r="B1574" s="1">
        <v>45223</v>
      </c>
      <c r="C1574" s="2">
        <v>0.87777777777777777</v>
      </c>
      <c r="D1574">
        <v>61</v>
      </c>
      <c r="E1574" t="s">
        <v>11</v>
      </c>
      <c r="F1574">
        <v>23</v>
      </c>
      <c r="G1574" t="s">
        <v>15</v>
      </c>
      <c r="H1574">
        <v>2</v>
      </c>
      <c r="I1574">
        <v>30</v>
      </c>
      <c r="J1574">
        <v>34.799999999999997</v>
      </c>
      <c r="K1574">
        <v>60</v>
      </c>
    </row>
    <row r="1575" spans="1:11">
      <c r="A1575">
        <v>711</v>
      </c>
      <c r="B1575" s="1">
        <v>45192</v>
      </c>
      <c r="C1575" s="2">
        <v>0.93472222222222223</v>
      </c>
      <c r="D1575">
        <v>103</v>
      </c>
      <c r="E1575" t="s">
        <v>11</v>
      </c>
      <c r="F1575">
        <v>26</v>
      </c>
      <c r="G1575" t="s">
        <v>15</v>
      </c>
      <c r="H1575">
        <v>3</v>
      </c>
      <c r="I1575">
        <v>500</v>
      </c>
      <c r="J1575">
        <v>575</v>
      </c>
      <c r="K1575">
        <v>1500</v>
      </c>
    </row>
    <row r="1576" spans="1:11">
      <c r="A1576">
        <v>754</v>
      </c>
      <c r="B1576" s="1">
        <v>45195</v>
      </c>
      <c r="C1576" s="2">
        <v>0.77777777777777779</v>
      </c>
      <c r="D1576">
        <v>90</v>
      </c>
      <c r="E1576" t="s">
        <v>14</v>
      </c>
      <c r="F1576">
        <v>43</v>
      </c>
      <c r="G1576" t="s">
        <v>15</v>
      </c>
      <c r="H1576">
        <v>4</v>
      </c>
      <c r="I1576">
        <v>25</v>
      </c>
      <c r="J1576">
        <v>23.75</v>
      </c>
      <c r="K1576">
        <v>100</v>
      </c>
    </row>
    <row r="1577" spans="1:11">
      <c r="A1577">
        <v>943</v>
      </c>
      <c r="B1577" s="1">
        <v>44870</v>
      </c>
      <c r="C1577" s="2">
        <v>0.81180555555555556</v>
      </c>
      <c r="D1577">
        <v>90</v>
      </c>
      <c r="E1577" t="s">
        <v>14</v>
      </c>
      <c r="F1577">
        <v>57</v>
      </c>
      <c r="G1577" t="s">
        <v>12</v>
      </c>
      <c r="H1577">
        <v>4</v>
      </c>
      <c r="I1577">
        <v>300</v>
      </c>
      <c r="J1577">
        <v>318</v>
      </c>
      <c r="K1577">
        <v>1200</v>
      </c>
    </row>
    <row r="1578" spans="1:11">
      <c r="A1578">
        <v>1370</v>
      </c>
      <c r="B1578" s="1">
        <v>44869</v>
      </c>
      <c r="C1578" s="2">
        <v>0.95208333333333328</v>
      </c>
      <c r="D1578">
        <v>90</v>
      </c>
      <c r="E1578" t="s">
        <v>11</v>
      </c>
      <c r="F1578">
        <v>23</v>
      </c>
      <c r="G1578" t="s">
        <v>15</v>
      </c>
      <c r="H1578">
        <v>2</v>
      </c>
      <c r="I1578">
        <v>30</v>
      </c>
      <c r="J1578">
        <v>36</v>
      </c>
      <c r="K1578">
        <v>60</v>
      </c>
    </row>
    <row r="1579" spans="1:11">
      <c r="A1579">
        <v>1711</v>
      </c>
      <c r="B1579" s="1">
        <v>45191</v>
      </c>
      <c r="C1579" s="2">
        <v>0.85624999999999996</v>
      </c>
      <c r="D1579">
        <v>113</v>
      </c>
      <c r="E1579" t="s">
        <v>11</v>
      </c>
      <c r="F1579">
        <v>26</v>
      </c>
      <c r="G1579" t="s">
        <v>15</v>
      </c>
      <c r="H1579">
        <v>3</v>
      </c>
      <c r="I1579">
        <v>500</v>
      </c>
      <c r="J1579">
        <v>570</v>
      </c>
      <c r="K1579">
        <v>1500</v>
      </c>
    </row>
    <row r="1580" spans="1:11">
      <c r="A1580">
        <v>1754</v>
      </c>
      <c r="B1580" s="1">
        <v>44896</v>
      </c>
      <c r="C1580" s="2">
        <v>0.87708333333333333</v>
      </c>
      <c r="D1580">
        <v>107</v>
      </c>
      <c r="E1580" t="s">
        <v>14</v>
      </c>
      <c r="F1580">
        <v>43</v>
      </c>
      <c r="G1580" t="s">
        <v>15</v>
      </c>
      <c r="H1580">
        <v>4</v>
      </c>
      <c r="I1580">
        <v>25</v>
      </c>
      <c r="J1580">
        <v>28.5</v>
      </c>
      <c r="K1580">
        <v>100</v>
      </c>
    </row>
    <row r="1581" spans="1:11">
      <c r="A1581">
        <v>1943</v>
      </c>
      <c r="B1581" s="1">
        <v>45247</v>
      </c>
      <c r="C1581" s="2">
        <v>0.875</v>
      </c>
      <c r="D1581">
        <v>108</v>
      </c>
      <c r="E1581" t="s">
        <v>14</v>
      </c>
      <c r="F1581">
        <v>57</v>
      </c>
      <c r="G1581" t="s">
        <v>12</v>
      </c>
      <c r="H1581">
        <v>4</v>
      </c>
      <c r="I1581">
        <v>300</v>
      </c>
      <c r="J1581">
        <v>321</v>
      </c>
      <c r="K1581">
        <v>1200</v>
      </c>
    </row>
    <row r="1582" spans="1:11">
      <c r="A1582">
        <v>350</v>
      </c>
      <c r="B1582" s="1">
        <v>44885</v>
      </c>
      <c r="C1582" s="2">
        <v>0.7368055555555556</v>
      </c>
      <c r="D1582">
        <v>61</v>
      </c>
      <c r="E1582" t="s">
        <v>11</v>
      </c>
      <c r="F1582">
        <v>25</v>
      </c>
      <c r="G1582" t="s">
        <v>13</v>
      </c>
      <c r="H1582">
        <v>3</v>
      </c>
      <c r="I1582">
        <v>25</v>
      </c>
      <c r="J1582">
        <v>28.5</v>
      </c>
      <c r="K1582">
        <v>75</v>
      </c>
    </row>
    <row r="1583" spans="1:11">
      <c r="A1583">
        <v>786</v>
      </c>
      <c r="B1583" s="1">
        <v>44911</v>
      </c>
      <c r="C1583" s="2">
        <v>0.85972222222222228</v>
      </c>
      <c r="D1583">
        <v>78</v>
      </c>
      <c r="E1583" t="s">
        <v>11</v>
      </c>
      <c r="F1583">
        <v>48</v>
      </c>
      <c r="G1583" t="s">
        <v>12</v>
      </c>
      <c r="H1583">
        <v>4</v>
      </c>
      <c r="I1583">
        <v>25</v>
      </c>
      <c r="J1583">
        <v>28.5</v>
      </c>
      <c r="K1583">
        <v>100</v>
      </c>
    </row>
    <row r="1584" spans="1:11">
      <c r="A1584">
        <v>1350</v>
      </c>
      <c r="B1584" s="1">
        <v>45238</v>
      </c>
      <c r="C1584" s="2">
        <v>0.91805555555555551</v>
      </c>
      <c r="D1584">
        <v>93</v>
      </c>
      <c r="E1584" t="s">
        <v>11</v>
      </c>
      <c r="F1584">
        <v>25</v>
      </c>
      <c r="G1584" t="s">
        <v>13</v>
      </c>
      <c r="H1584">
        <v>3</v>
      </c>
      <c r="I1584">
        <v>25</v>
      </c>
      <c r="J1584">
        <v>29.25</v>
      </c>
      <c r="K1584">
        <v>75</v>
      </c>
    </row>
    <row r="1585" spans="1:11">
      <c r="A1585">
        <v>1786</v>
      </c>
      <c r="B1585" s="1">
        <v>44831</v>
      </c>
      <c r="C1585" s="2">
        <v>0.8930555555555556</v>
      </c>
      <c r="D1585">
        <v>69</v>
      </c>
      <c r="E1585" t="s">
        <v>11</v>
      </c>
      <c r="F1585">
        <v>48</v>
      </c>
      <c r="G1585" t="s">
        <v>12</v>
      </c>
      <c r="H1585">
        <v>4</v>
      </c>
      <c r="I1585">
        <v>25</v>
      </c>
      <c r="J1585">
        <v>28.75</v>
      </c>
      <c r="K1585">
        <v>100</v>
      </c>
    </row>
    <row r="1586" spans="1:11">
      <c r="A1586">
        <v>109</v>
      </c>
      <c r="B1586" s="1">
        <v>45175</v>
      </c>
      <c r="C1586" s="2">
        <v>0.83125000000000004</v>
      </c>
      <c r="D1586">
        <v>94</v>
      </c>
      <c r="E1586" t="s">
        <v>14</v>
      </c>
      <c r="F1586">
        <v>34</v>
      </c>
      <c r="G1586" t="s">
        <v>15</v>
      </c>
      <c r="H1586">
        <v>4</v>
      </c>
      <c r="I1586">
        <v>500</v>
      </c>
      <c r="J1586">
        <v>560</v>
      </c>
      <c r="K1586">
        <v>2000</v>
      </c>
    </row>
    <row r="1587" spans="1:11">
      <c r="A1587">
        <v>191</v>
      </c>
      <c r="B1587" s="1">
        <v>45282</v>
      </c>
      <c r="C1587" s="2">
        <v>0.89166666666666672</v>
      </c>
      <c r="D1587">
        <v>71</v>
      </c>
      <c r="E1587" t="s">
        <v>11</v>
      </c>
      <c r="F1587">
        <v>64</v>
      </c>
      <c r="G1587" t="s">
        <v>13</v>
      </c>
      <c r="H1587">
        <v>1</v>
      </c>
      <c r="I1587">
        <v>25</v>
      </c>
      <c r="J1587">
        <v>28.25</v>
      </c>
      <c r="K1587">
        <v>25</v>
      </c>
    </row>
    <row r="1588" spans="1:11">
      <c r="A1588">
        <v>1109</v>
      </c>
      <c r="B1588" s="1">
        <v>45273</v>
      </c>
      <c r="C1588" s="2">
        <v>0.92569444444444449</v>
      </c>
      <c r="D1588">
        <v>114</v>
      </c>
      <c r="E1588" t="s">
        <v>14</v>
      </c>
      <c r="F1588">
        <v>34</v>
      </c>
      <c r="G1588" t="s">
        <v>15</v>
      </c>
      <c r="H1588">
        <v>4</v>
      </c>
      <c r="I1588">
        <v>500</v>
      </c>
      <c r="J1588">
        <v>590</v>
      </c>
      <c r="K1588">
        <v>2000</v>
      </c>
    </row>
    <row r="1589" spans="1:11">
      <c r="A1589">
        <v>1191</v>
      </c>
      <c r="B1589" s="1">
        <v>45194</v>
      </c>
      <c r="C1589" s="2">
        <v>0.72222222222222221</v>
      </c>
      <c r="D1589">
        <v>88</v>
      </c>
      <c r="E1589" t="s">
        <v>11</v>
      </c>
      <c r="F1589">
        <v>64</v>
      </c>
      <c r="G1589" t="s">
        <v>13</v>
      </c>
      <c r="H1589">
        <v>1</v>
      </c>
      <c r="I1589">
        <v>25</v>
      </c>
      <c r="J1589">
        <v>25</v>
      </c>
      <c r="K1589">
        <v>25</v>
      </c>
    </row>
    <row r="1590" spans="1:11">
      <c r="A1590">
        <v>340</v>
      </c>
      <c r="B1590" s="1">
        <v>45188</v>
      </c>
      <c r="C1590" s="2">
        <v>0.95763888888888893</v>
      </c>
      <c r="D1590">
        <v>54</v>
      </c>
      <c r="E1590" t="s">
        <v>14</v>
      </c>
      <c r="F1590">
        <v>36</v>
      </c>
      <c r="G1590" t="s">
        <v>12</v>
      </c>
      <c r="H1590">
        <v>4</v>
      </c>
      <c r="I1590">
        <v>300</v>
      </c>
      <c r="J1590">
        <v>294</v>
      </c>
      <c r="K1590">
        <v>1200</v>
      </c>
    </row>
    <row r="1591" spans="1:11">
      <c r="A1591">
        <v>555</v>
      </c>
      <c r="B1591" s="1">
        <v>44909</v>
      </c>
      <c r="C1591" s="2">
        <v>0.81597222222222221</v>
      </c>
      <c r="D1591">
        <v>103</v>
      </c>
      <c r="E1591" t="s">
        <v>11</v>
      </c>
      <c r="F1591">
        <v>25</v>
      </c>
      <c r="G1591" t="s">
        <v>13</v>
      </c>
      <c r="H1591">
        <v>1</v>
      </c>
      <c r="I1591">
        <v>300</v>
      </c>
      <c r="J1591">
        <v>360</v>
      </c>
      <c r="K1591">
        <v>300</v>
      </c>
    </row>
    <row r="1592" spans="1:11">
      <c r="A1592">
        <v>826</v>
      </c>
      <c r="B1592" s="1">
        <v>44919</v>
      </c>
      <c r="C1592" s="2">
        <v>0.79722222222222228</v>
      </c>
      <c r="D1592">
        <v>81</v>
      </c>
      <c r="E1592" t="s">
        <v>14</v>
      </c>
      <c r="F1592">
        <v>46</v>
      </c>
      <c r="G1592" t="s">
        <v>12</v>
      </c>
      <c r="H1592">
        <v>1</v>
      </c>
      <c r="I1592">
        <v>300</v>
      </c>
      <c r="J1592">
        <v>303</v>
      </c>
      <c r="K1592">
        <v>300</v>
      </c>
    </row>
    <row r="1593" spans="1:11">
      <c r="A1593">
        <v>962</v>
      </c>
      <c r="B1593" s="1">
        <v>45275</v>
      </c>
      <c r="C1593" s="2">
        <v>0.91805555555555551</v>
      </c>
      <c r="D1593">
        <v>76</v>
      </c>
      <c r="E1593" t="s">
        <v>11</v>
      </c>
      <c r="F1593">
        <v>44</v>
      </c>
      <c r="G1593" t="s">
        <v>12</v>
      </c>
      <c r="H1593">
        <v>2</v>
      </c>
      <c r="I1593">
        <v>30</v>
      </c>
      <c r="J1593">
        <v>35.1</v>
      </c>
      <c r="K1593">
        <v>60</v>
      </c>
    </row>
    <row r="1594" spans="1:11">
      <c r="A1594">
        <v>1340</v>
      </c>
      <c r="B1594" s="1">
        <v>45229</v>
      </c>
      <c r="C1594" s="2">
        <v>0.87152777777777779</v>
      </c>
      <c r="D1594">
        <v>92</v>
      </c>
      <c r="E1594" t="s">
        <v>14</v>
      </c>
      <c r="F1594">
        <v>36</v>
      </c>
      <c r="G1594" t="s">
        <v>12</v>
      </c>
      <c r="H1594">
        <v>4</v>
      </c>
      <c r="I1594">
        <v>300</v>
      </c>
      <c r="J1594">
        <v>348</v>
      </c>
      <c r="K1594">
        <v>1200</v>
      </c>
    </row>
    <row r="1595" spans="1:11">
      <c r="A1595">
        <v>1555</v>
      </c>
      <c r="B1595" s="1">
        <v>44914</v>
      </c>
      <c r="C1595" s="2">
        <v>0.78749999999999998</v>
      </c>
      <c r="D1595">
        <v>55</v>
      </c>
      <c r="E1595" t="s">
        <v>11</v>
      </c>
      <c r="F1595">
        <v>25</v>
      </c>
      <c r="G1595" t="s">
        <v>13</v>
      </c>
      <c r="H1595">
        <v>1</v>
      </c>
      <c r="I1595">
        <v>300</v>
      </c>
      <c r="J1595">
        <v>312</v>
      </c>
      <c r="K1595">
        <v>300</v>
      </c>
    </row>
    <row r="1596" spans="1:11">
      <c r="A1596">
        <v>1826</v>
      </c>
      <c r="B1596" s="1">
        <v>44925</v>
      </c>
      <c r="C1596" s="2">
        <v>0.92013888888888884</v>
      </c>
      <c r="D1596">
        <v>104</v>
      </c>
      <c r="E1596" t="s">
        <v>14</v>
      </c>
      <c r="F1596">
        <v>46</v>
      </c>
      <c r="G1596" t="s">
        <v>12</v>
      </c>
      <c r="H1596">
        <v>1</v>
      </c>
      <c r="I1596">
        <v>300</v>
      </c>
      <c r="J1596">
        <v>297</v>
      </c>
      <c r="K1596">
        <v>300</v>
      </c>
    </row>
    <row r="1597" spans="1:11">
      <c r="A1597">
        <v>1962</v>
      </c>
      <c r="B1597" s="1">
        <v>44811</v>
      </c>
      <c r="C1597" s="2">
        <v>0.79097222222222219</v>
      </c>
      <c r="D1597">
        <v>65</v>
      </c>
      <c r="E1597" t="s">
        <v>11</v>
      </c>
      <c r="F1597">
        <v>44</v>
      </c>
      <c r="G1597" t="s">
        <v>12</v>
      </c>
      <c r="H1597">
        <v>2</v>
      </c>
      <c r="I1597">
        <v>30</v>
      </c>
      <c r="J1597">
        <v>32.700000000000003</v>
      </c>
      <c r="K1597">
        <v>60</v>
      </c>
    </row>
    <row r="1598" spans="1:11">
      <c r="A1598">
        <v>249</v>
      </c>
      <c r="B1598" s="1">
        <v>44832</v>
      </c>
      <c r="C1598" s="2">
        <v>0.84513888888888888</v>
      </c>
      <c r="D1598">
        <v>109</v>
      </c>
      <c r="E1598" t="s">
        <v>11</v>
      </c>
      <c r="F1598">
        <v>20</v>
      </c>
      <c r="G1598" t="s">
        <v>12</v>
      </c>
      <c r="H1598">
        <v>1</v>
      </c>
      <c r="I1598">
        <v>50</v>
      </c>
      <c r="J1598">
        <v>53.5</v>
      </c>
      <c r="K1598">
        <v>50</v>
      </c>
    </row>
    <row r="1599" spans="1:11">
      <c r="A1599">
        <v>1249</v>
      </c>
      <c r="B1599" s="1">
        <v>44905</v>
      </c>
      <c r="C1599" s="2">
        <v>0.90555555555555556</v>
      </c>
      <c r="D1599">
        <v>95</v>
      </c>
      <c r="E1599" t="s">
        <v>11</v>
      </c>
      <c r="F1599">
        <v>20</v>
      </c>
      <c r="G1599" t="s">
        <v>12</v>
      </c>
      <c r="H1599">
        <v>1</v>
      </c>
      <c r="I1599">
        <v>50</v>
      </c>
      <c r="J1599">
        <v>60</v>
      </c>
      <c r="K1599">
        <v>50</v>
      </c>
    </row>
    <row r="1600" spans="1:11">
      <c r="A1600">
        <v>922</v>
      </c>
      <c r="B1600" s="1">
        <v>45218</v>
      </c>
      <c r="C1600" s="2">
        <v>0.95416666666666672</v>
      </c>
      <c r="D1600">
        <v>103</v>
      </c>
      <c r="E1600" t="s">
        <v>11</v>
      </c>
      <c r="F1600">
        <v>41</v>
      </c>
      <c r="G1600" t="s">
        <v>15</v>
      </c>
      <c r="H1600">
        <v>1</v>
      </c>
      <c r="I1600">
        <v>50</v>
      </c>
      <c r="J1600">
        <v>60.5</v>
      </c>
      <c r="K1600">
        <v>50</v>
      </c>
    </row>
    <row r="1601" spans="1:11">
      <c r="A1601">
        <v>1922</v>
      </c>
      <c r="B1601" s="1">
        <v>45227</v>
      </c>
      <c r="C1601" s="2">
        <v>0.83819444444444446</v>
      </c>
      <c r="D1601">
        <v>72</v>
      </c>
      <c r="E1601" t="s">
        <v>11</v>
      </c>
      <c r="F1601">
        <v>41</v>
      </c>
      <c r="G1601" t="s">
        <v>15</v>
      </c>
      <c r="H1601">
        <v>1</v>
      </c>
      <c r="I1601">
        <v>50</v>
      </c>
      <c r="J1601">
        <v>48.5</v>
      </c>
      <c r="K1601">
        <v>50</v>
      </c>
    </row>
    <row r="1602" spans="1:11">
      <c r="A1602">
        <v>600</v>
      </c>
      <c r="B1602" s="1">
        <v>45208</v>
      </c>
      <c r="C1602" s="2">
        <v>0.77708333333333335</v>
      </c>
      <c r="D1602">
        <v>64</v>
      </c>
      <c r="E1602" t="s">
        <v>14</v>
      </c>
      <c r="F1602">
        <v>59</v>
      </c>
      <c r="G1602" t="s">
        <v>13</v>
      </c>
      <c r="H1602">
        <v>2</v>
      </c>
      <c r="I1602">
        <v>500</v>
      </c>
      <c r="J1602">
        <v>525</v>
      </c>
      <c r="K1602">
        <v>1000</v>
      </c>
    </row>
    <row r="1603" spans="1:11">
      <c r="A1603">
        <v>680</v>
      </c>
      <c r="B1603" s="1">
        <v>44896</v>
      </c>
      <c r="C1603" s="2">
        <v>0.9194444444444444</v>
      </c>
      <c r="D1603">
        <v>110</v>
      </c>
      <c r="E1603" t="s">
        <v>14</v>
      </c>
      <c r="F1603">
        <v>53</v>
      </c>
      <c r="G1603" t="s">
        <v>12</v>
      </c>
      <c r="H1603">
        <v>3</v>
      </c>
      <c r="I1603">
        <v>300</v>
      </c>
      <c r="J1603">
        <v>330</v>
      </c>
      <c r="K1603">
        <v>900</v>
      </c>
    </row>
    <row r="1604" spans="1:11">
      <c r="A1604">
        <v>770</v>
      </c>
      <c r="B1604" s="1">
        <v>44906</v>
      </c>
      <c r="C1604" s="2">
        <v>0.9506944444444444</v>
      </c>
      <c r="D1604">
        <v>71</v>
      </c>
      <c r="E1604" t="s">
        <v>11</v>
      </c>
      <c r="F1604">
        <v>32</v>
      </c>
      <c r="G1604" t="s">
        <v>12</v>
      </c>
      <c r="H1604">
        <v>1</v>
      </c>
      <c r="I1604">
        <v>50</v>
      </c>
      <c r="J1604">
        <v>55</v>
      </c>
      <c r="K1604">
        <v>50</v>
      </c>
    </row>
    <row r="1605" spans="1:11">
      <c r="A1605">
        <v>1600</v>
      </c>
      <c r="B1605" s="1">
        <v>44913</v>
      </c>
      <c r="C1605" s="2">
        <v>0.73888888888888893</v>
      </c>
      <c r="D1605">
        <v>67</v>
      </c>
      <c r="E1605" t="s">
        <v>14</v>
      </c>
      <c r="F1605">
        <v>59</v>
      </c>
      <c r="G1605" t="s">
        <v>13</v>
      </c>
      <c r="H1605">
        <v>2</v>
      </c>
      <c r="I1605">
        <v>500</v>
      </c>
      <c r="J1605">
        <v>575</v>
      </c>
      <c r="K1605">
        <v>1000</v>
      </c>
    </row>
    <row r="1606" spans="1:11">
      <c r="A1606">
        <v>1680</v>
      </c>
      <c r="B1606" s="1">
        <v>45172</v>
      </c>
      <c r="C1606" s="2">
        <v>0.71666666666666667</v>
      </c>
      <c r="D1606">
        <v>72</v>
      </c>
      <c r="E1606" t="s">
        <v>14</v>
      </c>
      <c r="F1606">
        <v>53</v>
      </c>
      <c r="G1606" t="s">
        <v>12</v>
      </c>
      <c r="H1606">
        <v>3</v>
      </c>
      <c r="I1606">
        <v>300</v>
      </c>
      <c r="J1606">
        <v>324</v>
      </c>
      <c r="K1606">
        <v>900</v>
      </c>
    </row>
    <row r="1607" spans="1:11">
      <c r="A1607">
        <v>1770</v>
      </c>
      <c r="B1607" s="1">
        <v>45260</v>
      </c>
      <c r="C1607" s="2">
        <v>0.83888888888888891</v>
      </c>
      <c r="D1607">
        <v>65</v>
      </c>
      <c r="E1607" t="s">
        <v>11</v>
      </c>
      <c r="F1607">
        <v>32</v>
      </c>
      <c r="G1607" t="s">
        <v>12</v>
      </c>
      <c r="H1607">
        <v>1</v>
      </c>
      <c r="I1607">
        <v>50</v>
      </c>
      <c r="J1607">
        <v>56</v>
      </c>
      <c r="K1607">
        <v>50</v>
      </c>
    </row>
    <row r="1608" spans="1:11">
      <c r="A1608">
        <v>60</v>
      </c>
      <c r="B1608" s="1">
        <v>44899</v>
      </c>
      <c r="C1608" s="2">
        <v>0.76041666666666663</v>
      </c>
      <c r="D1608">
        <v>91</v>
      </c>
      <c r="E1608" t="s">
        <v>11</v>
      </c>
      <c r="F1608">
        <v>30</v>
      </c>
      <c r="G1608" t="s">
        <v>13</v>
      </c>
      <c r="H1608">
        <v>3</v>
      </c>
      <c r="I1608">
        <v>50</v>
      </c>
      <c r="J1608">
        <v>60.5</v>
      </c>
      <c r="K1608">
        <v>150</v>
      </c>
    </row>
    <row r="1609" spans="1:11">
      <c r="A1609">
        <v>250</v>
      </c>
      <c r="B1609" s="1">
        <v>44919</v>
      </c>
      <c r="C1609" s="2">
        <v>0.95833333333333337</v>
      </c>
      <c r="D1609">
        <v>91</v>
      </c>
      <c r="E1609" t="s">
        <v>11</v>
      </c>
      <c r="F1609">
        <v>48</v>
      </c>
      <c r="G1609" t="s">
        <v>15</v>
      </c>
      <c r="H1609">
        <v>1</v>
      </c>
      <c r="I1609">
        <v>50</v>
      </c>
      <c r="J1609">
        <v>60.5</v>
      </c>
      <c r="K1609">
        <v>50</v>
      </c>
    </row>
    <row r="1610" spans="1:11">
      <c r="A1610">
        <v>516</v>
      </c>
      <c r="B1610" s="1">
        <v>45189</v>
      </c>
      <c r="C1610" s="2">
        <v>0.77638888888888891</v>
      </c>
      <c r="D1610">
        <v>85</v>
      </c>
      <c r="E1610" t="s">
        <v>11</v>
      </c>
      <c r="F1610">
        <v>30</v>
      </c>
      <c r="G1610" t="s">
        <v>13</v>
      </c>
      <c r="H1610">
        <v>4</v>
      </c>
      <c r="I1610">
        <v>25</v>
      </c>
      <c r="J1610">
        <v>24.25</v>
      </c>
      <c r="K1610">
        <v>100</v>
      </c>
    </row>
    <row r="1611" spans="1:11">
      <c r="A1611">
        <v>937</v>
      </c>
      <c r="B1611" s="1">
        <v>44852</v>
      </c>
      <c r="C1611" s="2">
        <v>0.83125000000000004</v>
      </c>
      <c r="D1611">
        <v>50</v>
      </c>
      <c r="E1611" t="s">
        <v>14</v>
      </c>
      <c r="F1611">
        <v>62</v>
      </c>
      <c r="G1611" t="s">
        <v>13</v>
      </c>
      <c r="H1611">
        <v>1</v>
      </c>
      <c r="I1611">
        <v>500</v>
      </c>
      <c r="J1611">
        <v>510</v>
      </c>
      <c r="K1611">
        <v>500</v>
      </c>
    </row>
    <row r="1612" spans="1:11">
      <c r="A1612">
        <v>1060</v>
      </c>
      <c r="B1612" s="1">
        <v>44877</v>
      </c>
      <c r="C1612" s="2">
        <v>0.77013888888888893</v>
      </c>
      <c r="D1612">
        <v>71</v>
      </c>
      <c r="E1612" t="s">
        <v>11</v>
      </c>
      <c r="F1612">
        <v>30</v>
      </c>
      <c r="G1612" t="s">
        <v>13</v>
      </c>
      <c r="H1612">
        <v>3</v>
      </c>
      <c r="I1612">
        <v>50</v>
      </c>
      <c r="J1612">
        <v>57</v>
      </c>
      <c r="K1612">
        <v>150</v>
      </c>
    </row>
    <row r="1613" spans="1:11">
      <c r="A1613">
        <v>1250</v>
      </c>
      <c r="B1613" s="1">
        <v>44884</v>
      </c>
      <c r="C1613" s="2">
        <v>0.86041666666666672</v>
      </c>
      <c r="D1613">
        <v>96</v>
      </c>
      <c r="E1613" t="s">
        <v>11</v>
      </c>
      <c r="F1613">
        <v>48</v>
      </c>
      <c r="G1613" t="s">
        <v>15</v>
      </c>
      <c r="H1613">
        <v>1</v>
      </c>
      <c r="I1613">
        <v>50</v>
      </c>
      <c r="J1613">
        <v>48.5</v>
      </c>
      <c r="K1613">
        <v>50</v>
      </c>
    </row>
    <row r="1614" spans="1:11">
      <c r="A1614">
        <v>1516</v>
      </c>
      <c r="B1614" s="1">
        <v>44874</v>
      </c>
      <c r="C1614" s="2">
        <v>0.72152777777777777</v>
      </c>
      <c r="D1614">
        <v>54</v>
      </c>
      <c r="E1614" t="s">
        <v>11</v>
      </c>
      <c r="F1614">
        <v>30</v>
      </c>
      <c r="G1614" t="s">
        <v>13</v>
      </c>
      <c r="H1614">
        <v>4</v>
      </c>
      <c r="I1614">
        <v>25</v>
      </c>
      <c r="J1614">
        <v>24.5</v>
      </c>
      <c r="K1614">
        <v>100</v>
      </c>
    </row>
    <row r="1615" spans="1:11">
      <c r="A1615">
        <v>1937</v>
      </c>
      <c r="B1615" s="1">
        <v>44811</v>
      </c>
      <c r="C1615" s="2">
        <v>0.74791666666666667</v>
      </c>
      <c r="D1615">
        <v>52</v>
      </c>
      <c r="E1615" t="s">
        <v>14</v>
      </c>
      <c r="F1615">
        <v>62</v>
      </c>
      <c r="G1615" t="s">
        <v>13</v>
      </c>
      <c r="H1615">
        <v>1</v>
      </c>
      <c r="I1615">
        <v>500</v>
      </c>
      <c r="J1615">
        <v>620</v>
      </c>
      <c r="K1615">
        <v>500</v>
      </c>
    </row>
    <row r="1616" spans="1:11">
      <c r="A1616">
        <v>318</v>
      </c>
      <c r="B1616" s="1">
        <v>45221</v>
      </c>
      <c r="C1616" s="2">
        <v>0.8930555555555556</v>
      </c>
      <c r="D1616">
        <v>57</v>
      </c>
      <c r="E1616" t="s">
        <v>11</v>
      </c>
      <c r="F1616">
        <v>61</v>
      </c>
      <c r="G1616" t="s">
        <v>12</v>
      </c>
      <c r="H1616">
        <v>1</v>
      </c>
      <c r="I1616">
        <v>25</v>
      </c>
      <c r="J1616">
        <v>29.25</v>
      </c>
      <c r="K1616">
        <v>25</v>
      </c>
    </row>
    <row r="1617" spans="1:11">
      <c r="A1617">
        <v>342</v>
      </c>
      <c r="B1617" s="1">
        <v>45235</v>
      </c>
      <c r="C1617" s="2">
        <v>0.72499999999999998</v>
      </c>
      <c r="D1617">
        <v>85</v>
      </c>
      <c r="E1617" t="s">
        <v>14</v>
      </c>
      <c r="F1617">
        <v>43</v>
      </c>
      <c r="G1617" t="s">
        <v>12</v>
      </c>
      <c r="H1617">
        <v>4</v>
      </c>
      <c r="I1617">
        <v>500</v>
      </c>
      <c r="J1617">
        <v>500</v>
      </c>
      <c r="K1617">
        <v>2000</v>
      </c>
    </row>
    <row r="1618" spans="1:11">
      <c r="A1618">
        <v>564</v>
      </c>
      <c r="B1618" s="1">
        <v>45181</v>
      </c>
      <c r="C1618" s="2">
        <v>0.84305555555555556</v>
      </c>
      <c r="D1618">
        <v>114</v>
      </c>
      <c r="E1618" t="s">
        <v>11</v>
      </c>
      <c r="F1618">
        <v>50</v>
      </c>
      <c r="G1618" t="s">
        <v>15</v>
      </c>
      <c r="H1618">
        <v>2</v>
      </c>
      <c r="I1618">
        <v>50</v>
      </c>
      <c r="J1618">
        <v>55.5</v>
      </c>
      <c r="K1618">
        <v>100</v>
      </c>
    </row>
    <row r="1619" spans="1:11">
      <c r="A1619">
        <v>767</v>
      </c>
      <c r="B1619" s="1">
        <v>44872</v>
      </c>
      <c r="C1619" s="2">
        <v>0.94722222222222219</v>
      </c>
      <c r="D1619">
        <v>72</v>
      </c>
      <c r="E1619" t="s">
        <v>11</v>
      </c>
      <c r="F1619">
        <v>39</v>
      </c>
      <c r="G1619" t="s">
        <v>13</v>
      </c>
      <c r="H1619">
        <v>3</v>
      </c>
      <c r="I1619">
        <v>25</v>
      </c>
      <c r="J1619">
        <v>24.5</v>
      </c>
      <c r="K1619">
        <v>75</v>
      </c>
    </row>
    <row r="1620" spans="1:11">
      <c r="A1620">
        <v>1318</v>
      </c>
      <c r="B1620" s="1">
        <v>44920</v>
      </c>
      <c r="C1620" s="2">
        <v>0.95625000000000004</v>
      </c>
      <c r="D1620">
        <v>55</v>
      </c>
      <c r="E1620" t="s">
        <v>11</v>
      </c>
      <c r="F1620">
        <v>61</v>
      </c>
      <c r="G1620" t="s">
        <v>12</v>
      </c>
      <c r="H1620">
        <v>1</v>
      </c>
      <c r="I1620">
        <v>25</v>
      </c>
      <c r="J1620">
        <v>27</v>
      </c>
      <c r="K1620">
        <v>25</v>
      </c>
    </row>
    <row r="1621" spans="1:11">
      <c r="A1621">
        <v>1342</v>
      </c>
      <c r="B1621" s="1">
        <v>44822</v>
      </c>
      <c r="C1621" s="2">
        <v>0.95833333333333337</v>
      </c>
      <c r="D1621">
        <v>114</v>
      </c>
      <c r="E1621" t="s">
        <v>14</v>
      </c>
      <c r="F1621">
        <v>43</v>
      </c>
      <c r="G1621" t="s">
        <v>12</v>
      </c>
      <c r="H1621">
        <v>4</v>
      </c>
      <c r="I1621">
        <v>500</v>
      </c>
      <c r="J1621">
        <v>485</v>
      </c>
      <c r="K1621">
        <v>2000</v>
      </c>
    </row>
    <row r="1622" spans="1:11">
      <c r="A1622">
        <v>1564</v>
      </c>
      <c r="B1622" s="1">
        <v>44838</v>
      </c>
      <c r="C1622" s="2">
        <v>0.95486111111111116</v>
      </c>
      <c r="D1622">
        <v>115</v>
      </c>
      <c r="E1622" t="s">
        <v>11</v>
      </c>
      <c r="F1622">
        <v>50</v>
      </c>
      <c r="G1622" t="s">
        <v>15</v>
      </c>
      <c r="H1622">
        <v>2</v>
      </c>
      <c r="I1622">
        <v>50</v>
      </c>
      <c r="J1622">
        <v>49.5</v>
      </c>
      <c r="K1622">
        <v>100</v>
      </c>
    </row>
    <row r="1623" spans="1:11">
      <c r="A1623">
        <v>1767</v>
      </c>
      <c r="B1623" s="1">
        <v>44905</v>
      </c>
      <c r="C1623" s="2">
        <v>0.73263888888888884</v>
      </c>
      <c r="D1623">
        <v>87</v>
      </c>
      <c r="E1623" t="s">
        <v>11</v>
      </c>
      <c r="F1623">
        <v>39</v>
      </c>
      <c r="G1623" t="s">
        <v>13</v>
      </c>
      <c r="H1623">
        <v>3</v>
      </c>
      <c r="I1623">
        <v>25</v>
      </c>
      <c r="J1623">
        <v>28.25</v>
      </c>
      <c r="K1623">
        <v>75</v>
      </c>
    </row>
    <row r="1624" spans="1:11">
      <c r="A1624">
        <v>503</v>
      </c>
      <c r="B1624" s="1">
        <v>45207</v>
      </c>
      <c r="C1624" s="2">
        <v>0.83750000000000002</v>
      </c>
      <c r="D1624">
        <v>63</v>
      </c>
      <c r="E1624" t="s">
        <v>11</v>
      </c>
      <c r="F1624">
        <v>45</v>
      </c>
      <c r="G1624" t="s">
        <v>13</v>
      </c>
      <c r="H1624">
        <v>4</v>
      </c>
      <c r="I1624">
        <v>500</v>
      </c>
      <c r="J1624">
        <v>570</v>
      </c>
      <c r="K1624">
        <v>2000</v>
      </c>
    </row>
    <row r="1625" spans="1:11">
      <c r="A1625">
        <v>869</v>
      </c>
      <c r="B1625" s="1">
        <v>44812</v>
      </c>
      <c r="C1625" s="2">
        <v>0.92777777777777781</v>
      </c>
      <c r="D1625">
        <v>51</v>
      </c>
      <c r="E1625" t="s">
        <v>11</v>
      </c>
      <c r="F1625">
        <v>37</v>
      </c>
      <c r="G1625" t="s">
        <v>13</v>
      </c>
      <c r="H1625">
        <v>3</v>
      </c>
      <c r="I1625">
        <v>500</v>
      </c>
      <c r="J1625">
        <v>485</v>
      </c>
      <c r="K1625">
        <v>1500</v>
      </c>
    </row>
    <row r="1626" spans="1:11">
      <c r="A1626">
        <v>1503</v>
      </c>
      <c r="B1626" s="1">
        <v>44851</v>
      </c>
      <c r="C1626" s="2">
        <v>0.76944444444444449</v>
      </c>
      <c r="D1626">
        <v>67</v>
      </c>
      <c r="E1626" t="s">
        <v>11</v>
      </c>
      <c r="F1626">
        <v>45</v>
      </c>
      <c r="G1626" t="s">
        <v>13</v>
      </c>
      <c r="H1626">
        <v>4</v>
      </c>
      <c r="I1626">
        <v>500</v>
      </c>
      <c r="J1626">
        <v>605</v>
      </c>
      <c r="K1626">
        <v>2000</v>
      </c>
    </row>
    <row r="1627" spans="1:11">
      <c r="A1627">
        <v>1869</v>
      </c>
      <c r="B1627" s="1">
        <v>44857</v>
      </c>
      <c r="C1627" s="2">
        <v>0.82708333333333328</v>
      </c>
      <c r="D1627">
        <v>113</v>
      </c>
      <c r="E1627" t="s">
        <v>11</v>
      </c>
      <c r="F1627">
        <v>37</v>
      </c>
      <c r="G1627" t="s">
        <v>13</v>
      </c>
      <c r="H1627">
        <v>3</v>
      </c>
      <c r="I1627">
        <v>500</v>
      </c>
      <c r="J1627">
        <v>605</v>
      </c>
      <c r="K1627">
        <v>1500</v>
      </c>
    </row>
    <row r="1628" spans="1:11">
      <c r="A1628">
        <v>126</v>
      </c>
      <c r="B1628" s="1">
        <v>44866</v>
      </c>
      <c r="C1628" s="2">
        <v>0.76111111111111107</v>
      </c>
      <c r="D1628">
        <v>63</v>
      </c>
      <c r="E1628" t="s">
        <v>14</v>
      </c>
      <c r="F1628">
        <v>28</v>
      </c>
      <c r="G1628" t="s">
        <v>12</v>
      </c>
      <c r="H1628">
        <v>3</v>
      </c>
      <c r="I1628">
        <v>30</v>
      </c>
      <c r="J1628">
        <v>28.8</v>
      </c>
      <c r="K1628">
        <v>90</v>
      </c>
    </row>
    <row r="1629" spans="1:11">
      <c r="A1629">
        <v>349</v>
      </c>
      <c r="B1629" s="1">
        <v>45264</v>
      </c>
      <c r="C1629" s="2">
        <v>0.71180555555555558</v>
      </c>
      <c r="D1629">
        <v>78</v>
      </c>
      <c r="E1629" t="s">
        <v>14</v>
      </c>
      <c r="F1629">
        <v>57</v>
      </c>
      <c r="G1629" t="s">
        <v>13</v>
      </c>
      <c r="H1629">
        <v>1</v>
      </c>
      <c r="I1629">
        <v>50</v>
      </c>
      <c r="J1629">
        <v>48.5</v>
      </c>
      <c r="K1629">
        <v>50</v>
      </c>
    </row>
    <row r="1630" spans="1:11">
      <c r="A1630">
        <v>440</v>
      </c>
      <c r="B1630" s="1">
        <v>45252</v>
      </c>
      <c r="C1630" s="2">
        <v>0.84375</v>
      </c>
      <c r="D1630">
        <v>110</v>
      </c>
      <c r="E1630" t="s">
        <v>11</v>
      </c>
      <c r="F1630">
        <v>64</v>
      </c>
      <c r="G1630" t="s">
        <v>12</v>
      </c>
      <c r="H1630">
        <v>2</v>
      </c>
      <c r="I1630">
        <v>300</v>
      </c>
      <c r="J1630">
        <v>348</v>
      </c>
      <c r="K1630">
        <v>600</v>
      </c>
    </row>
    <row r="1631" spans="1:11">
      <c r="A1631">
        <v>1126</v>
      </c>
      <c r="B1631" s="1">
        <v>44816</v>
      </c>
      <c r="C1631" s="2">
        <v>0.71666666666666667</v>
      </c>
      <c r="D1631">
        <v>62</v>
      </c>
      <c r="E1631" t="s">
        <v>14</v>
      </c>
      <c r="F1631">
        <v>28</v>
      </c>
      <c r="G1631" t="s">
        <v>12</v>
      </c>
      <c r="H1631">
        <v>3</v>
      </c>
      <c r="I1631">
        <v>30</v>
      </c>
      <c r="J1631">
        <v>28.8</v>
      </c>
      <c r="K1631">
        <v>90</v>
      </c>
    </row>
    <row r="1632" spans="1:11">
      <c r="A1632">
        <v>1349</v>
      </c>
      <c r="B1632" s="1">
        <v>45268</v>
      </c>
      <c r="C1632" s="2">
        <v>0.9145833333333333</v>
      </c>
      <c r="D1632">
        <v>112</v>
      </c>
      <c r="E1632" t="s">
        <v>14</v>
      </c>
      <c r="F1632">
        <v>57</v>
      </c>
      <c r="G1632" t="s">
        <v>13</v>
      </c>
      <c r="H1632">
        <v>1</v>
      </c>
      <c r="I1632">
        <v>50</v>
      </c>
      <c r="J1632">
        <v>49.5</v>
      </c>
      <c r="K1632">
        <v>50</v>
      </c>
    </row>
    <row r="1633" spans="1:11">
      <c r="A1633">
        <v>1440</v>
      </c>
      <c r="B1633" s="1">
        <v>45170</v>
      </c>
      <c r="C1633" s="2">
        <v>0.80555555555555558</v>
      </c>
      <c r="D1633">
        <v>86</v>
      </c>
      <c r="E1633" t="s">
        <v>11</v>
      </c>
      <c r="F1633">
        <v>64</v>
      </c>
      <c r="G1633" t="s">
        <v>12</v>
      </c>
      <c r="H1633">
        <v>2</v>
      </c>
      <c r="I1633">
        <v>300</v>
      </c>
      <c r="J1633">
        <v>354</v>
      </c>
      <c r="K1633">
        <v>600</v>
      </c>
    </row>
    <row r="1634" spans="1:11">
      <c r="A1634">
        <v>124</v>
      </c>
      <c r="B1634" s="1">
        <v>44919</v>
      </c>
      <c r="C1634" s="2">
        <v>0.88680555555555551</v>
      </c>
      <c r="D1634">
        <v>83</v>
      </c>
      <c r="E1634" t="s">
        <v>11</v>
      </c>
      <c r="F1634">
        <v>33</v>
      </c>
      <c r="G1634" t="s">
        <v>12</v>
      </c>
      <c r="H1634">
        <v>4</v>
      </c>
      <c r="I1634">
        <v>500</v>
      </c>
      <c r="J1634">
        <v>515</v>
      </c>
      <c r="K1634">
        <v>2000</v>
      </c>
    </row>
    <row r="1635" spans="1:11">
      <c r="A1635">
        <v>324</v>
      </c>
      <c r="B1635" s="1">
        <v>44880</v>
      </c>
      <c r="C1635" s="2">
        <v>0.74444444444444446</v>
      </c>
      <c r="D1635">
        <v>54</v>
      </c>
      <c r="E1635" t="s">
        <v>14</v>
      </c>
      <c r="F1635">
        <v>52</v>
      </c>
      <c r="G1635" t="s">
        <v>15</v>
      </c>
      <c r="H1635">
        <v>3</v>
      </c>
      <c r="I1635">
        <v>50</v>
      </c>
      <c r="J1635">
        <v>49</v>
      </c>
      <c r="K1635">
        <v>150</v>
      </c>
    </row>
    <row r="1636" spans="1:11">
      <c r="A1636">
        <v>677</v>
      </c>
      <c r="B1636" s="1">
        <v>44912</v>
      </c>
      <c r="C1636" s="2">
        <v>0.88402777777777775</v>
      </c>
      <c r="D1636">
        <v>65</v>
      </c>
      <c r="E1636" t="s">
        <v>14</v>
      </c>
      <c r="F1636">
        <v>19</v>
      </c>
      <c r="G1636" t="s">
        <v>13</v>
      </c>
      <c r="H1636">
        <v>3</v>
      </c>
      <c r="I1636">
        <v>500</v>
      </c>
      <c r="J1636">
        <v>555</v>
      </c>
      <c r="K1636">
        <v>1500</v>
      </c>
    </row>
    <row r="1637" spans="1:11">
      <c r="A1637">
        <v>1124</v>
      </c>
      <c r="B1637" s="1">
        <v>45205</v>
      </c>
      <c r="C1637" s="2">
        <v>0.83611111111111114</v>
      </c>
      <c r="D1637">
        <v>83</v>
      </c>
      <c r="E1637" t="s">
        <v>11</v>
      </c>
      <c r="F1637">
        <v>33</v>
      </c>
      <c r="G1637" t="s">
        <v>12</v>
      </c>
      <c r="H1637">
        <v>4</v>
      </c>
      <c r="I1637">
        <v>500</v>
      </c>
      <c r="J1637">
        <v>515</v>
      </c>
      <c r="K1637">
        <v>2000</v>
      </c>
    </row>
    <row r="1638" spans="1:11">
      <c r="A1638">
        <v>1324</v>
      </c>
      <c r="B1638" s="1">
        <v>45194</v>
      </c>
      <c r="C1638" s="2">
        <v>0.85347222222222219</v>
      </c>
      <c r="D1638">
        <v>56</v>
      </c>
      <c r="E1638" t="s">
        <v>14</v>
      </c>
      <c r="F1638">
        <v>52</v>
      </c>
      <c r="G1638" t="s">
        <v>15</v>
      </c>
      <c r="H1638">
        <v>3</v>
      </c>
      <c r="I1638">
        <v>50</v>
      </c>
      <c r="J1638">
        <v>55</v>
      </c>
      <c r="K1638">
        <v>150</v>
      </c>
    </row>
    <row r="1639" spans="1:11">
      <c r="A1639">
        <v>1677</v>
      </c>
      <c r="B1639" s="1">
        <v>44836</v>
      </c>
      <c r="C1639" s="2">
        <v>0.86875000000000002</v>
      </c>
      <c r="D1639">
        <v>84</v>
      </c>
      <c r="E1639" t="s">
        <v>14</v>
      </c>
      <c r="F1639">
        <v>19</v>
      </c>
      <c r="G1639" t="s">
        <v>13</v>
      </c>
      <c r="H1639">
        <v>3</v>
      </c>
      <c r="I1639">
        <v>500</v>
      </c>
      <c r="J1639">
        <v>490</v>
      </c>
      <c r="K1639">
        <v>1500</v>
      </c>
    </row>
    <row r="1640" spans="1:11">
      <c r="A1640">
        <v>30</v>
      </c>
      <c r="B1640" s="1">
        <v>45209</v>
      </c>
      <c r="C1640" s="2">
        <v>0.83680555555555558</v>
      </c>
      <c r="D1640">
        <v>59</v>
      </c>
      <c r="E1640" t="s">
        <v>14</v>
      </c>
      <c r="F1640">
        <v>39</v>
      </c>
      <c r="G1640" t="s">
        <v>13</v>
      </c>
      <c r="H1640">
        <v>3</v>
      </c>
      <c r="I1640">
        <v>300</v>
      </c>
      <c r="J1640">
        <v>285</v>
      </c>
      <c r="K1640">
        <v>900</v>
      </c>
    </row>
    <row r="1641" spans="1:11">
      <c r="A1641">
        <v>226</v>
      </c>
      <c r="B1641" s="1">
        <v>44827</v>
      </c>
      <c r="C1641" s="2">
        <v>0.70972222222222225</v>
      </c>
      <c r="D1641">
        <v>69</v>
      </c>
      <c r="E1641" t="s">
        <v>14</v>
      </c>
      <c r="F1641">
        <v>61</v>
      </c>
      <c r="G1641" t="s">
        <v>12</v>
      </c>
      <c r="H1641">
        <v>1</v>
      </c>
      <c r="I1641">
        <v>50</v>
      </c>
      <c r="J1641">
        <v>57.5</v>
      </c>
      <c r="K1641">
        <v>50</v>
      </c>
    </row>
    <row r="1642" spans="1:11">
      <c r="A1642">
        <v>229</v>
      </c>
      <c r="B1642" s="1">
        <v>45239</v>
      </c>
      <c r="C1642" s="2">
        <v>0.80763888888888891</v>
      </c>
      <c r="D1642">
        <v>92</v>
      </c>
      <c r="E1642" t="s">
        <v>11</v>
      </c>
      <c r="F1642">
        <v>58</v>
      </c>
      <c r="G1642" t="s">
        <v>13</v>
      </c>
      <c r="H1642">
        <v>3</v>
      </c>
      <c r="I1642">
        <v>30</v>
      </c>
      <c r="J1642">
        <v>36.9</v>
      </c>
      <c r="K1642">
        <v>90</v>
      </c>
    </row>
    <row r="1643" spans="1:11">
      <c r="A1643">
        <v>896</v>
      </c>
      <c r="B1643" s="1">
        <v>45290</v>
      </c>
      <c r="C1643" s="2">
        <v>0.80347222222222225</v>
      </c>
      <c r="D1643">
        <v>56</v>
      </c>
      <c r="E1643" t="s">
        <v>14</v>
      </c>
      <c r="F1643">
        <v>30</v>
      </c>
      <c r="G1643" t="s">
        <v>15</v>
      </c>
      <c r="H1643">
        <v>2</v>
      </c>
      <c r="I1643">
        <v>25</v>
      </c>
      <c r="J1643">
        <v>30.75</v>
      </c>
      <c r="K1643">
        <v>50</v>
      </c>
    </row>
    <row r="1644" spans="1:11">
      <c r="A1644">
        <v>959</v>
      </c>
      <c r="B1644" s="1">
        <v>44822</v>
      </c>
      <c r="C1644" s="2">
        <v>0.74930555555555556</v>
      </c>
      <c r="D1644">
        <v>54</v>
      </c>
      <c r="E1644" t="s">
        <v>14</v>
      </c>
      <c r="F1644">
        <v>42</v>
      </c>
      <c r="G1644" t="s">
        <v>15</v>
      </c>
      <c r="H1644">
        <v>2</v>
      </c>
      <c r="I1644">
        <v>30</v>
      </c>
      <c r="J1644">
        <v>28.5</v>
      </c>
      <c r="K1644">
        <v>60</v>
      </c>
    </row>
    <row r="1645" spans="1:11">
      <c r="A1645">
        <v>998</v>
      </c>
      <c r="B1645" s="1">
        <v>45220</v>
      </c>
      <c r="C1645" s="2">
        <v>0.73055555555555551</v>
      </c>
      <c r="D1645">
        <v>61</v>
      </c>
      <c r="E1645" t="s">
        <v>14</v>
      </c>
      <c r="F1645">
        <v>23</v>
      </c>
      <c r="G1645" t="s">
        <v>13</v>
      </c>
      <c r="H1645">
        <v>4</v>
      </c>
      <c r="I1645">
        <v>25</v>
      </c>
      <c r="J1645">
        <v>30.5</v>
      </c>
      <c r="K1645">
        <v>100</v>
      </c>
    </row>
    <row r="1646" spans="1:11">
      <c r="A1646">
        <v>1030</v>
      </c>
      <c r="B1646" s="1">
        <v>44892</v>
      </c>
      <c r="C1646" s="2">
        <v>0.75138888888888888</v>
      </c>
      <c r="D1646">
        <v>96</v>
      </c>
      <c r="E1646" t="s">
        <v>14</v>
      </c>
      <c r="F1646">
        <v>39</v>
      </c>
      <c r="G1646" t="s">
        <v>13</v>
      </c>
      <c r="H1646">
        <v>3</v>
      </c>
      <c r="I1646">
        <v>300</v>
      </c>
      <c r="J1646">
        <v>309</v>
      </c>
      <c r="K1646">
        <v>900</v>
      </c>
    </row>
    <row r="1647" spans="1:11">
      <c r="A1647">
        <v>1226</v>
      </c>
      <c r="B1647" s="1">
        <v>45260</v>
      </c>
      <c r="C1647" s="2">
        <v>0.74444444444444446</v>
      </c>
      <c r="D1647">
        <v>102</v>
      </c>
      <c r="E1647" t="s">
        <v>14</v>
      </c>
      <c r="F1647">
        <v>61</v>
      </c>
      <c r="G1647" t="s">
        <v>12</v>
      </c>
      <c r="H1647">
        <v>1</v>
      </c>
      <c r="I1647">
        <v>50</v>
      </c>
      <c r="J1647">
        <v>51</v>
      </c>
      <c r="K1647">
        <v>50</v>
      </c>
    </row>
    <row r="1648" spans="1:11">
      <c r="A1648">
        <v>1229</v>
      </c>
      <c r="B1648" s="1">
        <v>45232</v>
      </c>
      <c r="C1648" s="2">
        <v>0.88055555555555554</v>
      </c>
      <c r="D1648">
        <v>62</v>
      </c>
      <c r="E1648" t="s">
        <v>11</v>
      </c>
      <c r="F1648">
        <v>58</v>
      </c>
      <c r="G1648" t="s">
        <v>13</v>
      </c>
      <c r="H1648">
        <v>3</v>
      </c>
      <c r="I1648">
        <v>30</v>
      </c>
      <c r="J1648">
        <v>34.5</v>
      </c>
      <c r="K1648">
        <v>90</v>
      </c>
    </row>
    <row r="1649" spans="1:11">
      <c r="A1649">
        <v>1896</v>
      </c>
      <c r="B1649" s="1">
        <v>44870</v>
      </c>
      <c r="C1649" s="2">
        <v>0.84652777777777777</v>
      </c>
      <c r="D1649">
        <v>87</v>
      </c>
      <c r="E1649" t="s">
        <v>14</v>
      </c>
      <c r="F1649">
        <v>30</v>
      </c>
      <c r="G1649" t="s">
        <v>15</v>
      </c>
      <c r="H1649">
        <v>2</v>
      </c>
      <c r="I1649">
        <v>25</v>
      </c>
      <c r="J1649">
        <v>30.75</v>
      </c>
      <c r="K1649">
        <v>50</v>
      </c>
    </row>
    <row r="1650" spans="1:11">
      <c r="A1650">
        <v>1959</v>
      </c>
      <c r="B1650" s="1">
        <v>44842</v>
      </c>
      <c r="C1650" s="2">
        <v>0.8305555555555556</v>
      </c>
      <c r="D1650">
        <v>95</v>
      </c>
      <c r="E1650" t="s">
        <v>14</v>
      </c>
      <c r="F1650">
        <v>42</v>
      </c>
      <c r="G1650" t="s">
        <v>15</v>
      </c>
      <c r="H1650">
        <v>2</v>
      </c>
      <c r="I1650">
        <v>30</v>
      </c>
      <c r="J1650">
        <v>34.200000000000003</v>
      </c>
      <c r="K1650">
        <v>60</v>
      </c>
    </row>
    <row r="1651" spans="1:11">
      <c r="A1651">
        <v>1998</v>
      </c>
      <c r="B1651" s="1">
        <v>45219</v>
      </c>
      <c r="C1651" s="2">
        <v>0.82847222222222228</v>
      </c>
      <c r="D1651">
        <v>90</v>
      </c>
      <c r="E1651" t="s">
        <v>14</v>
      </c>
      <c r="F1651">
        <v>23</v>
      </c>
      <c r="G1651" t="s">
        <v>13</v>
      </c>
      <c r="H1651">
        <v>4</v>
      </c>
      <c r="I1651">
        <v>25</v>
      </c>
      <c r="J1651">
        <v>24</v>
      </c>
      <c r="K1651">
        <v>100</v>
      </c>
    </row>
    <row r="1652" spans="1:11">
      <c r="A1652">
        <v>12</v>
      </c>
      <c r="B1652" s="1">
        <v>44904</v>
      </c>
      <c r="C1652" s="2">
        <v>0.92291666666666672</v>
      </c>
      <c r="D1652">
        <v>114</v>
      </c>
      <c r="E1652" t="s">
        <v>11</v>
      </c>
      <c r="F1652">
        <v>35</v>
      </c>
      <c r="G1652" t="s">
        <v>13</v>
      </c>
      <c r="H1652">
        <v>3</v>
      </c>
      <c r="I1652">
        <v>25</v>
      </c>
      <c r="J1652">
        <v>25.25</v>
      </c>
      <c r="K1652">
        <v>75</v>
      </c>
    </row>
    <row r="1653" spans="1:11">
      <c r="A1653">
        <v>1012</v>
      </c>
      <c r="B1653" s="1">
        <v>44903</v>
      </c>
      <c r="C1653" s="2">
        <v>0.78263888888888888</v>
      </c>
      <c r="D1653">
        <v>56</v>
      </c>
      <c r="E1653" t="s">
        <v>11</v>
      </c>
      <c r="F1653">
        <v>35</v>
      </c>
      <c r="G1653" t="s">
        <v>13</v>
      </c>
      <c r="H1653">
        <v>3</v>
      </c>
      <c r="I1653">
        <v>25</v>
      </c>
      <c r="J1653">
        <v>27.25</v>
      </c>
      <c r="K1653">
        <v>75</v>
      </c>
    </row>
    <row r="1654" spans="1:11">
      <c r="A1654">
        <v>710</v>
      </c>
      <c r="B1654" s="1">
        <v>44807</v>
      </c>
      <c r="C1654" s="2">
        <v>0.88263888888888886</v>
      </c>
      <c r="D1654">
        <v>71</v>
      </c>
      <c r="E1654" t="s">
        <v>14</v>
      </c>
      <c r="F1654">
        <v>26</v>
      </c>
      <c r="G1654" t="s">
        <v>15</v>
      </c>
      <c r="H1654">
        <v>3</v>
      </c>
      <c r="I1654">
        <v>500</v>
      </c>
      <c r="J1654">
        <v>495</v>
      </c>
      <c r="K1654">
        <v>1500</v>
      </c>
    </row>
    <row r="1655" spans="1:11">
      <c r="A1655">
        <v>776</v>
      </c>
      <c r="B1655" s="1">
        <v>45177</v>
      </c>
      <c r="C1655" s="2">
        <v>0.7895833333333333</v>
      </c>
      <c r="D1655">
        <v>109</v>
      </c>
      <c r="E1655" t="s">
        <v>11</v>
      </c>
      <c r="F1655">
        <v>35</v>
      </c>
      <c r="G1655" t="s">
        <v>12</v>
      </c>
      <c r="H1655">
        <v>3</v>
      </c>
      <c r="I1655">
        <v>30</v>
      </c>
      <c r="J1655">
        <v>30.9</v>
      </c>
      <c r="K1655">
        <v>90</v>
      </c>
    </row>
    <row r="1656" spans="1:11">
      <c r="A1656">
        <v>817</v>
      </c>
      <c r="B1656" s="1">
        <v>44839</v>
      </c>
      <c r="C1656" s="2">
        <v>0.8833333333333333</v>
      </c>
      <c r="D1656">
        <v>87</v>
      </c>
      <c r="E1656" t="s">
        <v>11</v>
      </c>
      <c r="F1656">
        <v>30</v>
      </c>
      <c r="G1656" t="s">
        <v>13</v>
      </c>
      <c r="H1656">
        <v>4</v>
      </c>
      <c r="I1656">
        <v>50</v>
      </c>
      <c r="J1656">
        <v>49</v>
      </c>
      <c r="K1656">
        <v>200</v>
      </c>
    </row>
    <row r="1657" spans="1:11">
      <c r="A1657">
        <v>1710</v>
      </c>
      <c r="B1657" s="1">
        <v>44857</v>
      </c>
      <c r="C1657" s="2">
        <v>0.84305555555555556</v>
      </c>
      <c r="D1657">
        <v>104</v>
      </c>
      <c r="E1657" t="s">
        <v>14</v>
      </c>
      <c r="F1657">
        <v>26</v>
      </c>
      <c r="G1657" t="s">
        <v>15</v>
      </c>
      <c r="H1657">
        <v>3</v>
      </c>
      <c r="I1657">
        <v>500</v>
      </c>
      <c r="J1657">
        <v>610</v>
      </c>
      <c r="K1657">
        <v>1500</v>
      </c>
    </row>
    <row r="1658" spans="1:11">
      <c r="A1658">
        <v>1776</v>
      </c>
      <c r="B1658" s="1">
        <v>44857</v>
      </c>
      <c r="C1658" s="2">
        <v>0.83819444444444446</v>
      </c>
      <c r="D1658">
        <v>111</v>
      </c>
      <c r="E1658" t="s">
        <v>11</v>
      </c>
      <c r="F1658">
        <v>35</v>
      </c>
      <c r="G1658" t="s">
        <v>12</v>
      </c>
      <c r="H1658">
        <v>3</v>
      </c>
      <c r="I1658">
        <v>30</v>
      </c>
      <c r="J1658">
        <v>32.1</v>
      </c>
      <c r="K1658">
        <v>90</v>
      </c>
    </row>
    <row r="1659" spans="1:11">
      <c r="A1659">
        <v>1817</v>
      </c>
      <c r="B1659" s="1">
        <v>44815</v>
      </c>
      <c r="C1659" s="2">
        <v>0.89027777777777772</v>
      </c>
      <c r="D1659">
        <v>82</v>
      </c>
      <c r="E1659" t="s">
        <v>11</v>
      </c>
      <c r="F1659">
        <v>30</v>
      </c>
      <c r="G1659" t="s">
        <v>13</v>
      </c>
      <c r="H1659">
        <v>4</v>
      </c>
      <c r="I1659">
        <v>50</v>
      </c>
      <c r="J1659">
        <v>50</v>
      </c>
      <c r="K1659">
        <v>200</v>
      </c>
    </row>
    <row r="1660" spans="1:11">
      <c r="A1660">
        <v>334</v>
      </c>
      <c r="B1660" s="1">
        <v>44850</v>
      </c>
      <c r="C1660" s="2">
        <v>0.85902777777777772</v>
      </c>
      <c r="D1660">
        <v>103</v>
      </c>
      <c r="E1660" t="s">
        <v>11</v>
      </c>
      <c r="F1660">
        <v>31</v>
      </c>
      <c r="G1660" t="s">
        <v>15</v>
      </c>
      <c r="H1660">
        <v>3</v>
      </c>
      <c r="I1660">
        <v>300</v>
      </c>
      <c r="J1660">
        <v>360</v>
      </c>
      <c r="K1660">
        <v>900</v>
      </c>
    </row>
    <row r="1661" spans="1:11">
      <c r="A1661">
        <v>343</v>
      </c>
      <c r="B1661" s="1">
        <v>44874</v>
      </c>
      <c r="C1661" s="2">
        <v>0.78055555555555556</v>
      </c>
      <c r="D1661">
        <v>68</v>
      </c>
      <c r="E1661" t="s">
        <v>11</v>
      </c>
      <c r="F1661">
        <v>21</v>
      </c>
      <c r="G1661" t="s">
        <v>15</v>
      </c>
      <c r="H1661">
        <v>2</v>
      </c>
      <c r="I1661">
        <v>25</v>
      </c>
      <c r="J1661">
        <v>30</v>
      </c>
      <c r="K1661">
        <v>50</v>
      </c>
    </row>
    <row r="1662" spans="1:11">
      <c r="A1662">
        <v>628</v>
      </c>
      <c r="B1662" s="1">
        <v>45283</v>
      </c>
      <c r="C1662" s="2">
        <v>0.75</v>
      </c>
      <c r="D1662">
        <v>66</v>
      </c>
      <c r="E1662" t="s">
        <v>14</v>
      </c>
      <c r="F1662">
        <v>19</v>
      </c>
      <c r="G1662" t="s">
        <v>13</v>
      </c>
      <c r="H1662">
        <v>4</v>
      </c>
      <c r="I1662">
        <v>50</v>
      </c>
      <c r="J1662">
        <v>59.5</v>
      </c>
      <c r="K1662">
        <v>200</v>
      </c>
    </row>
    <row r="1663" spans="1:11">
      <c r="A1663">
        <v>983</v>
      </c>
      <c r="B1663" s="1">
        <v>44844</v>
      </c>
      <c r="C1663" s="2">
        <v>0.84166666666666667</v>
      </c>
      <c r="D1663">
        <v>61</v>
      </c>
      <c r="E1663" t="s">
        <v>14</v>
      </c>
      <c r="F1663">
        <v>29</v>
      </c>
      <c r="G1663" t="s">
        <v>12</v>
      </c>
      <c r="H1663">
        <v>1</v>
      </c>
      <c r="I1663">
        <v>300</v>
      </c>
      <c r="J1663">
        <v>345</v>
      </c>
      <c r="K1663">
        <v>300</v>
      </c>
    </row>
    <row r="1664" spans="1:11">
      <c r="A1664">
        <v>1334</v>
      </c>
      <c r="B1664" s="1">
        <v>44825</v>
      </c>
      <c r="C1664" s="2">
        <v>0.85902777777777772</v>
      </c>
      <c r="D1664">
        <v>60</v>
      </c>
      <c r="E1664" t="s">
        <v>11</v>
      </c>
      <c r="F1664">
        <v>31</v>
      </c>
      <c r="G1664" t="s">
        <v>15</v>
      </c>
      <c r="H1664">
        <v>3</v>
      </c>
      <c r="I1664">
        <v>300</v>
      </c>
      <c r="J1664">
        <v>366</v>
      </c>
      <c r="K1664">
        <v>900</v>
      </c>
    </row>
    <row r="1665" spans="1:11">
      <c r="A1665">
        <v>1343</v>
      </c>
      <c r="B1665" s="1">
        <v>45220</v>
      </c>
      <c r="C1665" s="2">
        <v>0.84027777777777779</v>
      </c>
      <c r="D1665">
        <v>87</v>
      </c>
      <c r="E1665" t="s">
        <v>11</v>
      </c>
      <c r="F1665">
        <v>21</v>
      </c>
      <c r="G1665" t="s">
        <v>15</v>
      </c>
      <c r="H1665">
        <v>2</v>
      </c>
      <c r="I1665">
        <v>25</v>
      </c>
      <c r="J1665">
        <v>28.5</v>
      </c>
      <c r="K1665">
        <v>50</v>
      </c>
    </row>
    <row r="1666" spans="1:11">
      <c r="A1666">
        <v>1628</v>
      </c>
      <c r="B1666" s="1">
        <v>44923</v>
      </c>
      <c r="C1666" s="2">
        <v>0.93263888888888891</v>
      </c>
      <c r="D1666">
        <v>51</v>
      </c>
      <c r="E1666" t="s">
        <v>14</v>
      </c>
      <c r="F1666">
        <v>19</v>
      </c>
      <c r="G1666" t="s">
        <v>13</v>
      </c>
      <c r="H1666">
        <v>4</v>
      </c>
      <c r="I1666">
        <v>50</v>
      </c>
      <c r="J1666">
        <v>58.5</v>
      </c>
      <c r="K1666">
        <v>200</v>
      </c>
    </row>
    <row r="1667" spans="1:11">
      <c r="A1667">
        <v>1983</v>
      </c>
      <c r="B1667" s="1">
        <v>44916</v>
      </c>
      <c r="C1667" s="2">
        <v>0.90138888888888891</v>
      </c>
      <c r="D1667">
        <v>114</v>
      </c>
      <c r="E1667" t="s">
        <v>14</v>
      </c>
      <c r="F1667">
        <v>29</v>
      </c>
      <c r="G1667" t="s">
        <v>12</v>
      </c>
      <c r="H1667">
        <v>1</v>
      </c>
      <c r="I1667">
        <v>300</v>
      </c>
      <c r="J1667">
        <v>303</v>
      </c>
      <c r="K1667">
        <v>300</v>
      </c>
    </row>
    <row r="1668" spans="1:11">
      <c r="A1668">
        <v>141</v>
      </c>
      <c r="B1668" s="1">
        <v>44866</v>
      </c>
      <c r="C1668" s="2">
        <v>0.80972222222222223</v>
      </c>
      <c r="D1668">
        <v>54</v>
      </c>
      <c r="E1668" t="s">
        <v>14</v>
      </c>
      <c r="F1668">
        <v>22</v>
      </c>
      <c r="G1668" t="s">
        <v>15</v>
      </c>
      <c r="H1668">
        <v>1</v>
      </c>
      <c r="I1668">
        <v>50</v>
      </c>
      <c r="J1668">
        <v>59</v>
      </c>
      <c r="K1668">
        <v>50</v>
      </c>
    </row>
    <row r="1669" spans="1:11">
      <c r="A1669">
        <v>145</v>
      </c>
      <c r="B1669" s="1">
        <v>44871</v>
      </c>
      <c r="C1669" s="2">
        <v>0.80625000000000002</v>
      </c>
      <c r="D1669">
        <v>64</v>
      </c>
      <c r="E1669" t="s">
        <v>14</v>
      </c>
      <c r="F1669">
        <v>39</v>
      </c>
      <c r="G1669" t="s">
        <v>12</v>
      </c>
      <c r="H1669">
        <v>3</v>
      </c>
      <c r="I1669">
        <v>25</v>
      </c>
      <c r="J1669">
        <v>27.5</v>
      </c>
      <c r="K1669">
        <v>75</v>
      </c>
    </row>
    <row r="1670" spans="1:11">
      <c r="A1670">
        <v>507</v>
      </c>
      <c r="B1670" s="1">
        <v>44906</v>
      </c>
      <c r="C1670" s="2">
        <v>0.90277777777777779</v>
      </c>
      <c r="D1670">
        <v>52</v>
      </c>
      <c r="E1670" t="s">
        <v>14</v>
      </c>
      <c r="F1670">
        <v>37</v>
      </c>
      <c r="G1670" t="s">
        <v>15</v>
      </c>
      <c r="H1670">
        <v>3</v>
      </c>
      <c r="I1670">
        <v>500</v>
      </c>
      <c r="J1670">
        <v>485</v>
      </c>
      <c r="K1670">
        <v>1500</v>
      </c>
    </row>
    <row r="1671" spans="1:11">
      <c r="A1671">
        <v>841</v>
      </c>
      <c r="B1671" s="1">
        <v>44913</v>
      </c>
      <c r="C1671" s="2">
        <v>0.87361111111111112</v>
      </c>
      <c r="D1671">
        <v>108</v>
      </c>
      <c r="E1671" t="s">
        <v>11</v>
      </c>
      <c r="F1671">
        <v>31</v>
      </c>
      <c r="G1671" t="s">
        <v>15</v>
      </c>
      <c r="H1671">
        <v>4</v>
      </c>
      <c r="I1671">
        <v>25</v>
      </c>
      <c r="J1671">
        <v>28.5</v>
      </c>
      <c r="K1671">
        <v>100</v>
      </c>
    </row>
    <row r="1672" spans="1:11">
      <c r="A1672">
        <v>898</v>
      </c>
      <c r="B1672" s="1">
        <v>45186</v>
      </c>
      <c r="C1672" s="2">
        <v>0.87152777777777779</v>
      </c>
      <c r="D1672">
        <v>53</v>
      </c>
      <c r="E1672" t="s">
        <v>14</v>
      </c>
      <c r="F1672">
        <v>42</v>
      </c>
      <c r="G1672" t="s">
        <v>12</v>
      </c>
      <c r="H1672">
        <v>3</v>
      </c>
      <c r="I1672">
        <v>30</v>
      </c>
      <c r="J1672">
        <v>35.1</v>
      </c>
      <c r="K1672">
        <v>90</v>
      </c>
    </row>
    <row r="1673" spans="1:11">
      <c r="A1673">
        <v>951</v>
      </c>
      <c r="B1673" s="1">
        <v>44822</v>
      </c>
      <c r="C1673" s="2">
        <v>0.89930555555555558</v>
      </c>
      <c r="D1673">
        <v>58</v>
      </c>
      <c r="E1673" t="s">
        <v>11</v>
      </c>
      <c r="F1673">
        <v>33</v>
      </c>
      <c r="G1673" t="s">
        <v>13</v>
      </c>
      <c r="H1673">
        <v>2</v>
      </c>
      <c r="I1673">
        <v>50</v>
      </c>
      <c r="J1673">
        <v>57.5</v>
      </c>
      <c r="K1673">
        <v>100</v>
      </c>
    </row>
    <row r="1674" spans="1:11">
      <c r="A1674">
        <v>1141</v>
      </c>
      <c r="B1674" s="1">
        <v>45186</v>
      </c>
      <c r="C1674" s="2">
        <v>0.80069444444444449</v>
      </c>
      <c r="D1674">
        <v>65</v>
      </c>
      <c r="E1674" t="s">
        <v>14</v>
      </c>
      <c r="F1674">
        <v>22</v>
      </c>
      <c r="G1674" t="s">
        <v>15</v>
      </c>
      <c r="H1674">
        <v>1</v>
      </c>
      <c r="I1674">
        <v>50</v>
      </c>
      <c r="J1674">
        <v>58</v>
      </c>
      <c r="K1674">
        <v>50</v>
      </c>
    </row>
    <row r="1675" spans="1:11">
      <c r="A1675">
        <v>1145</v>
      </c>
      <c r="B1675" s="1">
        <v>45170</v>
      </c>
      <c r="C1675" s="2">
        <v>0.80486111111111114</v>
      </c>
      <c r="D1675">
        <v>87</v>
      </c>
      <c r="E1675" t="s">
        <v>14</v>
      </c>
      <c r="F1675">
        <v>39</v>
      </c>
      <c r="G1675" t="s">
        <v>12</v>
      </c>
      <c r="H1675">
        <v>3</v>
      </c>
      <c r="I1675">
        <v>25</v>
      </c>
      <c r="J1675">
        <v>31</v>
      </c>
      <c r="K1675">
        <v>75</v>
      </c>
    </row>
    <row r="1676" spans="1:11">
      <c r="A1676">
        <v>1507</v>
      </c>
      <c r="B1676" s="1">
        <v>44922</v>
      </c>
      <c r="C1676" s="2">
        <v>0.92638888888888893</v>
      </c>
      <c r="D1676">
        <v>95</v>
      </c>
      <c r="E1676" t="s">
        <v>14</v>
      </c>
      <c r="F1676">
        <v>37</v>
      </c>
      <c r="G1676" t="s">
        <v>15</v>
      </c>
      <c r="H1676">
        <v>3</v>
      </c>
      <c r="I1676">
        <v>500</v>
      </c>
      <c r="J1676">
        <v>520</v>
      </c>
      <c r="K1676">
        <v>1500</v>
      </c>
    </row>
    <row r="1677" spans="1:11">
      <c r="A1677">
        <v>1841</v>
      </c>
      <c r="B1677" s="1">
        <v>45244</v>
      </c>
      <c r="C1677" s="2">
        <v>0.78819444444444442</v>
      </c>
      <c r="D1677">
        <v>94</v>
      </c>
      <c r="E1677" t="s">
        <v>11</v>
      </c>
      <c r="F1677">
        <v>31</v>
      </c>
      <c r="G1677" t="s">
        <v>15</v>
      </c>
      <c r="H1677">
        <v>4</v>
      </c>
      <c r="I1677">
        <v>25</v>
      </c>
      <c r="J1677">
        <v>28.25</v>
      </c>
      <c r="K1677">
        <v>100</v>
      </c>
    </row>
    <row r="1678" spans="1:11">
      <c r="A1678">
        <v>1898</v>
      </c>
      <c r="B1678" s="1">
        <v>45243</v>
      </c>
      <c r="C1678" s="2">
        <v>0.76180555555555551</v>
      </c>
      <c r="D1678">
        <v>81</v>
      </c>
      <c r="E1678" t="s">
        <v>14</v>
      </c>
      <c r="F1678">
        <v>42</v>
      </c>
      <c r="G1678" t="s">
        <v>12</v>
      </c>
      <c r="H1678">
        <v>3</v>
      </c>
      <c r="I1678">
        <v>30</v>
      </c>
      <c r="J1678">
        <v>35.1</v>
      </c>
      <c r="K1678">
        <v>90</v>
      </c>
    </row>
    <row r="1679" spans="1:11">
      <c r="A1679">
        <v>1951</v>
      </c>
      <c r="B1679" s="1">
        <v>44898</v>
      </c>
      <c r="C1679" s="2">
        <v>0.78888888888888886</v>
      </c>
      <c r="D1679">
        <v>54</v>
      </c>
      <c r="E1679" t="s">
        <v>11</v>
      </c>
      <c r="F1679">
        <v>33</v>
      </c>
      <c r="G1679" t="s">
        <v>13</v>
      </c>
      <c r="H1679">
        <v>2</v>
      </c>
      <c r="I1679">
        <v>50</v>
      </c>
      <c r="J1679">
        <v>59.5</v>
      </c>
      <c r="K1679">
        <v>100</v>
      </c>
    </row>
    <row r="1680" spans="1:11">
      <c r="A1680">
        <v>181</v>
      </c>
      <c r="B1680" s="1">
        <v>45236</v>
      </c>
      <c r="C1680" s="2">
        <v>0.83263888888888893</v>
      </c>
      <c r="D1680">
        <v>79</v>
      </c>
      <c r="E1680" t="s">
        <v>11</v>
      </c>
      <c r="F1680">
        <v>19</v>
      </c>
      <c r="G1680" t="s">
        <v>15</v>
      </c>
      <c r="H1680">
        <v>4</v>
      </c>
      <c r="I1680">
        <v>300</v>
      </c>
      <c r="J1680">
        <v>327</v>
      </c>
      <c r="K1680">
        <v>1200</v>
      </c>
    </row>
    <row r="1681" spans="1:11">
      <c r="A1681">
        <v>1181</v>
      </c>
      <c r="B1681" s="1">
        <v>44871</v>
      </c>
      <c r="C1681" s="2">
        <v>0.76944444444444449</v>
      </c>
      <c r="D1681">
        <v>84</v>
      </c>
      <c r="E1681" t="s">
        <v>11</v>
      </c>
      <c r="F1681">
        <v>19</v>
      </c>
      <c r="G1681" t="s">
        <v>15</v>
      </c>
      <c r="H1681">
        <v>4</v>
      </c>
      <c r="I1681">
        <v>300</v>
      </c>
      <c r="J1681">
        <v>354</v>
      </c>
      <c r="K1681">
        <v>1200</v>
      </c>
    </row>
    <row r="1682" spans="1:11">
      <c r="A1682">
        <v>784</v>
      </c>
      <c r="B1682" s="1">
        <v>45217</v>
      </c>
      <c r="C1682" s="2">
        <v>0.94722222222222219</v>
      </c>
      <c r="D1682">
        <v>71</v>
      </c>
      <c r="E1682" t="s">
        <v>14</v>
      </c>
      <c r="F1682">
        <v>34</v>
      </c>
      <c r="G1682" t="s">
        <v>15</v>
      </c>
      <c r="H1682">
        <v>1</v>
      </c>
      <c r="I1682">
        <v>500</v>
      </c>
      <c r="J1682">
        <v>610</v>
      </c>
      <c r="K1682">
        <v>500</v>
      </c>
    </row>
    <row r="1683" spans="1:11">
      <c r="A1683">
        <v>1784</v>
      </c>
      <c r="B1683" s="1">
        <v>45288</v>
      </c>
      <c r="C1683" s="2">
        <v>0.87361111111111112</v>
      </c>
      <c r="D1683">
        <v>100</v>
      </c>
      <c r="E1683" t="s">
        <v>14</v>
      </c>
      <c r="F1683">
        <v>34</v>
      </c>
      <c r="G1683" t="s">
        <v>15</v>
      </c>
      <c r="H1683">
        <v>1</v>
      </c>
      <c r="I1683">
        <v>500</v>
      </c>
      <c r="J1683">
        <v>500</v>
      </c>
      <c r="K1683">
        <v>500</v>
      </c>
    </row>
    <row r="1684" spans="1:11">
      <c r="A1684">
        <v>20</v>
      </c>
      <c r="B1684" s="1">
        <v>45272</v>
      </c>
      <c r="C1684" s="2">
        <v>0.89930555555555558</v>
      </c>
      <c r="D1684">
        <v>85</v>
      </c>
      <c r="E1684" t="s">
        <v>11</v>
      </c>
      <c r="F1684">
        <v>22</v>
      </c>
      <c r="G1684" t="s">
        <v>12</v>
      </c>
      <c r="H1684">
        <v>3</v>
      </c>
      <c r="I1684">
        <v>300</v>
      </c>
      <c r="J1684">
        <v>345</v>
      </c>
      <c r="K1684">
        <v>900</v>
      </c>
    </row>
    <row r="1685" spans="1:11">
      <c r="A1685">
        <v>690</v>
      </c>
      <c r="B1685" s="1">
        <v>45279</v>
      </c>
      <c r="C1685" s="2">
        <v>0.77708333333333335</v>
      </c>
      <c r="D1685">
        <v>91</v>
      </c>
      <c r="E1685" t="s">
        <v>14</v>
      </c>
      <c r="F1685">
        <v>52</v>
      </c>
      <c r="G1685" t="s">
        <v>12</v>
      </c>
      <c r="H1685">
        <v>3</v>
      </c>
      <c r="I1685">
        <v>300</v>
      </c>
      <c r="J1685">
        <v>324</v>
      </c>
      <c r="K1685">
        <v>900</v>
      </c>
    </row>
    <row r="1686" spans="1:11">
      <c r="A1686">
        <v>1020</v>
      </c>
      <c r="B1686" s="1">
        <v>44887</v>
      </c>
      <c r="C1686" s="2">
        <v>0.77083333333333337</v>
      </c>
      <c r="D1686">
        <v>86</v>
      </c>
      <c r="E1686" t="s">
        <v>11</v>
      </c>
      <c r="F1686">
        <v>22</v>
      </c>
      <c r="G1686" t="s">
        <v>12</v>
      </c>
      <c r="H1686">
        <v>3</v>
      </c>
      <c r="I1686">
        <v>300</v>
      </c>
      <c r="J1686">
        <v>300</v>
      </c>
      <c r="K1686">
        <v>900</v>
      </c>
    </row>
    <row r="1687" spans="1:11">
      <c r="A1687">
        <v>1690</v>
      </c>
      <c r="B1687" s="1">
        <v>45174</v>
      </c>
      <c r="C1687" s="2">
        <v>0.73333333333333328</v>
      </c>
      <c r="D1687">
        <v>101</v>
      </c>
      <c r="E1687" t="s">
        <v>14</v>
      </c>
      <c r="F1687">
        <v>52</v>
      </c>
      <c r="G1687" t="s">
        <v>12</v>
      </c>
      <c r="H1687">
        <v>3</v>
      </c>
      <c r="I1687">
        <v>300</v>
      </c>
      <c r="J1687">
        <v>369</v>
      </c>
      <c r="K1687">
        <v>900</v>
      </c>
    </row>
    <row r="1688" spans="1:11">
      <c r="A1688">
        <v>47</v>
      </c>
      <c r="B1688" s="1">
        <v>44856</v>
      </c>
      <c r="C1688" s="2">
        <v>0.72361111111111109</v>
      </c>
      <c r="D1688">
        <v>96</v>
      </c>
      <c r="E1688" t="s">
        <v>14</v>
      </c>
      <c r="F1688">
        <v>40</v>
      </c>
      <c r="G1688" t="s">
        <v>13</v>
      </c>
      <c r="H1688">
        <v>3</v>
      </c>
      <c r="I1688">
        <v>500</v>
      </c>
      <c r="J1688">
        <v>600</v>
      </c>
      <c r="K1688">
        <v>1500</v>
      </c>
    </row>
    <row r="1689" spans="1:11">
      <c r="A1689">
        <v>405</v>
      </c>
      <c r="B1689" s="1">
        <v>44851</v>
      </c>
      <c r="C1689" s="2">
        <v>0.74652777777777779</v>
      </c>
      <c r="D1689">
        <v>79</v>
      </c>
      <c r="E1689" t="s">
        <v>14</v>
      </c>
      <c r="F1689">
        <v>25</v>
      </c>
      <c r="G1689" t="s">
        <v>12</v>
      </c>
      <c r="H1689">
        <v>4</v>
      </c>
      <c r="I1689">
        <v>300</v>
      </c>
      <c r="J1689">
        <v>324</v>
      </c>
      <c r="K1689">
        <v>1200</v>
      </c>
    </row>
    <row r="1690" spans="1:11">
      <c r="A1690">
        <v>1047</v>
      </c>
      <c r="B1690" s="1">
        <v>44899</v>
      </c>
      <c r="C1690" s="2">
        <v>0.91180555555555554</v>
      </c>
      <c r="D1690">
        <v>84</v>
      </c>
      <c r="E1690" t="s">
        <v>14</v>
      </c>
      <c r="F1690">
        <v>40</v>
      </c>
      <c r="G1690" t="s">
        <v>13</v>
      </c>
      <c r="H1690">
        <v>3</v>
      </c>
      <c r="I1690">
        <v>500</v>
      </c>
      <c r="J1690">
        <v>490</v>
      </c>
      <c r="K1690">
        <v>1500</v>
      </c>
    </row>
    <row r="1691" spans="1:11">
      <c r="A1691">
        <v>1405</v>
      </c>
      <c r="B1691" s="1">
        <v>45227</v>
      </c>
      <c r="C1691" s="2">
        <v>0.83888888888888891</v>
      </c>
      <c r="D1691">
        <v>91</v>
      </c>
      <c r="E1691" t="s">
        <v>14</v>
      </c>
      <c r="F1691">
        <v>25</v>
      </c>
      <c r="G1691" t="s">
        <v>12</v>
      </c>
      <c r="H1691">
        <v>4</v>
      </c>
      <c r="I1691">
        <v>300</v>
      </c>
      <c r="J1691">
        <v>342</v>
      </c>
      <c r="K1691">
        <v>1200</v>
      </c>
    </row>
    <row r="1692" spans="1:11">
      <c r="A1692">
        <v>205</v>
      </c>
      <c r="B1692" s="1">
        <v>44887</v>
      </c>
      <c r="C1692" s="2">
        <v>0.72222222222222221</v>
      </c>
      <c r="D1692">
        <v>88</v>
      </c>
      <c r="E1692" t="s">
        <v>14</v>
      </c>
      <c r="F1692">
        <v>43</v>
      </c>
      <c r="G1692" t="s">
        <v>12</v>
      </c>
      <c r="H1692">
        <v>1</v>
      </c>
      <c r="I1692">
        <v>25</v>
      </c>
      <c r="J1692">
        <v>25.5</v>
      </c>
      <c r="K1692">
        <v>25</v>
      </c>
    </row>
    <row r="1693" spans="1:11">
      <c r="A1693">
        <v>512</v>
      </c>
      <c r="B1693" s="1">
        <v>44901</v>
      </c>
      <c r="C1693" s="2">
        <v>0.75</v>
      </c>
      <c r="D1693">
        <v>56</v>
      </c>
      <c r="E1693" t="s">
        <v>14</v>
      </c>
      <c r="F1693">
        <v>57</v>
      </c>
      <c r="G1693" t="s">
        <v>13</v>
      </c>
      <c r="H1693">
        <v>1</v>
      </c>
      <c r="I1693">
        <v>25</v>
      </c>
      <c r="J1693">
        <v>9.5</v>
      </c>
      <c r="K1693">
        <v>25</v>
      </c>
    </row>
    <row r="1694" spans="1:11">
      <c r="A1694">
        <v>565</v>
      </c>
      <c r="B1694" s="1">
        <v>45174</v>
      </c>
      <c r="C1694" s="2">
        <v>0.85</v>
      </c>
      <c r="D1694">
        <v>75</v>
      </c>
      <c r="E1694" t="s">
        <v>14</v>
      </c>
      <c r="F1694">
        <v>45</v>
      </c>
      <c r="G1694" t="s">
        <v>13</v>
      </c>
      <c r="H1694">
        <v>2</v>
      </c>
      <c r="I1694">
        <v>30</v>
      </c>
      <c r="J1694">
        <v>9</v>
      </c>
      <c r="K1694">
        <v>60</v>
      </c>
    </row>
    <row r="1695" spans="1:11">
      <c r="A1695">
        <v>761</v>
      </c>
      <c r="B1695" s="1">
        <v>44879</v>
      </c>
      <c r="C1695" s="2">
        <v>0.92777777777777781</v>
      </c>
      <c r="D1695">
        <v>64</v>
      </c>
      <c r="E1695" t="s">
        <v>14</v>
      </c>
      <c r="F1695">
        <v>33</v>
      </c>
      <c r="G1695" t="s">
        <v>12</v>
      </c>
      <c r="H1695">
        <v>1</v>
      </c>
      <c r="I1695">
        <v>500</v>
      </c>
      <c r="J1695">
        <v>275</v>
      </c>
      <c r="K1695">
        <v>500</v>
      </c>
    </row>
    <row r="1696" spans="1:11">
      <c r="A1696">
        <v>762</v>
      </c>
      <c r="B1696" s="1">
        <v>45257</v>
      </c>
      <c r="C1696" s="2">
        <v>0.74236111111111114</v>
      </c>
      <c r="D1696">
        <v>56</v>
      </c>
      <c r="E1696" t="s">
        <v>14</v>
      </c>
      <c r="F1696">
        <v>24</v>
      </c>
      <c r="G1696" t="s">
        <v>15</v>
      </c>
      <c r="H1696">
        <v>2</v>
      </c>
      <c r="I1696">
        <v>25</v>
      </c>
      <c r="J1696">
        <v>10.25</v>
      </c>
      <c r="K1696">
        <v>50</v>
      </c>
    </row>
    <row r="1697" spans="1:11">
      <c r="A1697">
        <v>950</v>
      </c>
      <c r="B1697" s="1">
        <v>44826</v>
      </c>
      <c r="C1697" s="2">
        <v>0.89375000000000004</v>
      </c>
      <c r="D1697">
        <v>75</v>
      </c>
      <c r="E1697" t="s">
        <v>11</v>
      </c>
      <c r="F1697">
        <v>36</v>
      </c>
      <c r="G1697" t="s">
        <v>12</v>
      </c>
      <c r="H1697">
        <v>3</v>
      </c>
      <c r="I1697">
        <v>300</v>
      </c>
      <c r="J1697">
        <v>144</v>
      </c>
      <c r="K1697">
        <v>900</v>
      </c>
    </row>
    <row r="1698" spans="1:11">
      <c r="A1698">
        <v>1205</v>
      </c>
      <c r="B1698" s="1">
        <v>44890</v>
      </c>
      <c r="C1698" s="2">
        <v>0.80486111111111114</v>
      </c>
      <c r="D1698">
        <v>97</v>
      </c>
      <c r="E1698" t="s">
        <v>14</v>
      </c>
      <c r="F1698">
        <v>43</v>
      </c>
      <c r="G1698" t="s">
        <v>12</v>
      </c>
      <c r="H1698">
        <v>1</v>
      </c>
      <c r="I1698">
        <v>25</v>
      </c>
      <c r="J1698">
        <v>7.25</v>
      </c>
      <c r="K1698">
        <v>25</v>
      </c>
    </row>
    <row r="1699" spans="1:11">
      <c r="A1699">
        <v>1512</v>
      </c>
      <c r="B1699" s="1">
        <v>45280</v>
      </c>
      <c r="C1699" s="2">
        <v>0.83680555555555558</v>
      </c>
      <c r="D1699">
        <v>105</v>
      </c>
      <c r="E1699" t="s">
        <v>14</v>
      </c>
      <c r="F1699">
        <v>57</v>
      </c>
      <c r="G1699" t="s">
        <v>13</v>
      </c>
      <c r="H1699">
        <v>1</v>
      </c>
      <c r="I1699">
        <v>25</v>
      </c>
      <c r="J1699">
        <v>13.25</v>
      </c>
      <c r="K1699">
        <v>25</v>
      </c>
    </row>
    <row r="1700" spans="1:11">
      <c r="A1700">
        <v>1565</v>
      </c>
      <c r="B1700" s="1">
        <v>45173</v>
      </c>
      <c r="C1700" s="2">
        <v>0.86458333333333337</v>
      </c>
      <c r="D1700">
        <v>74</v>
      </c>
      <c r="E1700" t="s">
        <v>14</v>
      </c>
      <c r="F1700">
        <v>45</v>
      </c>
      <c r="G1700" t="s">
        <v>13</v>
      </c>
      <c r="H1700">
        <v>2</v>
      </c>
      <c r="I1700">
        <v>30</v>
      </c>
      <c r="J1700">
        <v>11.1</v>
      </c>
      <c r="K1700">
        <v>60</v>
      </c>
    </row>
    <row r="1701" spans="1:11">
      <c r="A1701">
        <v>1761</v>
      </c>
      <c r="B1701" s="1">
        <v>45269</v>
      </c>
      <c r="C1701" s="2">
        <v>0.78194444444444444</v>
      </c>
      <c r="D1701">
        <v>72</v>
      </c>
      <c r="E1701" t="s">
        <v>14</v>
      </c>
      <c r="F1701">
        <v>33</v>
      </c>
      <c r="G1701" t="s">
        <v>12</v>
      </c>
      <c r="H1701">
        <v>1</v>
      </c>
      <c r="I1701">
        <v>500</v>
      </c>
      <c r="J1701">
        <v>200</v>
      </c>
      <c r="K1701">
        <v>500</v>
      </c>
    </row>
    <row r="1702" spans="1:11">
      <c r="A1702">
        <v>1762</v>
      </c>
      <c r="B1702" s="1">
        <v>45245</v>
      </c>
      <c r="C1702" s="2">
        <v>0.77986111111111112</v>
      </c>
      <c r="D1702">
        <v>81</v>
      </c>
      <c r="E1702" t="s">
        <v>14</v>
      </c>
      <c r="F1702">
        <v>24</v>
      </c>
      <c r="G1702" t="s">
        <v>15</v>
      </c>
      <c r="H1702">
        <v>2</v>
      </c>
      <c r="I1702">
        <v>25</v>
      </c>
      <c r="J1702">
        <v>11</v>
      </c>
      <c r="K1702">
        <v>50</v>
      </c>
    </row>
    <row r="1703" spans="1:11">
      <c r="A1703">
        <v>1950</v>
      </c>
      <c r="B1703" s="1">
        <v>44899</v>
      </c>
      <c r="C1703" s="2">
        <v>0.80763888888888891</v>
      </c>
      <c r="D1703">
        <v>50</v>
      </c>
      <c r="E1703" t="s">
        <v>11</v>
      </c>
      <c r="F1703">
        <v>36</v>
      </c>
      <c r="G1703" t="s">
        <v>12</v>
      </c>
      <c r="H1703">
        <v>3</v>
      </c>
      <c r="I1703">
        <v>300</v>
      </c>
      <c r="J1703">
        <v>84</v>
      </c>
      <c r="K1703">
        <v>900</v>
      </c>
    </row>
    <row r="1704" spans="1:11">
      <c r="A1704">
        <v>86</v>
      </c>
      <c r="B1704" s="1">
        <v>45198</v>
      </c>
      <c r="C1704" s="2">
        <v>0.78819444444444442</v>
      </c>
      <c r="D1704">
        <v>69</v>
      </c>
      <c r="E1704" t="s">
        <v>11</v>
      </c>
      <c r="F1704">
        <v>19</v>
      </c>
      <c r="G1704" t="s">
        <v>13</v>
      </c>
      <c r="H1704">
        <v>3</v>
      </c>
      <c r="I1704">
        <v>30</v>
      </c>
      <c r="J1704">
        <v>15.6</v>
      </c>
      <c r="K1704">
        <v>90</v>
      </c>
    </row>
    <row r="1705" spans="1:11">
      <c r="A1705">
        <v>173</v>
      </c>
      <c r="B1705" s="1">
        <v>45279</v>
      </c>
      <c r="C1705" s="2">
        <v>0.72916666666666663</v>
      </c>
      <c r="D1705">
        <v>85</v>
      </c>
      <c r="E1705" t="s">
        <v>11</v>
      </c>
      <c r="F1705">
        <v>64</v>
      </c>
      <c r="G1705" t="s">
        <v>15</v>
      </c>
      <c r="H1705">
        <v>4</v>
      </c>
      <c r="I1705">
        <v>30</v>
      </c>
      <c r="J1705">
        <v>14.1</v>
      </c>
      <c r="K1705">
        <v>120</v>
      </c>
    </row>
    <row r="1706" spans="1:11">
      <c r="A1706">
        <v>1086</v>
      </c>
      <c r="B1706" s="1">
        <v>45183</v>
      </c>
      <c r="C1706" s="2">
        <v>0.82638888888888884</v>
      </c>
      <c r="D1706">
        <v>84</v>
      </c>
      <c r="E1706" t="s">
        <v>11</v>
      </c>
      <c r="F1706">
        <v>19</v>
      </c>
      <c r="G1706" t="s">
        <v>13</v>
      </c>
      <c r="H1706">
        <v>3</v>
      </c>
      <c r="I1706">
        <v>30</v>
      </c>
      <c r="J1706">
        <v>16.5</v>
      </c>
      <c r="K1706">
        <v>90</v>
      </c>
    </row>
    <row r="1707" spans="1:11">
      <c r="A1707">
        <v>1173</v>
      </c>
      <c r="B1707" s="1">
        <v>44899</v>
      </c>
      <c r="C1707" s="2">
        <v>0.87708333333333333</v>
      </c>
      <c r="D1707">
        <v>70</v>
      </c>
      <c r="E1707" t="s">
        <v>11</v>
      </c>
      <c r="F1707">
        <v>64</v>
      </c>
      <c r="G1707" t="s">
        <v>15</v>
      </c>
      <c r="H1707">
        <v>4</v>
      </c>
      <c r="I1707">
        <v>30</v>
      </c>
      <c r="J1707">
        <v>15</v>
      </c>
      <c r="K1707">
        <v>120</v>
      </c>
    </row>
    <row r="1708" spans="1:11">
      <c r="A1708">
        <v>595</v>
      </c>
      <c r="B1708" s="1">
        <v>44849</v>
      </c>
      <c r="C1708" s="2">
        <v>0.89930555555555558</v>
      </c>
      <c r="D1708">
        <v>65</v>
      </c>
      <c r="E1708" t="s">
        <v>14</v>
      </c>
      <c r="F1708">
        <v>18</v>
      </c>
      <c r="G1708" t="s">
        <v>12</v>
      </c>
      <c r="H1708">
        <v>4</v>
      </c>
      <c r="I1708">
        <v>500</v>
      </c>
      <c r="J1708">
        <v>210</v>
      </c>
      <c r="K1708">
        <v>2000</v>
      </c>
    </row>
    <row r="1709" spans="1:11">
      <c r="A1709">
        <v>827</v>
      </c>
      <c r="B1709" s="1">
        <v>45227</v>
      </c>
      <c r="C1709" s="2">
        <v>0.80833333333333335</v>
      </c>
      <c r="D1709">
        <v>96</v>
      </c>
      <c r="E1709" t="s">
        <v>11</v>
      </c>
      <c r="F1709">
        <v>61</v>
      </c>
      <c r="G1709" t="s">
        <v>13</v>
      </c>
      <c r="H1709">
        <v>3</v>
      </c>
      <c r="I1709">
        <v>300</v>
      </c>
      <c r="J1709">
        <v>165</v>
      </c>
      <c r="K1709">
        <v>900</v>
      </c>
    </row>
    <row r="1710" spans="1:11">
      <c r="A1710">
        <v>965</v>
      </c>
      <c r="B1710" s="1">
        <v>44892</v>
      </c>
      <c r="C1710" s="2">
        <v>0.90625</v>
      </c>
      <c r="D1710">
        <v>84</v>
      </c>
      <c r="E1710" t="s">
        <v>11</v>
      </c>
      <c r="F1710">
        <v>22</v>
      </c>
      <c r="G1710" t="s">
        <v>12</v>
      </c>
      <c r="H1710">
        <v>4</v>
      </c>
      <c r="I1710">
        <v>50</v>
      </c>
      <c r="J1710">
        <v>13</v>
      </c>
      <c r="K1710">
        <v>200</v>
      </c>
    </row>
    <row r="1711" spans="1:11">
      <c r="A1711">
        <v>1595</v>
      </c>
      <c r="B1711" s="1">
        <v>45203</v>
      </c>
      <c r="C1711" s="2">
        <v>0.73888888888888893</v>
      </c>
      <c r="D1711">
        <v>115</v>
      </c>
      <c r="E1711" t="s">
        <v>14</v>
      </c>
      <c r="F1711">
        <v>18</v>
      </c>
      <c r="G1711" t="s">
        <v>12</v>
      </c>
      <c r="H1711">
        <v>4</v>
      </c>
      <c r="I1711">
        <v>500</v>
      </c>
      <c r="J1711">
        <v>255</v>
      </c>
      <c r="K1711">
        <v>2000</v>
      </c>
    </row>
    <row r="1712" spans="1:11">
      <c r="A1712">
        <v>1827</v>
      </c>
      <c r="B1712" s="1">
        <v>44874</v>
      </c>
      <c r="C1712" s="2">
        <v>0.83472222222222225</v>
      </c>
      <c r="D1712">
        <v>62</v>
      </c>
      <c r="E1712" t="s">
        <v>11</v>
      </c>
      <c r="F1712">
        <v>61</v>
      </c>
      <c r="G1712" t="s">
        <v>13</v>
      </c>
      <c r="H1712">
        <v>3</v>
      </c>
      <c r="I1712">
        <v>300</v>
      </c>
      <c r="J1712">
        <v>132</v>
      </c>
      <c r="K1712">
        <v>900</v>
      </c>
    </row>
    <row r="1713" spans="1:11">
      <c r="A1713">
        <v>1965</v>
      </c>
      <c r="B1713" s="1">
        <v>44907</v>
      </c>
      <c r="C1713" s="2">
        <v>0.8354166666666667</v>
      </c>
      <c r="D1713">
        <v>93</v>
      </c>
      <c r="E1713" t="s">
        <v>11</v>
      </c>
      <c r="F1713">
        <v>22</v>
      </c>
      <c r="G1713" t="s">
        <v>12</v>
      </c>
      <c r="H1713">
        <v>4</v>
      </c>
      <c r="I1713">
        <v>50</v>
      </c>
      <c r="J1713">
        <v>21.5</v>
      </c>
      <c r="K1713">
        <v>200</v>
      </c>
    </row>
    <row r="1714" spans="1:11">
      <c r="A1714">
        <v>388</v>
      </c>
      <c r="B1714" s="1">
        <v>44898</v>
      </c>
      <c r="C1714" s="2">
        <v>0.7944444444444444</v>
      </c>
      <c r="D1714">
        <v>60</v>
      </c>
      <c r="E1714" t="s">
        <v>11</v>
      </c>
      <c r="F1714">
        <v>50</v>
      </c>
      <c r="G1714" t="s">
        <v>15</v>
      </c>
      <c r="H1714">
        <v>1</v>
      </c>
      <c r="I1714">
        <v>25</v>
      </c>
      <c r="J1714">
        <v>12.25</v>
      </c>
      <c r="K1714">
        <v>25</v>
      </c>
    </row>
    <row r="1715" spans="1:11">
      <c r="A1715">
        <v>631</v>
      </c>
      <c r="B1715" s="1">
        <v>45221</v>
      </c>
      <c r="C1715" s="2">
        <v>0.9291666666666667</v>
      </c>
      <c r="D1715">
        <v>92</v>
      </c>
      <c r="E1715" t="s">
        <v>11</v>
      </c>
      <c r="F1715">
        <v>56</v>
      </c>
      <c r="G1715" t="s">
        <v>15</v>
      </c>
      <c r="H1715">
        <v>3</v>
      </c>
      <c r="I1715">
        <v>30</v>
      </c>
      <c r="J1715">
        <v>16.5</v>
      </c>
      <c r="K1715">
        <v>90</v>
      </c>
    </row>
    <row r="1716" spans="1:11">
      <c r="A1716">
        <v>1388</v>
      </c>
      <c r="B1716" s="1">
        <v>45212</v>
      </c>
      <c r="C1716" s="2">
        <v>0.7583333333333333</v>
      </c>
      <c r="D1716">
        <v>89</v>
      </c>
      <c r="E1716" t="s">
        <v>11</v>
      </c>
      <c r="F1716">
        <v>50</v>
      </c>
      <c r="G1716" t="s">
        <v>15</v>
      </c>
      <c r="H1716">
        <v>1</v>
      </c>
      <c r="I1716">
        <v>25</v>
      </c>
      <c r="J1716">
        <v>6.75</v>
      </c>
      <c r="K1716">
        <v>25</v>
      </c>
    </row>
    <row r="1717" spans="1:11">
      <c r="A1717">
        <v>1631</v>
      </c>
      <c r="B1717" s="1">
        <v>44866</v>
      </c>
      <c r="C1717" s="2">
        <v>0.7993055555555556</v>
      </c>
      <c r="D1717">
        <v>75</v>
      </c>
      <c r="E1717" t="s">
        <v>11</v>
      </c>
      <c r="F1717">
        <v>56</v>
      </c>
      <c r="G1717" t="s">
        <v>15</v>
      </c>
      <c r="H1717">
        <v>3</v>
      </c>
      <c r="I1717">
        <v>30</v>
      </c>
      <c r="J1717">
        <v>12.3</v>
      </c>
      <c r="K1717">
        <v>90</v>
      </c>
    </row>
    <row r="1718" spans="1:11">
      <c r="A1718">
        <v>554</v>
      </c>
      <c r="B1718" s="1">
        <v>44901</v>
      </c>
      <c r="C1718" s="2">
        <v>0.87777777777777777</v>
      </c>
      <c r="D1718">
        <v>94</v>
      </c>
      <c r="E1718" t="s">
        <v>14</v>
      </c>
      <c r="F1718">
        <v>46</v>
      </c>
      <c r="G1718" t="s">
        <v>13</v>
      </c>
      <c r="H1718">
        <v>3</v>
      </c>
      <c r="I1718">
        <v>50</v>
      </c>
      <c r="J1718">
        <v>13</v>
      </c>
      <c r="K1718">
        <v>150</v>
      </c>
    </row>
    <row r="1719" spans="1:11">
      <c r="A1719">
        <v>812</v>
      </c>
      <c r="B1719" s="1">
        <v>45201</v>
      </c>
      <c r="C1719" s="2">
        <v>0.73958333333333337</v>
      </c>
      <c r="D1719">
        <v>89</v>
      </c>
      <c r="E1719" t="s">
        <v>11</v>
      </c>
      <c r="F1719">
        <v>19</v>
      </c>
      <c r="G1719" t="s">
        <v>15</v>
      </c>
      <c r="H1719">
        <v>3</v>
      </c>
      <c r="I1719">
        <v>25</v>
      </c>
      <c r="J1719">
        <v>11.25</v>
      </c>
      <c r="K1719">
        <v>75</v>
      </c>
    </row>
    <row r="1720" spans="1:11">
      <c r="A1720">
        <v>1554</v>
      </c>
      <c r="B1720" s="1">
        <v>45257</v>
      </c>
      <c r="C1720" s="2">
        <v>0.82986111111111116</v>
      </c>
      <c r="D1720">
        <v>83</v>
      </c>
      <c r="E1720" t="s">
        <v>14</v>
      </c>
      <c r="F1720">
        <v>46</v>
      </c>
      <c r="G1720" t="s">
        <v>13</v>
      </c>
      <c r="H1720">
        <v>3</v>
      </c>
      <c r="I1720">
        <v>50</v>
      </c>
      <c r="J1720">
        <v>15.5</v>
      </c>
      <c r="K1720">
        <v>150</v>
      </c>
    </row>
    <row r="1721" spans="1:11">
      <c r="A1721">
        <v>1812</v>
      </c>
      <c r="B1721" s="1">
        <v>45224</v>
      </c>
      <c r="C1721" s="2">
        <v>0.92986111111111114</v>
      </c>
      <c r="D1721">
        <v>85</v>
      </c>
      <c r="E1721" t="s">
        <v>11</v>
      </c>
      <c r="F1721">
        <v>19</v>
      </c>
      <c r="G1721" t="s">
        <v>15</v>
      </c>
      <c r="H1721">
        <v>3</v>
      </c>
      <c r="I1721">
        <v>25</v>
      </c>
      <c r="J1721">
        <v>12</v>
      </c>
      <c r="K1721">
        <v>75</v>
      </c>
    </row>
    <row r="1722" spans="1:11">
      <c r="A1722">
        <v>58</v>
      </c>
      <c r="B1722" s="1">
        <v>45185</v>
      </c>
      <c r="C1722" s="2">
        <v>0.8041666666666667</v>
      </c>
      <c r="D1722">
        <v>53</v>
      </c>
      <c r="E1722" t="s">
        <v>11</v>
      </c>
      <c r="F1722">
        <v>18</v>
      </c>
      <c r="G1722" t="s">
        <v>12</v>
      </c>
      <c r="H1722">
        <v>4</v>
      </c>
      <c r="I1722">
        <v>300</v>
      </c>
      <c r="J1722">
        <v>75</v>
      </c>
      <c r="K1722">
        <v>1200</v>
      </c>
    </row>
    <row r="1723" spans="1:11">
      <c r="A1723">
        <v>952</v>
      </c>
      <c r="B1723" s="1">
        <v>44916</v>
      </c>
      <c r="C1723" s="2">
        <v>0.75624999999999998</v>
      </c>
      <c r="D1723">
        <v>69</v>
      </c>
      <c r="E1723" t="s">
        <v>14</v>
      </c>
      <c r="F1723">
        <v>57</v>
      </c>
      <c r="G1723" t="s">
        <v>12</v>
      </c>
      <c r="H1723">
        <v>1</v>
      </c>
      <c r="I1723">
        <v>25</v>
      </c>
      <c r="J1723">
        <v>13.25</v>
      </c>
      <c r="K1723">
        <v>25</v>
      </c>
    </row>
    <row r="1724" spans="1:11">
      <c r="A1724">
        <v>1058</v>
      </c>
      <c r="B1724" s="1">
        <v>44864</v>
      </c>
      <c r="C1724" s="2">
        <v>0.77152777777777781</v>
      </c>
      <c r="D1724">
        <v>100</v>
      </c>
      <c r="E1724" t="s">
        <v>11</v>
      </c>
      <c r="F1724">
        <v>18</v>
      </c>
      <c r="G1724" t="s">
        <v>12</v>
      </c>
      <c r="H1724">
        <v>4</v>
      </c>
      <c r="I1724">
        <v>300</v>
      </c>
      <c r="J1724">
        <v>153</v>
      </c>
      <c r="K1724">
        <v>1200</v>
      </c>
    </row>
    <row r="1725" spans="1:11">
      <c r="A1725">
        <v>1952</v>
      </c>
      <c r="B1725" s="1">
        <v>44912</v>
      </c>
      <c r="C1725" s="2">
        <v>0.92569444444444449</v>
      </c>
      <c r="D1725">
        <v>114</v>
      </c>
      <c r="E1725" t="s">
        <v>14</v>
      </c>
      <c r="F1725">
        <v>57</v>
      </c>
      <c r="G1725" t="s">
        <v>12</v>
      </c>
      <c r="H1725">
        <v>1</v>
      </c>
      <c r="I1725">
        <v>25</v>
      </c>
      <c r="J1725">
        <v>13.5</v>
      </c>
      <c r="K1725">
        <v>25</v>
      </c>
    </row>
    <row r="1726" spans="1:11">
      <c r="A1726">
        <v>345</v>
      </c>
      <c r="B1726" s="1">
        <v>44902</v>
      </c>
      <c r="C1726" s="2">
        <v>0.78888888888888886</v>
      </c>
      <c r="D1726">
        <v>104</v>
      </c>
      <c r="E1726" t="s">
        <v>11</v>
      </c>
      <c r="F1726">
        <v>62</v>
      </c>
      <c r="G1726" t="s">
        <v>15</v>
      </c>
      <c r="H1726">
        <v>1</v>
      </c>
      <c r="I1726">
        <v>30</v>
      </c>
      <c r="J1726">
        <v>13.5</v>
      </c>
      <c r="K1726">
        <v>30</v>
      </c>
    </row>
    <row r="1727" spans="1:11">
      <c r="A1727">
        <v>458</v>
      </c>
      <c r="B1727" s="1">
        <v>45258</v>
      </c>
      <c r="C1727" s="2">
        <v>0.89930555555555558</v>
      </c>
      <c r="D1727">
        <v>110</v>
      </c>
      <c r="E1727" t="s">
        <v>14</v>
      </c>
      <c r="F1727">
        <v>39</v>
      </c>
      <c r="G1727" t="s">
        <v>15</v>
      </c>
      <c r="H1727">
        <v>4</v>
      </c>
      <c r="I1727">
        <v>25</v>
      </c>
      <c r="J1727">
        <v>7</v>
      </c>
      <c r="K1727">
        <v>100</v>
      </c>
    </row>
    <row r="1728" spans="1:11">
      <c r="A1728">
        <v>582</v>
      </c>
      <c r="B1728" s="1">
        <v>44834</v>
      </c>
      <c r="C1728" s="2">
        <v>0.90138888888888891</v>
      </c>
      <c r="D1728">
        <v>110</v>
      </c>
      <c r="E1728" t="s">
        <v>11</v>
      </c>
      <c r="F1728">
        <v>35</v>
      </c>
      <c r="G1728" t="s">
        <v>12</v>
      </c>
      <c r="H1728">
        <v>3</v>
      </c>
      <c r="I1728">
        <v>300</v>
      </c>
      <c r="J1728">
        <v>75</v>
      </c>
      <c r="K1728">
        <v>900</v>
      </c>
    </row>
    <row r="1729" spans="1:11">
      <c r="A1729">
        <v>963</v>
      </c>
      <c r="B1729" s="1">
        <v>45218</v>
      </c>
      <c r="C1729" s="2">
        <v>0.76666666666666672</v>
      </c>
      <c r="D1729">
        <v>76</v>
      </c>
      <c r="E1729" t="s">
        <v>14</v>
      </c>
      <c r="F1729">
        <v>55</v>
      </c>
      <c r="G1729" t="s">
        <v>13</v>
      </c>
      <c r="H1729">
        <v>1</v>
      </c>
      <c r="I1729">
        <v>50</v>
      </c>
      <c r="J1729">
        <v>13</v>
      </c>
      <c r="K1729">
        <v>50</v>
      </c>
    </row>
    <row r="1730" spans="1:11">
      <c r="A1730">
        <v>1345</v>
      </c>
      <c r="B1730" s="1">
        <v>44833</v>
      </c>
      <c r="C1730" s="2">
        <v>0.74305555555555558</v>
      </c>
      <c r="D1730">
        <v>98</v>
      </c>
      <c r="E1730" t="s">
        <v>11</v>
      </c>
      <c r="F1730">
        <v>62</v>
      </c>
      <c r="G1730" t="s">
        <v>15</v>
      </c>
      <c r="H1730">
        <v>1</v>
      </c>
      <c r="I1730">
        <v>30</v>
      </c>
      <c r="J1730">
        <v>11.4</v>
      </c>
      <c r="K1730">
        <v>30</v>
      </c>
    </row>
    <row r="1731" spans="1:11">
      <c r="A1731">
        <v>1458</v>
      </c>
      <c r="B1731" s="1">
        <v>45208</v>
      </c>
      <c r="C1731" s="2">
        <v>0.80625000000000002</v>
      </c>
      <c r="D1731">
        <v>95</v>
      </c>
      <c r="E1731" t="s">
        <v>14</v>
      </c>
      <c r="F1731">
        <v>39</v>
      </c>
      <c r="G1731" t="s">
        <v>15</v>
      </c>
      <c r="H1731">
        <v>4</v>
      </c>
      <c r="I1731">
        <v>25</v>
      </c>
      <c r="J1731">
        <v>9.75</v>
      </c>
      <c r="K1731">
        <v>100</v>
      </c>
    </row>
    <row r="1732" spans="1:11">
      <c r="A1732">
        <v>1582</v>
      </c>
      <c r="B1732" s="1">
        <v>45216</v>
      </c>
      <c r="C1732" s="2">
        <v>0.8</v>
      </c>
      <c r="D1732">
        <v>56</v>
      </c>
      <c r="E1732" t="s">
        <v>11</v>
      </c>
      <c r="F1732">
        <v>35</v>
      </c>
      <c r="G1732" t="s">
        <v>12</v>
      </c>
      <c r="H1732">
        <v>3</v>
      </c>
      <c r="I1732">
        <v>300</v>
      </c>
      <c r="J1732">
        <v>114</v>
      </c>
      <c r="K1732">
        <v>900</v>
      </c>
    </row>
    <row r="1733" spans="1:11">
      <c r="A1733">
        <v>1963</v>
      </c>
      <c r="B1733" s="1">
        <v>44907</v>
      </c>
      <c r="C1733" s="2">
        <v>0.87222222222222223</v>
      </c>
      <c r="D1733">
        <v>115</v>
      </c>
      <c r="E1733" t="s">
        <v>14</v>
      </c>
      <c r="F1733">
        <v>55</v>
      </c>
      <c r="G1733" t="s">
        <v>13</v>
      </c>
      <c r="H1733">
        <v>1</v>
      </c>
      <c r="I1733">
        <v>50</v>
      </c>
      <c r="J1733">
        <v>20.5</v>
      </c>
      <c r="K1733">
        <v>50</v>
      </c>
    </row>
    <row r="1734" spans="1:11">
      <c r="A1734">
        <v>369</v>
      </c>
      <c r="B1734" s="1">
        <v>45273</v>
      </c>
      <c r="C1734" s="2">
        <v>0.8208333333333333</v>
      </c>
      <c r="D1734">
        <v>111</v>
      </c>
      <c r="E1734" t="s">
        <v>11</v>
      </c>
      <c r="F1734">
        <v>23</v>
      </c>
      <c r="G1734" t="s">
        <v>15</v>
      </c>
      <c r="H1734">
        <v>3</v>
      </c>
      <c r="I1734">
        <v>500</v>
      </c>
      <c r="J1734">
        <v>215</v>
      </c>
      <c r="K1734">
        <v>1500</v>
      </c>
    </row>
    <row r="1735" spans="1:11">
      <c r="A1735">
        <v>706</v>
      </c>
      <c r="B1735" s="1">
        <v>44808</v>
      </c>
      <c r="C1735" s="2">
        <v>0.92986111111111114</v>
      </c>
      <c r="D1735">
        <v>66</v>
      </c>
      <c r="E1735" t="s">
        <v>11</v>
      </c>
      <c r="F1735">
        <v>51</v>
      </c>
      <c r="G1735" t="s">
        <v>15</v>
      </c>
      <c r="H1735">
        <v>4</v>
      </c>
      <c r="I1735">
        <v>25</v>
      </c>
      <c r="J1735">
        <v>8</v>
      </c>
      <c r="K1735">
        <v>100</v>
      </c>
    </row>
    <row r="1736" spans="1:11">
      <c r="A1736">
        <v>747</v>
      </c>
      <c r="B1736" s="1">
        <v>44855</v>
      </c>
      <c r="C1736" s="2">
        <v>0.7583333333333333</v>
      </c>
      <c r="D1736">
        <v>51</v>
      </c>
      <c r="E1736" t="s">
        <v>11</v>
      </c>
      <c r="F1736">
        <v>23</v>
      </c>
      <c r="G1736" t="s">
        <v>13</v>
      </c>
      <c r="H1736">
        <v>1</v>
      </c>
      <c r="I1736">
        <v>30</v>
      </c>
      <c r="J1736">
        <v>9.3000000000000007</v>
      </c>
      <c r="K1736">
        <v>30</v>
      </c>
    </row>
    <row r="1737" spans="1:11">
      <c r="A1737">
        <v>1369</v>
      </c>
      <c r="B1737" s="1">
        <v>44844</v>
      </c>
      <c r="C1737" s="2">
        <v>0.88472222222222219</v>
      </c>
      <c r="D1737">
        <v>64</v>
      </c>
      <c r="E1737" t="s">
        <v>11</v>
      </c>
      <c r="F1737">
        <v>23</v>
      </c>
      <c r="G1737" t="s">
        <v>15</v>
      </c>
      <c r="H1737">
        <v>3</v>
      </c>
      <c r="I1737">
        <v>500</v>
      </c>
      <c r="J1737">
        <v>180</v>
      </c>
      <c r="K1737">
        <v>1500</v>
      </c>
    </row>
    <row r="1738" spans="1:11">
      <c r="A1738">
        <v>1706</v>
      </c>
      <c r="B1738" s="1">
        <v>44850</v>
      </c>
      <c r="C1738" s="2">
        <v>0.75277777777777777</v>
      </c>
      <c r="D1738">
        <v>57</v>
      </c>
      <c r="E1738" t="s">
        <v>11</v>
      </c>
      <c r="F1738">
        <v>51</v>
      </c>
      <c r="G1738" t="s">
        <v>15</v>
      </c>
      <c r="H1738">
        <v>4</v>
      </c>
      <c r="I1738">
        <v>25</v>
      </c>
      <c r="J1738">
        <v>11.75</v>
      </c>
      <c r="K1738">
        <v>100</v>
      </c>
    </row>
    <row r="1739" spans="1:11">
      <c r="A1739">
        <v>1747</v>
      </c>
      <c r="B1739" s="1">
        <v>45174</v>
      </c>
      <c r="C1739" s="2">
        <v>0.76527777777777772</v>
      </c>
      <c r="D1739">
        <v>87</v>
      </c>
      <c r="E1739" t="s">
        <v>11</v>
      </c>
      <c r="F1739">
        <v>23</v>
      </c>
      <c r="G1739" t="s">
        <v>13</v>
      </c>
      <c r="H1739">
        <v>1</v>
      </c>
      <c r="I1739">
        <v>30</v>
      </c>
      <c r="J1739">
        <v>16.2</v>
      </c>
      <c r="K1739">
        <v>30</v>
      </c>
    </row>
    <row r="1740" spans="1:11">
      <c r="A1740">
        <v>533</v>
      </c>
      <c r="B1740" s="1">
        <v>44878</v>
      </c>
      <c r="C1740" s="2">
        <v>0.72152777777777777</v>
      </c>
      <c r="D1740">
        <v>92</v>
      </c>
      <c r="E1740" t="s">
        <v>11</v>
      </c>
      <c r="F1740">
        <v>19</v>
      </c>
      <c r="G1740" t="s">
        <v>15</v>
      </c>
      <c r="H1740">
        <v>3</v>
      </c>
      <c r="I1740">
        <v>500</v>
      </c>
      <c r="J1740">
        <v>155</v>
      </c>
      <c r="K1740">
        <v>1500</v>
      </c>
    </row>
    <row r="1741" spans="1:11">
      <c r="A1741">
        <v>1533</v>
      </c>
      <c r="B1741" s="1">
        <v>44863</v>
      </c>
      <c r="C1741" s="2">
        <v>0.81597222222222221</v>
      </c>
      <c r="D1741">
        <v>67</v>
      </c>
      <c r="E1741" t="s">
        <v>11</v>
      </c>
      <c r="F1741">
        <v>19</v>
      </c>
      <c r="G1741" t="s">
        <v>15</v>
      </c>
      <c r="H1741">
        <v>3</v>
      </c>
      <c r="I1741">
        <v>500</v>
      </c>
      <c r="J1741">
        <v>255</v>
      </c>
      <c r="K1741">
        <v>1500</v>
      </c>
    </row>
    <row r="1742" spans="1:11">
      <c r="A1742">
        <v>169</v>
      </c>
      <c r="B1742" s="1">
        <v>44893</v>
      </c>
      <c r="C1742" s="2">
        <v>0.78263888888888888</v>
      </c>
      <c r="D1742">
        <v>73</v>
      </c>
      <c r="E1742" t="s">
        <v>11</v>
      </c>
      <c r="F1742">
        <v>18</v>
      </c>
      <c r="G1742" t="s">
        <v>13</v>
      </c>
      <c r="H1742">
        <v>3</v>
      </c>
      <c r="I1742">
        <v>500</v>
      </c>
      <c r="J1742">
        <v>145</v>
      </c>
      <c r="K1742">
        <v>1500</v>
      </c>
    </row>
    <row r="1743" spans="1:11">
      <c r="A1743">
        <v>645</v>
      </c>
      <c r="B1743" s="1">
        <v>44909</v>
      </c>
      <c r="C1743" s="2">
        <v>0.9243055555555556</v>
      </c>
      <c r="D1743">
        <v>51</v>
      </c>
      <c r="E1743" t="s">
        <v>14</v>
      </c>
      <c r="F1743">
        <v>35</v>
      </c>
      <c r="G1743" t="s">
        <v>15</v>
      </c>
      <c r="H1743">
        <v>4</v>
      </c>
      <c r="I1743">
        <v>30</v>
      </c>
      <c r="J1743">
        <v>11.1</v>
      </c>
      <c r="K1743">
        <v>120</v>
      </c>
    </row>
    <row r="1744" spans="1:11">
      <c r="A1744">
        <v>968</v>
      </c>
      <c r="B1744" s="1">
        <v>45278</v>
      </c>
      <c r="C1744" s="2">
        <v>0.8569444444444444</v>
      </c>
      <c r="D1744">
        <v>101</v>
      </c>
      <c r="E1744" t="s">
        <v>14</v>
      </c>
      <c r="F1744">
        <v>48</v>
      </c>
      <c r="G1744" t="s">
        <v>12</v>
      </c>
      <c r="H1744">
        <v>3</v>
      </c>
      <c r="I1744">
        <v>300</v>
      </c>
      <c r="J1744">
        <v>120</v>
      </c>
      <c r="K1744">
        <v>900</v>
      </c>
    </row>
    <row r="1745" spans="1:11">
      <c r="A1745">
        <v>997</v>
      </c>
      <c r="B1745" s="1">
        <v>45200</v>
      </c>
      <c r="C1745" s="2">
        <v>0.85833333333333328</v>
      </c>
      <c r="D1745">
        <v>51</v>
      </c>
      <c r="E1745" t="s">
        <v>11</v>
      </c>
      <c r="F1745">
        <v>52</v>
      </c>
      <c r="G1745" t="s">
        <v>13</v>
      </c>
      <c r="H1745">
        <v>3</v>
      </c>
      <c r="I1745">
        <v>30</v>
      </c>
      <c r="J1745">
        <v>15</v>
      </c>
      <c r="K1745">
        <v>90</v>
      </c>
    </row>
    <row r="1746" spans="1:11">
      <c r="A1746">
        <v>1169</v>
      </c>
      <c r="B1746" s="1">
        <v>44829</v>
      </c>
      <c r="C1746" s="2">
        <v>0.71666666666666667</v>
      </c>
      <c r="D1746">
        <v>101</v>
      </c>
      <c r="E1746" t="s">
        <v>11</v>
      </c>
      <c r="F1746">
        <v>18</v>
      </c>
      <c r="G1746" t="s">
        <v>13</v>
      </c>
      <c r="H1746">
        <v>3</v>
      </c>
      <c r="I1746">
        <v>500</v>
      </c>
      <c r="J1746">
        <v>255</v>
      </c>
      <c r="K1746">
        <v>1500</v>
      </c>
    </row>
    <row r="1747" spans="1:11">
      <c r="A1747">
        <v>1645</v>
      </c>
      <c r="B1747" s="1">
        <v>45211</v>
      </c>
      <c r="C1747" s="2">
        <v>0.7270833333333333</v>
      </c>
      <c r="D1747">
        <v>109</v>
      </c>
      <c r="E1747" t="s">
        <v>14</v>
      </c>
      <c r="F1747">
        <v>35</v>
      </c>
      <c r="G1747" t="s">
        <v>15</v>
      </c>
      <c r="H1747">
        <v>4</v>
      </c>
      <c r="I1747">
        <v>30</v>
      </c>
      <c r="J1747">
        <v>9</v>
      </c>
      <c r="K1747">
        <v>120</v>
      </c>
    </row>
    <row r="1748" spans="1:11">
      <c r="A1748">
        <v>1968</v>
      </c>
      <c r="B1748" s="1">
        <v>44825</v>
      </c>
      <c r="C1748" s="2">
        <v>0.79791666666666672</v>
      </c>
      <c r="D1748">
        <v>75</v>
      </c>
      <c r="E1748" t="s">
        <v>14</v>
      </c>
      <c r="F1748">
        <v>48</v>
      </c>
      <c r="G1748" t="s">
        <v>12</v>
      </c>
      <c r="H1748">
        <v>3</v>
      </c>
      <c r="I1748">
        <v>300</v>
      </c>
      <c r="J1748">
        <v>153</v>
      </c>
      <c r="K1748">
        <v>900</v>
      </c>
    </row>
    <row r="1749" spans="1:11">
      <c r="A1749">
        <v>1997</v>
      </c>
      <c r="B1749" s="1">
        <v>45228</v>
      </c>
      <c r="C1749" s="2">
        <v>0.88124999999999998</v>
      </c>
      <c r="D1749">
        <v>99</v>
      </c>
      <c r="E1749" t="s">
        <v>11</v>
      </c>
      <c r="F1749">
        <v>52</v>
      </c>
      <c r="G1749" t="s">
        <v>13</v>
      </c>
      <c r="H1749">
        <v>3</v>
      </c>
      <c r="I1749">
        <v>30</v>
      </c>
      <c r="J1749">
        <v>10.199999999999999</v>
      </c>
      <c r="K1749">
        <v>90</v>
      </c>
    </row>
    <row r="1750" spans="1:11">
      <c r="A1750">
        <v>57</v>
      </c>
      <c r="B1750" s="1">
        <v>44845</v>
      </c>
      <c r="C1750" s="2">
        <v>0.84166666666666667</v>
      </c>
      <c r="D1750">
        <v>64</v>
      </c>
      <c r="E1750" t="s">
        <v>14</v>
      </c>
      <c r="F1750">
        <v>63</v>
      </c>
      <c r="G1750" t="s">
        <v>13</v>
      </c>
      <c r="H1750">
        <v>1</v>
      </c>
      <c r="I1750">
        <v>30</v>
      </c>
      <c r="J1750">
        <v>10.199999999999999</v>
      </c>
      <c r="K1750">
        <v>30</v>
      </c>
    </row>
    <row r="1751" spans="1:11">
      <c r="A1751">
        <v>137</v>
      </c>
      <c r="B1751" s="1">
        <v>44814</v>
      </c>
      <c r="C1751" s="2">
        <v>0.86250000000000004</v>
      </c>
      <c r="D1751">
        <v>66</v>
      </c>
      <c r="E1751" t="s">
        <v>11</v>
      </c>
      <c r="F1751">
        <v>46</v>
      </c>
      <c r="G1751" t="s">
        <v>13</v>
      </c>
      <c r="H1751">
        <v>2</v>
      </c>
      <c r="I1751">
        <v>500</v>
      </c>
      <c r="J1751">
        <v>125</v>
      </c>
      <c r="K1751">
        <v>1000</v>
      </c>
    </row>
    <row r="1752" spans="1:11">
      <c r="A1752">
        <v>778</v>
      </c>
      <c r="B1752" s="1">
        <v>45273</v>
      </c>
      <c r="C1752" s="2">
        <v>0.76944444444444449</v>
      </c>
      <c r="D1752">
        <v>105</v>
      </c>
      <c r="E1752" t="s">
        <v>14</v>
      </c>
      <c r="F1752">
        <v>47</v>
      </c>
      <c r="G1752" t="s">
        <v>13</v>
      </c>
      <c r="H1752">
        <v>4</v>
      </c>
      <c r="I1752">
        <v>25</v>
      </c>
      <c r="J1752">
        <v>13.75</v>
      </c>
      <c r="K1752">
        <v>100</v>
      </c>
    </row>
    <row r="1753" spans="1:11">
      <c r="A1753">
        <v>1057</v>
      </c>
      <c r="B1753" s="1">
        <v>45188</v>
      </c>
      <c r="C1753" s="2">
        <v>0.93819444444444444</v>
      </c>
      <c r="D1753">
        <v>114</v>
      </c>
      <c r="E1753" t="s">
        <v>14</v>
      </c>
      <c r="F1753">
        <v>63</v>
      </c>
      <c r="G1753" t="s">
        <v>13</v>
      </c>
      <c r="H1753">
        <v>1</v>
      </c>
      <c r="I1753">
        <v>30</v>
      </c>
      <c r="J1753">
        <v>15.9</v>
      </c>
      <c r="K1753">
        <v>30</v>
      </c>
    </row>
    <row r="1754" spans="1:11">
      <c r="A1754">
        <v>1137</v>
      </c>
      <c r="B1754" s="1">
        <v>44870</v>
      </c>
      <c r="C1754" s="2">
        <v>0.94027777777777777</v>
      </c>
      <c r="D1754">
        <v>104</v>
      </c>
      <c r="E1754" t="s">
        <v>11</v>
      </c>
      <c r="F1754">
        <v>46</v>
      </c>
      <c r="G1754" t="s">
        <v>13</v>
      </c>
      <c r="H1754">
        <v>2</v>
      </c>
      <c r="I1754">
        <v>500</v>
      </c>
      <c r="J1754">
        <v>145</v>
      </c>
      <c r="K1754">
        <v>1000</v>
      </c>
    </row>
    <row r="1755" spans="1:11">
      <c r="A1755">
        <v>1778</v>
      </c>
      <c r="B1755" s="1">
        <v>45290</v>
      </c>
      <c r="C1755" s="2">
        <v>0.83125000000000004</v>
      </c>
      <c r="D1755">
        <v>94</v>
      </c>
      <c r="E1755" t="s">
        <v>14</v>
      </c>
      <c r="F1755">
        <v>47</v>
      </c>
      <c r="G1755" t="s">
        <v>13</v>
      </c>
      <c r="H1755">
        <v>4</v>
      </c>
      <c r="I1755">
        <v>25</v>
      </c>
      <c r="J1755">
        <v>11.25</v>
      </c>
      <c r="K1755">
        <v>100</v>
      </c>
    </row>
    <row r="1756" spans="1:11">
      <c r="A1756">
        <v>599</v>
      </c>
      <c r="B1756" s="1">
        <v>45270</v>
      </c>
      <c r="C1756" s="2">
        <v>0.79652777777777772</v>
      </c>
      <c r="D1756">
        <v>82</v>
      </c>
      <c r="E1756" t="s">
        <v>14</v>
      </c>
      <c r="F1756">
        <v>28</v>
      </c>
      <c r="G1756" t="s">
        <v>13</v>
      </c>
      <c r="H1756">
        <v>2</v>
      </c>
      <c r="I1756">
        <v>50</v>
      </c>
      <c r="J1756">
        <v>24.5</v>
      </c>
      <c r="K1756">
        <v>100</v>
      </c>
    </row>
    <row r="1757" spans="1:11">
      <c r="A1757">
        <v>938</v>
      </c>
      <c r="B1757" s="1">
        <v>44820</v>
      </c>
      <c r="C1757" s="2">
        <v>0.74652777777777779</v>
      </c>
      <c r="D1757">
        <v>103</v>
      </c>
      <c r="E1757" t="s">
        <v>11</v>
      </c>
      <c r="F1757">
        <v>49</v>
      </c>
      <c r="G1757" t="s">
        <v>12</v>
      </c>
      <c r="H1757">
        <v>4</v>
      </c>
      <c r="I1757">
        <v>50</v>
      </c>
      <c r="J1757">
        <v>23</v>
      </c>
      <c r="K1757">
        <v>200</v>
      </c>
    </row>
    <row r="1758" spans="1:11">
      <c r="A1758">
        <v>1599</v>
      </c>
      <c r="B1758" s="1">
        <v>44858</v>
      </c>
      <c r="C1758" s="2">
        <v>0.72430555555555554</v>
      </c>
      <c r="D1758">
        <v>110</v>
      </c>
      <c r="E1758" t="s">
        <v>14</v>
      </c>
      <c r="F1758">
        <v>28</v>
      </c>
      <c r="G1758" t="s">
        <v>13</v>
      </c>
      <c r="H1758">
        <v>2</v>
      </c>
      <c r="I1758">
        <v>50</v>
      </c>
      <c r="J1758">
        <v>20.5</v>
      </c>
      <c r="K1758">
        <v>100</v>
      </c>
    </row>
    <row r="1759" spans="1:11">
      <c r="A1759">
        <v>1938</v>
      </c>
      <c r="B1759" s="1">
        <v>44846</v>
      </c>
      <c r="C1759" s="2">
        <v>0.84375</v>
      </c>
      <c r="D1759">
        <v>76</v>
      </c>
      <c r="E1759" t="s">
        <v>11</v>
      </c>
      <c r="F1759">
        <v>49</v>
      </c>
      <c r="G1759" t="s">
        <v>12</v>
      </c>
      <c r="H1759">
        <v>4</v>
      </c>
      <c r="I1759">
        <v>50</v>
      </c>
      <c r="J1759">
        <v>13.5</v>
      </c>
      <c r="K1759">
        <v>200</v>
      </c>
    </row>
    <row r="1760" spans="1:11">
      <c r="A1760">
        <v>234</v>
      </c>
      <c r="B1760" s="1">
        <v>45269</v>
      </c>
      <c r="C1760" s="2">
        <v>0.73750000000000004</v>
      </c>
      <c r="D1760">
        <v>64</v>
      </c>
      <c r="E1760" t="s">
        <v>14</v>
      </c>
      <c r="F1760">
        <v>62</v>
      </c>
      <c r="G1760" t="s">
        <v>15</v>
      </c>
      <c r="H1760">
        <v>2</v>
      </c>
      <c r="I1760">
        <v>25</v>
      </c>
      <c r="J1760">
        <v>13.75</v>
      </c>
      <c r="K1760">
        <v>50</v>
      </c>
    </row>
    <row r="1761" spans="1:11">
      <c r="A1761">
        <v>1234</v>
      </c>
      <c r="B1761" s="1">
        <v>45176</v>
      </c>
      <c r="C1761" s="2">
        <v>0.74027777777777781</v>
      </c>
      <c r="D1761">
        <v>78</v>
      </c>
      <c r="E1761" t="s">
        <v>14</v>
      </c>
      <c r="F1761">
        <v>62</v>
      </c>
      <c r="G1761" t="s">
        <v>15</v>
      </c>
      <c r="H1761">
        <v>2</v>
      </c>
      <c r="I1761">
        <v>25</v>
      </c>
      <c r="J1761">
        <v>8.25</v>
      </c>
      <c r="K1761">
        <v>50</v>
      </c>
    </row>
    <row r="1762" spans="1:11">
      <c r="A1762">
        <v>410</v>
      </c>
      <c r="B1762" s="1">
        <v>45230</v>
      </c>
      <c r="C1762" s="2">
        <v>0.82013888888888886</v>
      </c>
      <c r="D1762">
        <v>64</v>
      </c>
      <c r="E1762" t="s">
        <v>14</v>
      </c>
      <c r="F1762">
        <v>29</v>
      </c>
      <c r="G1762" t="s">
        <v>12</v>
      </c>
      <c r="H1762">
        <v>2</v>
      </c>
      <c r="I1762">
        <v>50</v>
      </c>
      <c r="J1762">
        <v>14.5</v>
      </c>
      <c r="K1762">
        <v>100</v>
      </c>
    </row>
    <row r="1763" spans="1:11">
      <c r="A1763">
        <v>417</v>
      </c>
      <c r="B1763" s="1">
        <v>45200</v>
      </c>
      <c r="C1763" s="2">
        <v>0.91874999999999996</v>
      </c>
      <c r="D1763">
        <v>109</v>
      </c>
      <c r="E1763" t="s">
        <v>11</v>
      </c>
      <c r="F1763">
        <v>43</v>
      </c>
      <c r="G1763" t="s">
        <v>15</v>
      </c>
      <c r="H1763">
        <v>3</v>
      </c>
      <c r="I1763">
        <v>300</v>
      </c>
      <c r="J1763">
        <v>162</v>
      </c>
      <c r="K1763">
        <v>900</v>
      </c>
    </row>
    <row r="1764" spans="1:11">
      <c r="A1764">
        <v>581</v>
      </c>
      <c r="B1764" s="1">
        <v>44910</v>
      </c>
      <c r="C1764" s="2">
        <v>0.88611111111111107</v>
      </c>
      <c r="D1764">
        <v>103</v>
      </c>
      <c r="E1764" t="s">
        <v>14</v>
      </c>
      <c r="F1764">
        <v>48</v>
      </c>
      <c r="G1764" t="s">
        <v>13</v>
      </c>
      <c r="H1764">
        <v>2</v>
      </c>
      <c r="I1764">
        <v>30</v>
      </c>
      <c r="J1764">
        <v>13.8</v>
      </c>
      <c r="K1764">
        <v>60</v>
      </c>
    </row>
    <row r="1765" spans="1:11">
      <c r="A1765">
        <v>1410</v>
      </c>
      <c r="B1765" s="1">
        <v>44850</v>
      </c>
      <c r="C1765" s="2">
        <v>0.78263888888888888</v>
      </c>
      <c r="D1765">
        <v>72</v>
      </c>
      <c r="E1765" t="s">
        <v>14</v>
      </c>
      <c r="F1765">
        <v>29</v>
      </c>
      <c r="G1765" t="s">
        <v>12</v>
      </c>
      <c r="H1765">
        <v>2</v>
      </c>
      <c r="I1765">
        <v>50</v>
      </c>
      <c r="J1765">
        <v>22.5</v>
      </c>
      <c r="K1765">
        <v>100</v>
      </c>
    </row>
    <row r="1766" spans="1:11">
      <c r="A1766">
        <v>1417</v>
      </c>
      <c r="B1766" s="1">
        <v>44921</v>
      </c>
      <c r="C1766" s="2">
        <v>0.73819444444444449</v>
      </c>
      <c r="D1766">
        <v>54</v>
      </c>
      <c r="E1766" t="s">
        <v>11</v>
      </c>
      <c r="F1766">
        <v>43</v>
      </c>
      <c r="G1766" t="s">
        <v>15</v>
      </c>
      <c r="H1766">
        <v>3</v>
      </c>
      <c r="I1766">
        <v>300</v>
      </c>
      <c r="J1766">
        <v>147</v>
      </c>
      <c r="K1766">
        <v>900</v>
      </c>
    </row>
    <row r="1767" spans="1:11">
      <c r="A1767">
        <v>1581</v>
      </c>
      <c r="B1767" s="1">
        <v>44915</v>
      </c>
      <c r="C1767" s="2">
        <v>0.7895833333333333</v>
      </c>
      <c r="D1767">
        <v>108</v>
      </c>
      <c r="E1767" t="s">
        <v>14</v>
      </c>
      <c r="F1767">
        <v>48</v>
      </c>
      <c r="G1767" t="s">
        <v>13</v>
      </c>
      <c r="H1767">
        <v>2</v>
      </c>
      <c r="I1767">
        <v>30</v>
      </c>
      <c r="J1767">
        <v>9.9</v>
      </c>
      <c r="K1767">
        <v>60</v>
      </c>
    </row>
    <row r="1768" spans="1:11">
      <c r="A1768">
        <v>74</v>
      </c>
      <c r="B1768" s="1">
        <v>45204</v>
      </c>
      <c r="C1768" s="2">
        <v>0.82638888888888884</v>
      </c>
      <c r="D1768">
        <v>56</v>
      </c>
      <c r="E1768" t="s">
        <v>14</v>
      </c>
      <c r="F1768">
        <v>18</v>
      </c>
      <c r="G1768" t="s">
        <v>13</v>
      </c>
      <c r="H1768">
        <v>4</v>
      </c>
      <c r="I1768">
        <v>500</v>
      </c>
      <c r="J1768">
        <v>205</v>
      </c>
      <c r="K1768">
        <v>2000</v>
      </c>
    </row>
    <row r="1769" spans="1:11">
      <c r="A1769">
        <v>87</v>
      </c>
      <c r="B1769" s="1">
        <v>44811</v>
      </c>
      <c r="C1769" s="2">
        <v>0.75624999999999998</v>
      </c>
      <c r="D1769">
        <v>104</v>
      </c>
      <c r="E1769" t="s">
        <v>14</v>
      </c>
      <c r="F1769">
        <v>28</v>
      </c>
      <c r="G1769" t="s">
        <v>13</v>
      </c>
      <c r="H1769">
        <v>2</v>
      </c>
      <c r="I1769">
        <v>50</v>
      </c>
      <c r="J1769">
        <v>15.5</v>
      </c>
      <c r="K1769">
        <v>100</v>
      </c>
    </row>
    <row r="1770" spans="1:11">
      <c r="A1770">
        <v>803</v>
      </c>
      <c r="B1770" s="1">
        <v>44859</v>
      </c>
      <c r="C1770" s="2">
        <v>0.71944444444444444</v>
      </c>
      <c r="D1770">
        <v>60</v>
      </c>
      <c r="E1770" t="s">
        <v>11</v>
      </c>
      <c r="F1770">
        <v>39</v>
      </c>
      <c r="G1770" t="s">
        <v>12</v>
      </c>
      <c r="H1770">
        <v>4</v>
      </c>
      <c r="I1770">
        <v>25</v>
      </c>
      <c r="J1770">
        <v>6.75</v>
      </c>
      <c r="K1770">
        <v>100</v>
      </c>
    </row>
    <row r="1771" spans="1:11">
      <c r="A1771">
        <v>1074</v>
      </c>
      <c r="B1771" s="1">
        <v>44838</v>
      </c>
      <c r="C1771" s="2">
        <v>0.84583333333333333</v>
      </c>
      <c r="D1771">
        <v>67</v>
      </c>
      <c r="E1771" t="s">
        <v>14</v>
      </c>
      <c r="F1771">
        <v>18</v>
      </c>
      <c r="G1771" t="s">
        <v>13</v>
      </c>
      <c r="H1771">
        <v>4</v>
      </c>
      <c r="I1771">
        <v>500</v>
      </c>
      <c r="J1771">
        <v>230</v>
      </c>
      <c r="K1771">
        <v>2000</v>
      </c>
    </row>
    <row r="1772" spans="1:11">
      <c r="A1772">
        <v>1087</v>
      </c>
      <c r="B1772" s="1">
        <v>44873</v>
      </c>
      <c r="C1772" s="2">
        <v>0.95833333333333337</v>
      </c>
      <c r="D1772">
        <v>81</v>
      </c>
      <c r="E1772" t="s">
        <v>14</v>
      </c>
      <c r="F1772">
        <v>28</v>
      </c>
      <c r="G1772" t="s">
        <v>13</v>
      </c>
      <c r="H1772">
        <v>2</v>
      </c>
      <c r="I1772">
        <v>50</v>
      </c>
      <c r="J1772">
        <v>15</v>
      </c>
      <c r="K1772">
        <v>100</v>
      </c>
    </row>
    <row r="1773" spans="1:11">
      <c r="A1773">
        <v>1803</v>
      </c>
      <c r="B1773" s="1">
        <v>45286</v>
      </c>
      <c r="C1773" s="2">
        <v>0.81666666666666665</v>
      </c>
      <c r="D1773">
        <v>101</v>
      </c>
      <c r="E1773" t="s">
        <v>11</v>
      </c>
      <c r="F1773">
        <v>39</v>
      </c>
      <c r="G1773" t="s">
        <v>12</v>
      </c>
      <c r="H1773">
        <v>4</v>
      </c>
      <c r="I1773">
        <v>25</v>
      </c>
      <c r="J1773">
        <v>8.5</v>
      </c>
      <c r="K1773">
        <v>100</v>
      </c>
    </row>
    <row r="1774" spans="1:11">
      <c r="A1774">
        <v>424</v>
      </c>
      <c r="B1774" s="1">
        <v>45280</v>
      </c>
      <c r="C1774" s="2">
        <v>0.80625000000000002</v>
      </c>
      <c r="D1774">
        <v>101</v>
      </c>
      <c r="E1774" t="s">
        <v>11</v>
      </c>
      <c r="F1774">
        <v>57</v>
      </c>
      <c r="G1774" t="s">
        <v>13</v>
      </c>
      <c r="H1774">
        <v>4</v>
      </c>
      <c r="I1774">
        <v>300</v>
      </c>
      <c r="J1774">
        <v>147</v>
      </c>
      <c r="K1774">
        <v>1200</v>
      </c>
    </row>
    <row r="1775" spans="1:11">
      <c r="A1775">
        <v>641</v>
      </c>
      <c r="B1775" s="1">
        <v>45285</v>
      </c>
      <c r="C1775" s="2">
        <v>0.77083333333333337</v>
      </c>
      <c r="D1775">
        <v>105</v>
      </c>
      <c r="E1775" t="s">
        <v>14</v>
      </c>
      <c r="F1775">
        <v>40</v>
      </c>
      <c r="G1775" t="s">
        <v>15</v>
      </c>
      <c r="H1775">
        <v>1</v>
      </c>
      <c r="I1775">
        <v>300</v>
      </c>
      <c r="J1775">
        <v>144</v>
      </c>
      <c r="K1775">
        <v>300</v>
      </c>
    </row>
    <row r="1776" spans="1:11">
      <c r="A1776">
        <v>918</v>
      </c>
      <c r="B1776" s="1">
        <v>45212</v>
      </c>
      <c r="C1776" s="2">
        <v>0.91597222222222219</v>
      </c>
      <c r="D1776">
        <v>114</v>
      </c>
      <c r="E1776" t="s">
        <v>14</v>
      </c>
      <c r="F1776">
        <v>42</v>
      </c>
      <c r="G1776" t="s">
        <v>15</v>
      </c>
      <c r="H1776">
        <v>3</v>
      </c>
      <c r="I1776">
        <v>30</v>
      </c>
      <c r="J1776">
        <v>16.2</v>
      </c>
      <c r="K1776">
        <v>90</v>
      </c>
    </row>
    <row r="1777" spans="1:11">
      <c r="A1777">
        <v>1424</v>
      </c>
      <c r="B1777" s="1">
        <v>45174</v>
      </c>
      <c r="C1777" s="2">
        <v>0.89722222222222225</v>
      </c>
      <c r="D1777">
        <v>54</v>
      </c>
      <c r="E1777" t="s">
        <v>11</v>
      </c>
      <c r="F1777">
        <v>57</v>
      </c>
      <c r="G1777" t="s">
        <v>13</v>
      </c>
      <c r="H1777">
        <v>4</v>
      </c>
      <c r="I1777">
        <v>300</v>
      </c>
      <c r="J1777">
        <v>111</v>
      </c>
      <c r="K1777">
        <v>1200</v>
      </c>
    </row>
    <row r="1778" spans="1:11">
      <c r="A1778">
        <v>1641</v>
      </c>
      <c r="B1778" s="1">
        <v>44805</v>
      </c>
      <c r="C1778" s="2">
        <v>0.7368055555555556</v>
      </c>
      <c r="D1778">
        <v>65</v>
      </c>
      <c r="E1778" t="s">
        <v>14</v>
      </c>
      <c r="F1778">
        <v>40</v>
      </c>
      <c r="G1778" t="s">
        <v>15</v>
      </c>
      <c r="H1778">
        <v>1</v>
      </c>
      <c r="I1778">
        <v>300</v>
      </c>
      <c r="J1778">
        <v>165</v>
      </c>
      <c r="K1778">
        <v>300</v>
      </c>
    </row>
    <row r="1779" spans="1:11">
      <c r="A1779">
        <v>1918</v>
      </c>
      <c r="B1779" s="1">
        <v>44905</v>
      </c>
      <c r="C1779" s="2">
        <v>0.9145833333333333</v>
      </c>
      <c r="D1779">
        <v>56</v>
      </c>
      <c r="E1779" t="s">
        <v>14</v>
      </c>
      <c r="F1779">
        <v>42</v>
      </c>
      <c r="G1779" t="s">
        <v>15</v>
      </c>
      <c r="H1779">
        <v>3</v>
      </c>
      <c r="I1779">
        <v>30</v>
      </c>
      <c r="J1779">
        <v>13.2</v>
      </c>
      <c r="K1779">
        <v>90</v>
      </c>
    </row>
    <row r="1780" spans="1:11">
      <c r="A1780">
        <v>1</v>
      </c>
      <c r="B1780" s="1">
        <v>44911</v>
      </c>
      <c r="C1780" s="2">
        <v>0.79861111111111116</v>
      </c>
      <c r="D1780">
        <v>50</v>
      </c>
      <c r="E1780" t="s">
        <v>11</v>
      </c>
      <c r="F1780">
        <v>34</v>
      </c>
      <c r="G1780" t="s">
        <v>13</v>
      </c>
      <c r="H1780">
        <v>3</v>
      </c>
      <c r="I1780">
        <v>50</v>
      </c>
      <c r="J1780">
        <v>16</v>
      </c>
      <c r="K1780">
        <v>150</v>
      </c>
    </row>
    <row r="1781" spans="1:11">
      <c r="A1781">
        <v>95</v>
      </c>
      <c r="B1781" s="1">
        <v>44871</v>
      </c>
      <c r="C1781" s="2">
        <v>0.83125000000000004</v>
      </c>
      <c r="D1781">
        <v>103</v>
      </c>
      <c r="E1781" t="s">
        <v>14</v>
      </c>
      <c r="F1781">
        <v>32</v>
      </c>
      <c r="G1781" t="s">
        <v>12</v>
      </c>
      <c r="H1781">
        <v>2</v>
      </c>
      <c r="I1781">
        <v>30</v>
      </c>
      <c r="J1781">
        <v>7.5</v>
      </c>
      <c r="K1781">
        <v>60</v>
      </c>
    </row>
    <row r="1782" spans="1:11">
      <c r="A1782">
        <v>171</v>
      </c>
      <c r="B1782" s="1">
        <v>44848</v>
      </c>
      <c r="C1782" s="2">
        <v>0.84027777777777779</v>
      </c>
      <c r="D1782">
        <v>109</v>
      </c>
      <c r="E1782" t="s">
        <v>14</v>
      </c>
      <c r="F1782">
        <v>52</v>
      </c>
      <c r="G1782" t="s">
        <v>12</v>
      </c>
      <c r="H1782">
        <v>3</v>
      </c>
      <c r="I1782">
        <v>300</v>
      </c>
      <c r="J1782">
        <v>126</v>
      </c>
      <c r="K1782">
        <v>900</v>
      </c>
    </row>
    <row r="1783" spans="1:11">
      <c r="A1783">
        <v>1001</v>
      </c>
      <c r="B1783" s="1">
        <v>45170</v>
      </c>
      <c r="C1783" s="2">
        <v>0.84097222222222223</v>
      </c>
      <c r="D1783">
        <v>99</v>
      </c>
      <c r="E1783" t="s">
        <v>11</v>
      </c>
      <c r="F1783">
        <v>34</v>
      </c>
      <c r="G1783" t="s">
        <v>13</v>
      </c>
      <c r="H1783">
        <v>3</v>
      </c>
      <c r="I1783">
        <v>50</v>
      </c>
      <c r="J1783">
        <v>22</v>
      </c>
      <c r="K1783">
        <v>150</v>
      </c>
    </row>
    <row r="1784" spans="1:11">
      <c r="A1784">
        <v>1095</v>
      </c>
      <c r="B1784" s="1">
        <v>44809</v>
      </c>
      <c r="C1784" s="2">
        <v>0.74722222222222223</v>
      </c>
      <c r="D1784">
        <v>56</v>
      </c>
      <c r="E1784" t="s">
        <v>14</v>
      </c>
      <c r="F1784">
        <v>32</v>
      </c>
      <c r="G1784" t="s">
        <v>12</v>
      </c>
      <c r="H1784">
        <v>2</v>
      </c>
      <c r="I1784">
        <v>30</v>
      </c>
      <c r="J1784">
        <v>9.9</v>
      </c>
      <c r="K1784">
        <v>60</v>
      </c>
    </row>
    <row r="1785" spans="1:11">
      <c r="A1785">
        <v>1171</v>
      </c>
      <c r="B1785" s="1">
        <v>44839</v>
      </c>
      <c r="C1785" s="2">
        <v>0.87847222222222221</v>
      </c>
      <c r="D1785">
        <v>87</v>
      </c>
      <c r="E1785" t="s">
        <v>14</v>
      </c>
      <c r="F1785">
        <v>52</v>
      </c>
      <c r="G1785" t="s">
        <v>12</v>
      </c>
      <c r="H1785">
        <v>3</v>
      </c>
      <c r="I1785">
        <v>300</v>
      </c>
      <c r="J1785">
        <v>84</v>
      </c>
      <c r="K1785">
        <v>900</v>
      </c>
    </row>
    <row r="1786" spans="1:11">
      <c r="A1786">
        <v>156</v>
      </c>
      <c r="B1786" s="1">
        <v>44897</v>
      </c>
      <c r="C1786" s="2">
        <v>0.81527777777777777</v>
      </c>
      <c r="D1786">
        <v>60</v>
      </c>
      <c r="E1786" t="s">
        <v>14</v>
      </c>
      <c r="F1786">
        <v>43</v>
      </c>
      <c r="G1786" t="s">
        <v>12</v>
      </c>
      <c r="H1786">
        <v>4</v>
      </c>
      <c r="I1786">
        <v>25</v>
      </c>
      <c r="J1786">
        <v>7</v>
      </c>
      <c r="K1786">
        <v>100</v>
      </c>
    </row>
    <row r="1787" spans="1:11">
      <c r="A1787">
        <v>493</v>
      </c>
      <c r="B1787" s="1">
        <v>44896</v>
      </c>
      <c r="C1787" s="2">
        <v>0.84027777777777779</v>
      </c>
      <c r="D1787">
        <v>95</v>
      </c>
      <c r="E1787" t="s">
        <v>11</v>
      </c>
      <c r="F1787">
        <v>41</v>
      </c>
      <c r="G1787" t="s">
        <v>13</v>
      </c>
      <c r="H1787">
        <v>2</v>
      </c>
      <c r="I1787">
        <v>25</v>
      </c>
      <c r="J1787">
        <v>7.75</v>
      </c>
      <c r="K1787">
        <v>50</v>
      </c>
    </row>
    <row r="1788" spans="1:11">
      <c r="A1788">
        <v>1156</v>
      </c>
      <c r="B1788" s="1">
        <v>44921</v>
      </c>
      <c r="C1788" s="2">
        <v>0.88194444444444442</v>
      </c>
      <c r="D1788">
        <v>68</v>
      </c>
      <c r="E1788" t="s">
        <v>14</v>
      </c>
      <c r="F1788">
        <v>43</v>
      </c>
      <c r="G1788" t="s">
        <v>12</v>
      </c>
      <c r="H1788">
        <v>4</v>
      </c>
      <c r="I1788">
        <v>25</v>
      </c>
      <c r="J1788">
        <v>13.5</v>
      </c>
      <c r="K1788">
        <v>100</v>
      </c>
    </row>
    <row r="1789" spans="1:11">
      <c r="A1789">
        <v>1493</v>
      </c>
      <c r="B1789" s="1">
        <v>45256</v>
      </c>
      <c r="C1789" s="2">
        <v>0.90902777777777777</v>
      </c>
      <c r="D1789">
        <v>58</v>
      </c>
      <c r="E1789" t="s">
        <v>11</v>
      </c>
      <c r="F1789">
        <v>41</v>
      </c>
      <c r="G1789" t="s">
        <v>13</v>
      </c>
      <c r="H1789">
        <v>2</v>
      </c>
      <c r="I1789">
        <v>25</v>
      </c>
      <c r="J1789">
        <v>6.75</v>
      </c>
      <c r="K1789">
        <v>50</v>
      </c>
    </row>
    <row r="1790" spans="1:11">
      <c r="A1790">
        <v>115</v>
      </c>
      <c r="B1790" s="1">
        <v>44806</v>
      </c>
      <c r="C1790" s="2">
        <v>0.80625000000000002</v>
      </c>
      <c r="D1790">
        <v>67</v>
      </c>
      <c r="E1790" t="s">
        <v>11</v>
      </c>
      <c r="F1790">
        <v>51</v>
      </c>
      <c r="G1790" t="s">
        <v>12</v>
      </c>
      <c r="H1790">
        <v>3</v>
      </c>
      <c r="I1790">
        <v>500</v>
      </c>
      <c r="J1790">
        <v>255</v>
      </c>
      <c r="K1790">
        <v>1500</v>
      </c>
    </row>
    <row r="1791" spans="1:11">
      <c r="A1791">
        <v>715</v>
      </c>
      <c r="B1791" s="1">
        <v>44845</v>
      </c>
      <c r="C1791" s="2">
        <v>0.87291666666666667</v>
      </c>
      <c r="D1791">
        <v>55</v>
      </c>
      <c r="E1791" t="s">
        <v>14</v>
      </c>
      <c r="F1791">
        <v>42</v>
      </c>
      <c r="G1791" t="s">
        <v>13</v>
      </c>
      <c r="H1791">
        <v>4</v>
      </c>
      <c r="I1791">
        <v>25</v>
      </c>
      <c r="J1791">
        <v>6.25</v>
      </c>
      <c r="K1791">
        <v>100</v>
      </c>
    </row>
    <row r="1792" spans="1:11">
      <c r="A1792">
        <v>1115</v>
      </c>
      <c r="B1792" s="1">
        <v>45190</v>
      </c>
      <c r="C1792" s="2">
        <v>0.7368055555555556</v>
      </c>
      <c r="D1792">
        <v>99</v>
      </c>
      <c r="E1792" t="s">
        <v>11</v>
      </c>
      <c r="F1792">
        <v>51</v>
      </c>
      <c r="G1792" t="s">
        <v>12</v>
      </c>
      <c r="H1792">
        <v>3</v>
      </c>
      <c r="I1792">
        <v>500</v>
      </c>
      <c r="J1792">
        <v>180</v>
      </c>
      <c r="K1792">
        <v>1500</v>
      </c>
    </row>
    <row r="1793" spans="1:11">
      <c r="A1793">
        <v>1715</v>
      </c>
      <c r="B1793" s="1">
        <v>44925</v>
      </c>
      <c r="C1793" s="2">
        <v>0.81597222222222221</v>
      </c>
      <c r="D1793">
        <v>89</v>
      </c>
      <c r="E1793" t="s">
        <v>14</v>
      </c>
      <c r="F1793">
        <v>42</v>
      </c>
      <c r="G1793" t="s">
        <v>13</v>
      </c>
      <c r="H1793">
        <v>4</v>
      </c>
      <c r="I1793">
        <v>25</v>
      </c>
      <c r="J1793">
        <v>9.75</v>
      </c>
      <c r="K1793">
        <v>100</v>
      </c>
    </row>
    <row r="1794" spans="1:11">
      <c r="A1794">
        <v>267</v>
      </c>
      <c r="B1794" s="1">
        <v>44884</v>
      </c>
      <c r="C1794" s="2">
        <v>0.74513888888888891</v>
      </c>
      <c r="D1794">
        <v>84</v>
      </c>
      <c r="E1794" t="s">
        <v>14</v>
      </c>
      <c r="F1794">
        <v>32</v>
      </c>
      <c r="G1794" t="s">
        <v>13</v>
      </c>
      <c r="H1794">
        <v>3</v>
      </c>
      <c r="I1794">
        <v>30</v>
      </c>
      <c r="J1794">
        <v>12</v>
      </c>
      <c r="K1794">
        <v>90</v>
      </c>
    </row>
    <row r="1795" spans="1:11">
      <c r="A1795">
        <v>362</v>
      </c>
      <c r="B1795" s="1">
        <v>45196</v>
      </c>
      <c r="C1795" s="2">
        <v>0.94652777777777775</v>
      </c>
      <c r="D1795">
        <v>101</v>
      </c>
      <c r="E1795" t="s">
        <v>11</v>
      </c>
      <c r="F1795">
        <v>50</v>
      </c>
      <c r="G1795" t="s">
        <v>12</v>
      </c>
      <c r="H1795">
        <v>1</v>
      </c>
      <c r="I1795">
        <v>25</v>
      </c>
      <c r="J1795">
        <v>10.25</v>
      </c>
      <c r="K1795">
        <v>25</v>
      </c>
    </row>
    <row r="1796" spans="1:11">
      <c r="A1796">
        <v>856</v>
      </c>
      <c r="B1796" s="1">
        <v>44870</v>
      </c>
      <c r="C1796" s="2">
        <v>0.73819444444444449</v>
      </c>
      <c r="D1796">
        <v>102</v>
      </c>
      <c r="E1796" t="s">
        <v>11</v>
      </c>
      <c r="F1796">
        <v>54</v>
      </c>
      <c r="G1796" t="s">
        <v>15</v>
      </c>
      <c r="H1796">
        <v>4</v>
      </c>
      <c r="I1796">
        <v>30</v>
      </c>
      <c r="J1796">
        <v>9.3000000000000007</v>
      </c>
      <c r="K1796">
        <v>120</v>
      </c>
    </row>
    <row r="1797" spans="1:11">
      <c r="A1797">
        <v>1267</v>
      </c>
      <c r="B1797" s="1">
        <v>44918</v>
      </c>
      <c r="C1797" s="2">
        <v>0.87708333333333333</v>
      </c>
      <c r="D1797">
        <v>91</v>
      </c>
      <c r="E1797" t="s">
        <v>14</v>
      </c>
      <c r="F1797">
        <v>32</v>
      </c>
      <c r="G1797" t="s">
        <v>13</v>
      </c>
      <c r="H1797">
        <v>3</v>
      </c>
      <c r="I1797">
        <v>30</v>
      </c>
      <c r="J1797">
        <v>9.6</v>
      </c>
      <c r="K1797">
        <v>90</v>
      </c>
    </row>
    <row r="1798" spans="1:11">
      <c r="A1798">
        <v>1362</v>
      </c>
      <c r="B1798" s="1">
        <v>45251</v>
      </c>
      <c r="C1798" s="2">
        <v>0.78680555555555554</v>
      </c>
      <c r="D1798">
        <v>104</v>
      </c>
      <c r="E1798" t="s">
        <v>11</v>
      </c>
      <c r="F1798">
        <v>50</v>
      </c>
      <c r="G1798" t="s">
        <v>12</v>
      </c>
      <c r="H1798">
        <v>1</v>
      </c>
      <c r="I1798">
        <v>25</v>
      </c>
      <c r="J1798">
        <v>11</v>
      </c>
      <c r="K1798">
        <v>25</v>
      </c>
    </row>
    <row r="1799" spans="1:11">
      <c r="A1799">
        <v>1856</v>
      </c>
      <c r="B1799" s="1">
        <v>45280</v>
      </c>
      <c r="C1799" s="2">
        <v>0.89861111111111114</v>
      </c>
      <c r="D1799">
        <v>114</v>
      </c>
      <c r="E1799" t="s">
        <v>11</v>
      </c>
      <c r="F1799">
        <v>54</v>
      </c>
      <c r="G1799" t="s">
        <v>15</v>
      </c>
      <c r="H1799">
        <v>4</v>
      </c>
      <c r="I1799">
        <v>30</v>
      </c>
      <c r="J1799">
        <v>16.2</v>
      </c>
      <c r="K1799">
        <v>120</v>
      </c>
    </row>
    <row r="1800" spans="1:11">
      <c r="A1800">
        <v>84</v>
      </c>
      <c r="B1800" s="1">
        <v>45240</v>
      </c>
      <c r="C1800" s="2">
        <v>0.72013888888888888</v>
      </c>
      <c r="D1800">
        <v>89</v>
      </c>
      <c r="E1800" t="s">
        <v>14</v>
      </c>
      <c r="F1800">
        <v>38</v>
      </c>
      <c r="G1800" t="s">
        <v>15</v>
      </c>
      <c r="H1800">
        <v>3</v>
      </c>
      <c r="I1800">
        <v>30</v>
      </c>
      <c r="J1800">
        <v>10.199999999999999</v>
      </c>
      <c r="K1800">
        <v>90</v>
      </c>
    </row>
    <row r="1801" spans="1:11">
      <c r="A1801">
        <v>795</v>
      </c>
      <c r="B1801" s="1">
        <v>45202</v>
      </c>
      <c r="C1801" s="2">
        <v>0.82708333333333328</v>
      </c>
      <c r="D1801">
        <v>71</v>
      </c>
      <c r="E1801" t="s">
        <v>11</v>
      </c>
      <c r="F1801">
        <v>57</v>
      </c>
      <c r="G1801" t="s">
        <v>15</v>
      </c>
      <c r="H1801">
        <v>1</v>
      </c>
      <c r="I1801">
        <v>300</v>
      </c>
      <c r="J1801">
        <v>102</v>
      </c>
      <c r="K1801">
        <v>300</v>
      </c>
    </row>
    <row r="1802" spans="1:11">
      <c r="A1802">
        <v>1084</v>
      </c>
      <c r="B1802" s="1">
        <v>44857</v>
      </c>
      <c r="C1802" s="2">
        <v>0.85902777777777772</v>
      </c>
      <c r="D1802">
        <v>93</v>
      </c>
      <c r="E1802" t="s">
        <v>14</v>
      </c>
      <c r="F1802">
        <v>38</v>
      </c>
      <c r="G1802" t="s">
        <v>15</v>
      </c>
      <c r="H1802">
        <v>3</v>
      </c>
      <c r="I1802">
        <v>30</v>
      </c>
      <c r="J1802">
        <v>7.8</v>
      </c>
      <c r="K1802">
        <v>90</v>
      </c>
    </row>
    <row r="1803" spans="1:11">
      <c r="A1803">
        <v>1795</v>
      </c>
      <c r="B1803" s="1">
        <v>45289</v>
      </c>
      <c r="C1803" s="2">
        <v>0.78472222222222221</v>
      </c>
      <c r="D1803">
        <v>86</v>
      </c>
      <c r="E1803" t="s">
        <v>11</v>
      </c>
      <c r="F1803">
        <v>57</v>
      </c>
      <c r="G1803" t="s">
        <v>15</v>
      </c>
      <c r="H1803">
        <v>1</v>
      </c>
      <c r="I1803">
        <v>300</v>
      </c>
      <c r="J1803">
        <v>105</v>
      </c>
      <c r="K1803">
        <v>300</v>
      </c>
    </row>
    <row r="1804" spans="1:11">
      <c r="A1804">
        <v>24</v>
      </c>
      <c r="B1804" s="1">
        <v>45274</v>
      </c>
      <c r="C1804" s="2">
        <v>0.95763888888888893</v>
      </c>
      <c r="D1804">
        <v>59</v>
      </c>
      <c r="E1804" t="s">
        <v>14</v>
      </c>
      <c r="F1804">
        <v>49</v>
      </c>
      <c r="G1804" t="s">
        <v>12</v>
      </c>
      <c r="H1804">
        <v>1</v>
      </c>
      <c r="I1804">
        <v>300</v>
      </c>
      <c r="J1804">
        <v>87</v>
      </c>
      <c r="K1804">
        <v>300</v>
      </c>
    </row>
    <row r="1805" spans="1:11">
      <c r="A1805">
        <v>215</v>
      </c>
      <c r="B1805" s="1">
        <v>44837</v>
      </c>
      <c r="C1805" s="2">
        <v>0.88888888888888884</v>
      </c>
      <c r="D1805">
        <v>101</v>
      </c>
      <c r="E1805" t="s">
        <v>11</v>
      </c>
      <c r="F1805">
        <v>58</v>
      </c>
      <c r="G1805" t="s">
        <v>12</v>
      </c>
      <c r="H1805">
        <v>3</v>
      </c>
      <c r="I1805">
        <v>500</v>
      </c>
      <c r="J1805">
        <v>145</v>
      </c>
      <c r="K1805">
        <v>1500</v>
      </c>
    </row>
    <row r="1806" spans="1:11">
      <c r="A1806">
        <v>739</v>
      </c>
      <c r="B1806" s="1">
        <v>45213</v>
      </c>
      <c r="C1806" s="2">
        <v>0.71458333333333335</v>
      </c>
      <c r="D1806">
        <v>57</v>
      </c>
      <c r="E1806" t="s">
        <v>11</v>
      </c>
      <c r="F1806">
        <v>36</v>
      </c>
      <c r="G1806" t="s">
        <v>13</v>
      </c>
      <c r="H1806">
        <v>1</v>
      </c>
      <c r="I1806">
        <v>25</v>
      </c>
      <c r="J1806">
        <v>10.25</v>
      </c>
      <c r="K1806">
        <v>25</v>
      </c>
    </row>
    <row r="1807" spans="1:11">
      <c r="A1807">
        <v>1024</v>
      </c>
      <c r="B1807" s="1">
        <v>45263</v>
      </c>
      <c r="C1807" s="2">
        <v>0.91041666666666665</v>
      </c>
      <c r="D1807">
        <v>72</v>
      </c>
      <c r="E1807" t="s">
        <v>14</v>
      </c>
      <c r="F1807">
        <v>49</v>
      </c>
      <c r="G1807" t="s">
        <v>12</v>
      </c>
      <c r="H1807">
        <v>1</v>
      </c>
      <c r="I1807">
        <v>300</v>
      </c>
      <c r="J1807">
        <v>126</v>
      </c>
      <c r="K1807">
        <v>300</v>
      </c>
    </row>
    <row r="1808" spans="1:11">
      <c r="A1808">
        <v>1215</v>
      </c>
      <c r="B1808" s="1">
        <v>44884</v>
      </c>
      <c r="C1808" s="2">
        <v>0.86388888888888893</v>
      </c>
      <c r="D1808">
        <v>107</v>
      </c>
      <c r="E1808" t="s">
        <v>11</v>
      </c>
      <c r="F1808">
        <v>58</v>
      </c>
      <c r="G1808" t="s">
        <v>12</v>
      </c>
      <c r="H1808">
        <v>3</v>
      </c>
      <c r="I1808">
        <v>500</v>
      </c>
      <c r="J1808">
        <v>130</v>
      </c>
      <c r="K1808">
        <v>1500</v>
      </c>
    </row>
    <row r="1809" spans="1:11">
      <c r="A1809">
        <v>1739</v>
      </c>
      <c r="B1809" s="1">
        <v>45224</v>
      </c>
      <c r="C1809" s="2">
        <v>0.74444444444444446</v>
      </c>
      <c r="D1809">
        <v>67</v>
      </c>
      <c r="E1809" t="s">
        <v>11</v>
      </c>
      <c r="F1809">
        <v>36</v>
      </c>
      <c r="G1809" t="s">
        <v>13</v>
      </c>
      <c r="H1809">
        <v>1</v>
      </c>
      <c r="I1809">
        <v>25</v>
      </c>
      <c r="J1809">
        <v>11.25</v>
      </c>
      <c r="K1809">
        <v>25</v>
      </c>
    </row>
    <row r="1810" spans="1:11">
      <c r="A1810">
        <v>289</v>
      </c>
      <c r="B1810" s="1">
        <v>45178</v>
      </c>
      <c r="C1810" s="2">
        <v>0.85347222222222219</v>
      </c>
      <c r="D1810">
        <v>107</v>
      </c>
      <c r="E1810" t="s">
        <v>11</v>
      </c>
      <c r="F1810">
        <v>53</v>
      </c>
      <c r="G1810" t="s">
        <v>15</v>
      </c>
      <c r="H1810">
        <v>2</v>
      </c>
      <c r="I1810">
        <v>30</v>
      </c>
      <c r="J1810">
        <v>8.1</v>
      </c>
      <c r="K1810">
        <v>60</v>
      </c>
    </row>
    <row r="1811" spans="1:11">
      <c r="A1811">
        <v>741</v>
      </c>
      <c r="B1811" s="1">
        <v>44919</v>
      </c>
      <c r="C1811" s="2">
        <v>0.9375</v>
      </c>
      <c r="D1811">
        <v>53</v>
      </c>
      <c r="E1811" t="s">
        <v>11</v>
      </c>
      <c r="F1811">
        <v>48</v>
      </c>
      <c r="G1811" t="s">
        <v>12</v>
      </c>
      <c r="H1811">
        <v>1</v>
      </c>
      <c r="I1811">
        <v>300</v>
      </c>
      <c r="J1811">
        <v>141</v>
      </c>
      <c r="K1811">
        <v>300</v>
      </c>
    </row>
    <row r="1812" spans="1:11">
      <c r="A1812">
        <v>810</v>
      </c>
      <c r="B1812" s="1">
        <v>44896</v>
      </c>
      <c r="C1812" s="2">
        <v>0.75277777777777777</v>
      </c>
      <c r="D1812">
        <v>76</v>
      </c>
      <c r="E1812" t="s">
        <v>11</v>
      </c>
      <c r="F1812">
        <v>59</v>
      </c>
      <c r="G1812" t="s">
        <v>15</v>
      </c>
      <c r="H1812">
        <v>4</v>
      </c>
      <c r="I1812">
        <v>25</v>
      </c>
      <c r="J1812">
        <v>13.75</v>
      </c>
      <c r="K1812">
        <v>100</v>
      </c>
    </row>
    <row r="1813" spans="1:11">
      <c r="A1813">
        <v>1289</v>
      </c>
      <c r="B1813" s="1">
        <v>45209</v>
      </c>
      <c r="C1813" s="2">
        <v>0.81597222222222221</v>
      </c>
      <c r="D1813">
        <v>83</v>
      </c>
      <c r="E1813" t="s">
        <v>11</v>
      </c>
      <c r="F1813">
        <v>53</v>
      </c>
      <c r="G1813" t="s">
        <v>15</v>
      </c>
      <c r="H1813">
        <v>2</v>
      </c>
      <c r="I1813">
        <v>30</v>
      </c>
      <c r="J1813">
        <v>16.2</v>
      </c>
      <c r="K1813">
        <v>60</v>
      </c>
    </row>
    <row r="1814" spans="1:11">
      <c r="A1814">
        <v>1741</v>
      </c>
      <c r="B1814" s="1">
        <v>45171</v>
      </c>
      <c r="C1814" s="2">
        <v>0.86597222222222225</v>
      </c>
      <c r="D1814">
        <v>70</v>
      </c>
      <c r="E1814" t="s">
        <v>11</v>
      </c>
      <c r="F1814">
        <v>48</v>
      </c>
      <c r="G1814" t="s">
        <v>12</v>
      </c>
      <c r="H1814">
        <v>1</v>
      </c>
      <c r="I1814">
        <v>300</v>
      </c>
      <c r="J1814">
        <v>132</v>
      </c>
      <c r="K1814">
        <v>300</v>
      </c>
    </row>
    <row r="1815" spans="1:11">
      <c r="A1815">
        <v>1810</v>
      </c>
      <c r="B1815" s="1">
        <v>45191</v>
      </c>
      <c r="C1815" s="2">
        <v>0.77013888888888893</v>
      </c>
      <c r="D1815">
        <v>106</v>
      </c>
      <c r="E1815" t="s">
        <v>11</v>
      </c>
      <c r="F1815">
        <v>59</v>
      </c>
      <c r="G1815" t="s">
        <v>15</v>
      </c>
      <c r="H1815">
        <v>4</v>
      </c>
      <c r="I1815">
        <v>25</v>
      </c>
      <c r="J1815">
        <v>13.5</v>
      </c>
      <c r="K1815">
        <v>100</v>
      </c>
    </row>
    <row r="1816" spans="1:11">
      <c r="A1816">
        <v>266</v>
      </c>
      <c r="B1816" s="1">
        <v>44816</v>
      </c>
      <c r="C1816" s="2">
        <v>0.7680555555555556</v>
      </c>
      <c r="D1816">
        <v>66</v>
      </c>
      <c r="E1816" t="s">
        <v>14</v>
      </c>
      <c r="F1816">
        <v>19</v>
      </c>
      <c r="G1816" t="s">
        <v>15</v>
      </c>
      <c r="H1816">
        <v>2</v>
      </c>
      <c r="I1816">
        <v>30</v>
      </c>
      <c r="J1816">
        <v>14.4</v>
      </c>
      <c r="K1816">
        <v>60</v>
      </c>
    </row>
    <row r="1817" spans="1:11">
      <c r="A1817">
        <v>389</v>
      </c>
      <c r="B1817" s="1">
        <v>44876</v>
      </c>
      <c r="C1817" s="2">
        <v>0.79583333333333328</v>
      </c>
      <c r="D1817">
        <v>109</v>
      </c>
      <c r="E1817" t="s">
        <v>11</v>
      </c>
      <c r="F1817">
        <v>21</v>
      </c>
      <c r="G1817" t="s">
        <v>12</v>
      </c>
      <c r="H1817">
        <v>2</v>
      </c>
      <c r="I1817">
        <v>25</v>
      </c>
      <c r="J1817">
        <v>12.25</v>
      </c>
      <c r="K1817">
        <v>50</v>
      </c>
    </row>
    <row r="1818" spans="1:11">
      <c r="A1818">
        <v>1266</v>
      </c>
      <c r="B1818" s="1">
        <v>45172</v>
      </c>
      <c r="C1818" s="2">
        <v>0.83888888888888891</v>
      </c>
      <c r="D1818">
        <v>79</v>
      </c>
      <c r="E1818" t="s">
        <v>14</v>
      </c>
      <c r="F1818">
        <v>19</v>
      </c>
      <c r="G1818" t="s">
        <v>15</v>
      </c>
      <c r="H1818">
        <v>2</v>
      </c>
      <c r="I1818">
        <v>30</v>
      </c>
      <c r="J1818">
        <v>15.6</v>
      </c>
      <c r="K1818">
        <v>60</v>
      </c>
    </row>
    <row r="1819" spans="1:11">
      <c r="A1819">
        <v>1389</v>
      </c>
      <c r="B1819" s="1">
        <v>45196</v>
      </c>
      <c r="C1819" s="2">
        <v>0.75763888888888886</v>
      </c>
      <c r="D1819">
        <v>60</v>
      </c>
      <c r="E1819" t="s">
        <v>11</v>
      </c>
      <c r="F1819">
        <v>21</v>
      </c>
      <c r="G1819" t="s">
        <v>12</v>
      </c>
      <c r="H1819">
        <v>2</v>
      </c>
      <c r="I1819">
        <v>25</v>
      </c>
      <c r="J1819">
        <v>9.5</v>
      </c>
      <c r="K1819">
        <v>50</v>
      </c>
    </row>
    <row r="1820" spans="1:11">
      <c r="A1820">
        <v>112</v>
      </c>
      <c r="B1820" s="1">
        <v>45285</v>
      </c>
      <c r="C1820" s="2">
        <v>0.78055555555555556</v>
      </c>
      <c r="D1820">
        <v>57</v>
      </c>
      <c r="E1820" t="s">
        <v>11</v>
      </c>
      <c r="F1820">
        <v>37</v>
      </c>
      <c r="G1820" t="s">
        <v>12</v>
      </c>
      <c r="H1820">
        <v>3</v>
      </c>
      <c r="I1820">
        <v>500</v>
      </c>
      <c r="J1820">
        <v>165</v>
      </c>
      <c r="K1820">
        <v>1500</v>
      </c>
    </row>
    <row r="1821" spans="1:11">
      <c r="A1821">
        <v>566</v>
      </c>
      <c r="B1821" s="1">
        <v>44891</v>
      </c>
      <c r="C1821" s="2">
        <v>0.80208333333333337</v>
      </c>
      <c r="D1821">
        <v>106</v>
      </c>
      <c r="E1821" t="s">
        <v>14</v>
      </c>
      <c r="F1821">
        <v>64</v>
      </c>
      <c r="G1821" t="s">
        <v>12</v>
      </c>
      <c r="H1821">
        <v>1</v>
      </c>
      <c r="I1821">
        <v>30</v>
      </c>
      <c r="J1821">
        <v>8.4</v>
      </c>
      <c r="K1821">
        <v>30</v>
      </c>
    </row>
    <row r="1822" spans="1:11">
      <c r="A1822">
        <v>608</v>
      </c>
      <c r="B1822" s="1">
        <v>44902</v>
      </c>
      <c r="C1822" s="2">
        <v>0.92986111111111114</v>
      </c>
      <c r="D1822">
        <v>112</v>
      </c>
      <c r="E1822" t="s">
        <v>14</v>
      </c>
      <c r="F1822">
        <v>55</v>
      </c>
      <c r="G1822" t="s">
        <v>15</v>
      </c>
      <c r="H1822">
        <v>3</v>
      </c>
      <c r="I1822">
        <v>500</v>
      </c>
      <c r="J1822">
        <v>200</v>
      </c>
      <c r="K1822">
        <v>1500</v>
      </c>
    </row>
    <row r="1823" spans="1:11">
      <c r="A1823">
        <v>1112</v>
      </c>
      <c r="B1823" s="1">
        <v>44917</v>
      </c>
      <c r="C1823" s="2">
        <v>0.71597222222222223</v>
      </c>
      <c r="D1823">
        <v>94</v>
      </c>
      <c r="E1823" t="s">
        <v>11</v>
      </c>
      <c r="F1823">
        <v>37</v>
      </c>
      <c r="G1823" t="s">
        <v>12</v>
      </c>
      <c r="H1823">
        <v>3</v>
      </c>
      <c r="I1823">
        <v>500</v>
      </c>
      <c r="J1823">
        <v>180</v>
      </c>
      <c r="K1823">
        <v>1500</v>
      </c>
    </row>
    <row r="1824" spans="1:11">
      <c r="A1824">
        <v>1566</v>
      </c>
      <c r="B1824" s="1">
        <v>44837</v>
      </c>
      <c r="C1824" s="2">
        <v>0.76180555555555551</v>
      </c>
      <c r="D1824">
        <v>56</v>
      </c>
      <c r="E1824" t="s">
        <v>14</v>
      </c>
      <c r="F1824">
        <v>64</v>
      </c>
      <c r="G1824" t="s">
        <v>12</v>
      </c>
      <c r="H1824">
        <v>1</v>
      </c>
      <c r="I1824">
        <v>30</v>
      </c>
      <c r="J1824">
        <v>15.6</v>
      </c>
      <c r="K1824">
        <v>30</v>
      </c>
    </row>
    <row r="1825" spans="1:11">
      <c r="A1825">
        <v>1608</v>
      </c>
      <c r="B1825" s="1">
        <v>45195</v>
      </c>
      <c r="C1825" s="2">
        <v>0.87569444444444444</v>
      </c>
      <c r="D1825">
        <v>87</v>
      </c>
      <c r="E1825" t="s">
        <v>14</v>
      </c>
      <c r="F1825">
        <v>55</v>
      </c>
      <c r="G1825" t="s">
        <v>15</v>
      </c>
      <c r="H1825">
        <v>3</v>
      </c>
      <c r="I1825">
        <v>500</v>
      </c>
      <c r="J1825">
        <v>265</v>
      </c>
      <c r="K1825">
        <v>1500</v>
      </c>
    </row>
    <row r="1826" spans="1:11">
      <c r="A1826">
        <v>348</v>
      </c>
      <c r="B1826" s="1">
        <v>44851</v>
      </c>
      <c r="C1826" s="2">
        <v>0.84722222222222221</v>
      </c>
      <c r="D1826">
        <v>83</v>
      </c>
      <c r="E1826" t="s">
        <v>14</v>
      </c>
      <c r="F1826">
        <v>35</v>
      </c>
      <c r="G1826" t="s">
        <v>15</v>
      </c>
      <c r="H1826">
        <v>2</v>
      </c>
      <c r="I1826">
        <v>300</v>
      </c>
      <c r="J1826">
        <v>147</v>
      </c>
      <c r="K1826">
        <v>600</v>
      </c>
    </row>
    <row r="1827" spans="1:11">
      <c r="A1827">
        <v>1348</v>
      </c>
      <c r="B1827" s="1">
        <v>45224</v>
      </c>
      <c r="C1827" s="2">
        <v>0.72291666666666665</v>
      </c>
      <c r="D1827">
        <v>79</v>
      </c>
      <c r="E1827" t="s">
        <v>14</v>
      </c>
      <c r="F1827">
        <v>35</v>
      </c>
      <c r="G1827" t="s">
        <v>15</v>
      </c>
      <c r="H1827">
        <v>2</v>
      </c>
      <c r="I1827">
        <v>300</v>
      </c>
      <c r="J1827">
        <v>87</v>
      </c>
      <c r="K1827">
        <v>600</v>
      </c>
    </row>
    <row r="1828" spans="1:11">
      <c r="A1828">
        <v>199</v>
      </c>
      <c r="B1828" s="1">
        <v>45225</v>
      </c>
      <c r="C1828" s="2">
        <v>0.89861111111111114</v>
      </c>
      <c r="D1828">
        <v>53</v>
      </c>
      <c r="E1828" t="s">
        <v>11</v>
      </c>
      <c r="F1828">
        <v>45</v>
      </c>
      <c r="G1828" t="s">
        <v>13</v>
      </c>
      <c r="H1828">
        <v>3</v>
      </c>
      <c r="I1828">
        <v>500</v>
      </c>
      <c r="J1828">
        <v>135</v>
      </c>
      <c r="K1828">
        <v>1500</v>
      </c>
    </row>
    <row r="1829" spans="1:11">
      <c r="A1829">
        <v>258</v>
      </c>
      <c r="B1829" s="1">
        <v>45289</v>
      </c>
      <c r="C1829" s="2">
        <v>0.73611111111111116</v>
      </c>
      <c r="D1829">
        <v>109</v>
      </c>
      <c r="E1829" t="s">
        <v>14</v>
      </c>
      <c r="F1829">
        <v>37</v>
      </c>
      <c r="G1829" t="s">
        <v>12</v>
      </c>
      <c r="H1829">
        <v>1</v>
      </c>
      <c r="I1829">
        <v>50</v>
      </c>
      <c r="J1829">
        <v>22</v>
      </c>
      <c r="K1829">
        <v>50</v>
      </c>
    </row>
    <row r="1830" spans="1:11">
      <c r="A1830">
        <v>485</v>
      </c>
      <c r="B1830" s="1">
        <v>44873</v>
      </c>
      <c r="C1830" s="2">
        <v>0.72916666666666663</v>
      </c>
      <c r="D1830">
        <v>101</v>
      </c>
      <c r="E1830" t="s">
        <v>11</v>
      </c>
      <c r="F1830">
        <v>24</v>
      </c>
      <c r="G1830" t="s">
        <v>15</v>
      </c>
      <c r="H1830">
        <v>1</v>
      </c>
      <c r="I1830">
        <v>30</v>
      </c>
      <c r="J1830">
        <v>11.4</v>
      </c>
      <c r="K1830">
        <v>30</v>
      </c>
    </row>
    <row r="1831" spans="1:11">
      <c r="A1831">
        <v>576</v>
      </c>
      <c r="B1831" s="1">
        <v>45285</v>
      </c>
      <c r="C1831" s="2">
        <v>0.72916666666666663</v>
      </c>
      <c r="D1831">
        <v>113</v>
      </c>
      <c r="E1831" t="s">
        <v>14</v>
      </c>
      <c r="F1831">
        <v>33</v>
      </c>
      <c r="G1831" t="s">
        <v>13</v>
      </c>
      <c r="H1831">
        <v>3</v>
      </c>
      <c r="I1831">
        <v>50</v>
      </c>
      <c r="J1831">
        <v>20</v>
      </c>
      <c r="K1831">
        <v>150</v>
      </c>
    </row>
    <row r="1832" spans="1:11">
      <c r="A1832">
        <v>1199</v>
      </c>
      <c r="B1832" s="1">
        <v>45276</v>
      </c>
      <c r="C1832" s="2">
        <v>0.74027777777777781</v>
      </c>
      <c r="D1832">
        <v>110</v>
      </c>
      <c r="E1832" t="s">
        <v>11</v>
      </c>
      <c r="F1832">
        <v>45</v>
      </c>
      <c r="G1832" t="s">
        <v>13</v>
      </c>
      <c r="H1832">
        <v>3</v>
      </c>
      <c r="I1832">
        <v>500</v>
      </c>
      <c r="J1832">
        <v>190</v>
      </c>
      <c r="K1832">
        <v>1500</v>
      </c>
    </row>
    <row r="1833" spans="1:11">
      <c r="A1833">
        <v>1258</v>
      </c>
      <c r="B1833" s="1">
        <v>44898</v>
      </c>
      <c r="C1833" s="2">
        <v>0.8520833333333333</v>
      </c>
      <c r="D1833">
        <v>64</v>
      </c>
      <c r="E1833" t="s">
        <v>14</v>
      </c>
      <c r="F1833">
        <v>37</v>
      </c>
      <c r="G1833" t="s">
        <v>12</v>
      </c>
      <c r="H1833">
        <v>1</v>
      </c>
      <c r="I1833">
        <v>50</v>
      </c>
      <c r="J1833">
        <v>21.5</v>
      </c>
      <c r="K1833">
        <v>50</v>
      </c>
    </row>
    <row r="1834" spans="1:11">
      <c r="A1834">
        <v>1485</v>
      </c>
      <c r="B1834" s="1">
        <v>44828</v>
      </c>
      <c r="C1834" s="2">
        <v>0.77013888888888893</v>
      </c>
      <c r="D1834">
        <v>66</v>
      </c>
      <c r="E1834" t="s">
        <v>11</v>
      </c>
      <c r="F1834">
        <v>24</v>
      </c>
      <c r="G1834" t="s">
        <v>15</v>
      </c>
      <c r="H1834">
        <v>1</v>
      </c>
      <c r="I1834">
        <v>30</v>
      </c>
      <c r="J1834">
        <v>15.6</v>
      </c>
      <c r="K1834">
        <v>30</v>
      </c>
    </row>
    <row r="1835" spans="1:11">
      <c r="A1835">
        <v>1576</v>
      </c>
      <c r="B1835" s="1">
        <v>44909</v>
      </c>
      <c r="C1835" s="2">
        <v>0.77361111111111114</v>
      </c>
      <c r="D1835">
        <v>108</v>
      </c>
      <c r="E1835" t="s">
        <v>14</v>
      </c>
      <c r="F1835">
        <v>33</v>
      </c>
      <c r="G1835" t="s">
        <v>13</v>
      </c>
      <c r="H1835">
        <v>3</v>
      </c>
      <c r="I1835">
        <v>50</v>
      </c>
      <c r="J1835">
        <v>27.5</v>
      </c>
      <c r="K1835">
        <v>150</v>
      </c>
    </row>
    <row r="1836" spans="1:11">
      <c r="A1836">
        <v>65</v>
      </c>
      <c r="B1836" s="1">
        <v>44906</v>
      </c>
      <c r="C1836" s="2">
        <v>0.8354166666666667</v>
      </c>
      <c r="D1836">
        <v>84</v>
      </c>
      <c r="E1836" t="s">
        <v>11</v>
      </c>
      <c r="F1836">
        <v>51</v>
      </c>
      <c r="G1836" t="s">
        <v>15</v>
      </c>
      <c r="H1836">
        <v>4</v>
      </c>
      <c r="I1836">
        <v>500</v>
      </c>
      <c r="J1836">
        <v>160</v>
      </c>
      <c r="K1836">
        <v>2000</v>
      </c>
    </row>
    <row r="1837" spans="1:11">
      <c r="A1837">
        <v>311</v>
      </c>
      <c r="B1837" s="1">
        <v>45250</v>
      </c>
      <c r="C1837" s="2">
        <v>0.87569444444444444</v>
      </c>
      <c r="D1837">
        <v>61</v>
      </c>
      <c r="E1837" t="s">
        <v>14</v>
      </c>
      <c r="F1837">
        <v>32</v>
      </c>
      <c r="G1837" t="s">
        <v>13</v>
      </c>
      <c r="H1837">
        <v>4</v>
      </c>
      <c r="I1837">
        <v>25</v>
      </c>
      <c r="J1837">
        <v>9.75</v>
      </c>
      <c r="K1837">
        <v>100</v>
      </c>
    </row>
    <row r="1838" spans="1:11">
      <c r="A1838">
        <v>791</v>
      </c>
      <c r="B1838" s="1">
        <v>44808</v>
      </c>
      <c r="C1838" s="2">
        <v>0.68611111111111112</v>
      </c>
      <c r="D1838">
        <v>106</v>
      </c>
      <c r="E1838" t="s">
        <v>14</v>
      </c>
      <c r="F1838">
        <v>51</v>
      </c>
      <c r="G1838" t="s">
        <v>13</v>
      </c>
      <c r="H1838">
        <v>1</v>
      </c>
      <c r="I1838">
        <v>25</v>
      </c>
      <c r="J1838">
        <v>11.75</v>
      </c>
      <c r="K1838">
        <v>25</v>
      </c>
    </row>
    <row r="1839" spans="1:11">
      <c r="A1839">
        <v>971</v>
      </c>
      <c r="B1839" s="1">
        <v>45290</v>
      </c>
      <c r="C1839" s="2">
        <v>0.70138888888888884</v>
      </c>
      <c r="D1839">
        <v>64</v>
      </c>
      <c r="E1839" t="s">
        <v>14</v>
      </c>
      <c r="F1839">
        <v>27</v>
      </c>
      <c r="G1839" t="s">
        <v>15</v>
      </c>
      <c r="H1839">
        <v>4</v>
      </c>
      <c r="I1839">
        <v>50</v>
      </c>
      <c r="J1839">
        <v>26.5</v>
      </c>
      <c r="K1839">
        <v>200</v>
      </c>
    </row>
    <row r="1840" spans="1:11">
      <c r="A1840">
        <v>999</v>
      </c>
      <c r="B1840" s="1">
        <v>44909</v>
      </c>
      <c r="C1840" s="2">
        <v>0.69791666666666663</v>
      </c>
      <c r="D1840">
        <v>110</v>
      </c>
      <c r="E1840" t="s">
        <v>14</v>
      </c>
      <c r="F1840">
        <v>36</v>
      </c>
      <c r="G1840" t="s">
        <v>15</v>
      </c>
      <c r="H1840">
        <v>3</v>
      </c>
      <c r="I1840">
        <v>50</v>
      </c>
      <c r="J1840">
        <v>21.5</v>
      </c>
      <c r="K1840">
        <v>150</v>
      </c>
    </row>
    <row r="1841" spans="1:11">
      <c r="A1841">
        <v>1065</v>
      </c>
      <c r="B1841" s="1">
        <v>45223</v>
      </c>
      <c r="C1841" s="2">
        <v>0.63611111111111107</v>
      </c>
      <c r="D1841">
        <v>76</v>
      </c>
      <c r="E1841" t="s">
        <v>11</v>
      </c>
      <c r="F1841">
        <v>51</v>
      </c>
      <c r="G1841" t="s">
        <v>15</v>
      </c>
      <c r="H1841">
        <v>4</v>
      </c>
      <c r="I1841">
        <v>500</v>
      </c>
      <c r="J1841">
        <v>175</v>
      </c>
      <c r="K1841">
        <v>2000</v>
      </c>
    </row>
    <row r="1842" spans="1:11">
      <c r="A1842">
        <v>1311</v>
      </c>
      <c r="B1842" s="1">
        <v>45254</v>
      </c>
      <c r="C1842" s="2">
        <v>0.64027777777777772</v>
      </c>
      <c r="D1842">
        <v>84</v>
      </c>
      <c r="E1842" t="s">
        <v>14</v>
      </c>
      <c r="F1842">
        <v>32</v>
      </c>
      <c r="G1842" t="s">
        <v>13</v>
      </c>
      <c r="H1842">
        <v>4</v>
      </c>
      <c r="I1842">
        <v>25</v>
      </c>
      <c r="J1842">
        <v>9.25</v>
      </c>
      <c r="K1842">
        <v>100</v>
      </c>
    </row>
    <row r="1843" spans="1:11">
      <c r="A1843">
        <v>1791</v>
      </c>
      <c r="B1843" s="1">
        <v>44840</v>
      </c>
      <c r="C1843" s="2">
        <v>0.61944444444444446</v>
      </c>
      <c r="D1843">
        <v>87</v>
      </c>
      <c r="E1843" t="s">
        <v>14</v>
      </c>
      <c r="F1843">
        <v>51</v>
      </c>
      <c r="G1843" t="s">
        <v>13</v>
      </c>
      <c r="H1843">
        <v>1</v>
      </c>
      <c r="I1843">
        <v>25</v>
      </c>
      <c r="J1843">
        <v>7</v>
      </c>
      <c r="K1843">
        <v>25</v>
      </c>
    </row>
    <row r="1844" spans="1:11">
      <c r="A1844">
        <v>1971</v>
      </c>
      <c r="B1844" s="1">
        <v>44816</v>
      </c>
      <c r="C1844" s="2">
        <v>0.67986111111111114</v>
      </c>
      <c r="D1844">
        <v>90</v>
      </c>
      <c r="E1844" t="s">
        <v>14</v>
      </c>
      <c r="F1844">
        <v>27</v>
      </c>
      <c r="G1844" t="s">
        <v>15</v>
      </c>
      <c r="H1844">
        <v>4</v>
      </c>
      <c r="I1844">
        <v>50</v>
      </c>
      <c r="J1844">
        <v>19</v>
      </c>
      <c r="K1844">
        <v>200</v>
      </c>
    </row>
    <row r="1845" spans="1:11">
      <c r="A1845">
        <v>1999</v>
      </c>
      <c r="B1845" s="1">
        <v>44877</v>
      </c>
      <c r="C1845" s="2">
        <v>0.54583333333333328</v>
      </c>
      <c r="D1845">
        <v>61</v>
      </c>
      <c r="E1845" t="s">
        <v>14</v>
      </c>
      <c r="F1845">
        <v>36</v>
      </c>
      <c r="G1845" t="s">
        <v>15</v>
      </c>
      <c r="H1845">
        <v>3</v>
      </c>
      <c r="I1845">
        <v>50</v>
      </c>
      <c r="J1845">
        <v>13</v>
      </c>
      <c r="K1845">
        <v>150</v>
      </c>
    </row>
    <row r="1846" spans="1:11">
      <c r="A1846">
        <v>395</v>
      </c>
      <c r="B1846" s="1">
        <v>44896</v>
      </c>
      <c r="C1846" s="2">
        <v>0.625</v>
      </c>
      <c r="D1846">
        <v>76</v>
      </c>
      <c r="E1846" t="s">
        <v>11</v>
      </c>
      <c r="F1846">
        <v>50</v>
      </c>
      <c r="G1846" t="s">
        <v>15</v>
      </c>
      <c r="H1846">
        <v>2</v>
      </c>
      <c r="I1846">
        <v>500</v>
      </c>
      <c r="J1846">
        <v>175</v>
      </c>
      <c r="K1846">
        <v>1000</v>
      </c>
    </row>
    <row r="1847" spans="1:11">
      <c r="A1847">
        <v>535</v>
      </c>
      <c r="B1847" s="1">
        <v>45250</v>
      </c>
      <c r="C1847" s="2">
        <v>0.57361111111111107</v>
      </c>
      <c r="D1847">
        <v>59</v>
      </c>
      <c r="E1847" t="s">
        <v>11</v>
      </c>
      <c r="F1847">
        <v>47</v>
      </c>
      <c r="G1847" t="s">
        <v>13</v>
      </c>
      <c r="H1847">
        <v>3</v>
      </c>
      <c r="I1847">
        <v>30</v>
      </c>
      <c r="J1847">
        <v>16.2</v>
      </c>
      <c r="K1847">
        <v>90</v>
      </c>
    </row>
    <row r="1848" spans="1:11">
      <c r="A1848">
        <v>580</v>
      </c>
      <c r="B1848" s="1">
        <v>44879</v>
      </c>
      <c r="C1848" s="2">
        <v>0.61388888888888893</v>
      </c>
      <c r="D1848">
        <v>104</v>
      </c>
      <c r="E1848" t="s">
        <v>14</v>
      </c>
      <c r="F1848">
        <v>31</v>
      </c>
      <c r="G1848" t="s">
        <v>12</v>
      </c>
      <c r="H1848">
        <v>3</v>
      </c>
      <c r="I1848">
        <v>500</v>
      </c>
      <c r="J1848">
        <v>200</v>
      </c>
      <c r="K1848">
        <v>1500</v>
      </c>
    </row>
    <row r="1849" spans="1:11">
      <c r="A1849">
        <v>712</v>
      </c>
      <c r="B1849" s="1">
        <v>45181</v>
      </c>
      <c r="C1849" s="2">
        <v>0.59375</v>
      </c>
      <c r="D1849">
        <v>108</v>
      </c>
      <c r="E1849" t="s">
        <v>14</v>
      </c>
      <c r="F1849">
        <v>57</v>
      </c>
      <c r="G1849" t="s">
        <v>13</v>
      </c>
      <c r="H1849">
        <v>2</v>
      </c>
      <c r="I1849">
        <v>25</v>
      </c>
      <c r="J1849">
        <v>11.5</v>
      </c>
      <c r="K1849">
        <v>50</v>
      </c>
    </row>
    <row r="1850" spans="1:11">
      <c r="A1850">
        <v>868</v>
      </c>
      <c r="B1850" s="1">
        <v>45264</v>
      </c>
      <c r="C1850" s="2">
        <v>0.56874999999999998</v>
      </c>
      <c r="D1850">
        <v>110</v>
      </c>
      <c r="E1850" t="s">
        <v>14</v>
      </c>
      <c r="F1850">
        <v>25</v>
      </c>
      <c r="G1850" t="s">
        <v>15</v>
      </c>
      <c r="H1850">
        <v>1</v>
      </c>
      <c r="I1850">
        <v>300</v>
      </c>
      <c r="J1850">
        <v>111</v>
      </c>
      <c r="K1850">
        <v>300</v>
      </c>
    </row>
    <row r="1851" spans="1:11">
      <c r="A1851">
        <v>1395</v>
      </c>
      <c r="B1851" s="1">
        <v>45179</v>
      </c>
      <c r="C1851" s="2">
        <v>0.59583333333333333</v>
      </c>
      <c r="D1851">
        <v>91</v>
      </c>
      <c r="E1851" t="s">
        <v>11</v>
      </c>
      <c r="F1851">
        <v>50</v>
      </c>
      <c r="G1851" t="s">
        <v>15</v>
      </c>
      <c r="H1851">
        <v>2</v>
      </c>
      <c r="I1851">
        <v>500</v>
      </c>
      <c r="J1851">
        <v>130</v>
      </c>
      <c r="K1851">
        <v>1000</v>
      </c>
    </row>
    <row r="1852" spans="1:11">
      <c r="A1852">
        <v>1535</v>
      </c>
      <c r="B1852" s="1">
        <v>45278</v>
      </c>
      <c r="C1852" s="2">
        <v>0.64652777777777781</v>
      </c>
      <c r="D1852">
        <v>52</v>
      </c>
      <c r="E1852" t="s">
        <v>11</v>
      </c>
      <c r="F1852">
        <v>47</v>
      </c>
      <c r="G1852" t="s">
        <v>13</v>
      </c>
      <c r="H1852">
        <v>3</v>
      </c>
      <c r="I1852">
        <v>30</v>
      </c>
      <c r="J1852">
        <v>9.9</v>
      </c>
      <c r="K1852">
        <v>90</v>
      </c>
    </row>
    <row r="1853" spans="1:11">
      <c r="A1853">
        <v>1580</v>
      </c>
      <c r="B1853" s="1">
        <v>45190</v>
      </c>
      <c r="C1853" s="2">
        <v>0.65763888888888888</v>
      </c>
      <c r="D1853">
        <v>105</v>
      </c>
      <c r="E1853" t="s">
        <v>14</v>
      </c>
      <c r="F1853">
        <v>31</v>
      </c>
      <c r="G1853" t="s">
        <v>12</v>
      </c>
      <c r="H1853">
        <v>3</v>
      </c>
      <c r="I1853">
        <v>500</v>
      </c>
      <c r="J1853">
        <v>250</v>
      </c>
      <c r="K1853">
        <v>1500</v>
      </c>
    </row>
    <row r="1854" spans="1:11">
      <c r="A1854">
        <v>1712</v>
      </c>
      <c r="B1854" s="1">
        <v>45255</v>
      </c>
      <c r="C1854" s="2">
        <v>0.69236111111111109</v>
      </c>
      <c r="D1854">
        <v>92</v>
      </c>
      <c r="E1854" t="s">
        <v>14</v>
      </c>
      <c r="F1854">
        <v>57</v>
      </c>
      <c r="G1854" t="s">
        <v>13</v>
      </c>
      <c r="H1854">
        <v>2</v>
      </c>
      <c r="I1854">
        <v>25</v>
      </c>
      <c r="J1854">
        <v>8.75</v>
      </c>
      <c r="K1854">
        <v>50</v>
      </c>
    </row>
    <row r="1855" spans="1:11">
      <c r="A1855">
        <v>1868</v>
      </c>
      <c r="B1855" s="1">
        <v>44901</v>
      </c>
      <c r="C1855" s="2">
        <v>0.68263888888888891</v>
      </c>
      <c r="D1855">
        <v>78</v>
      </c>
      <c r="E1855" t="s">
        <v>14</v>
      </c>
      <c r="F1855">
        <v>25</v>
      </c>
      <c r="G1855" t="s">
        <v>15</v>
      </c>
      <c r="H1855">
        <v>1</v>
      </c>
      <c r="I1855">
        <v>300</v>
      </c>
      <c r="J1855">
        <v>138</v>
      </c>
      <c r="K1855">
        <v>300</v>
      </c>
    </row>
    <row r="1856" spans="1:11">
      <c r="A1856">
        <v>531</v>
      </c>
      <c r="B1856" s="1">
        <v>44842</v>
      </c>
      <c r="C1856" s="2">
        <v>0.52083333333333337</v>
      </c>
      <c r="D1856">
        <v>105</v>
      </c>
      <c r="E1856" t="s">
        <v>11</v>
      </c>
      <c r="F1856">
        <v>31</v>
      </c>
      <c r="G1856" t="s">
        <v>15</v>
      </c>
      <c r="H1856">
        <v>1</v>
      </c>
      <c r="I1856">
        <v>500</v>
      </c>
      <c r="J1856">
        <v>275</v>
      </c>
      <c r="K1856">
        <v>500</v>
      </c>
    </row>
    <row r="1857" spans="1:11">
      <c r="A1857">
        <v>550</v>
      </c>
      <c r="B1857" s="1">
        <v>45196</v>
      </c>
      <c r="C1857" s="2">
        <v>0.70694444444444449</v>
      </c>
      <c r="D1857">
        <v>80</v>
      </c>
      <c r="E1857" t="s">
        <v>11</v>
      </c>
      <c r="F1857">
        <v>40</v>
      </c>
      <c r="G1857" t="s">
        <v>12</v>
      </c>
      <c r="H1857">
        <v>3</v>
      </c>
      <c r="I1857">
        <v>300</v>
      </c>
      <c r="J1857">
        <v>90</v>
      </c>
      <c r="K1857">
        <v>900</v>
      </c>
    </row>
    <row r="1858" spans="1:11">
      <c r="A1858">
        <v>1531</v>
      </c>
      <c r="B1858" s="1">
        <v>44826</v>
      </c>
      <c r="C1858" s="2">
        <v>0.55486111111111114</v>
      </c>
      <c r="D1858">
        <v>56</v>
      </c>
      <c r="E1858" t="s">
        <v>11</v>
      </c>
      <c r="F1858">
        <v>31</v>
      </c>
      <c r="G1858" t="s">
        <v>15</v>
      </c>
      <c r="H1858">
        <v>1</v>
      </c>
      <c r="I1858">
        <v>500</v>
      </c>
      <c r="J1858">
        <v>250</v>
      </c>
      <c r="K1858">
        <v>500</v>
      </c>
    </row>
    <row r="1859" spans="1:11">
      <c r="A1859">
        <v>1550</v>
      </c>
      <c r="B1859" s="1">
        <v>44834</v>
      </c>
      <c r="C1859" s="2">
        <v>0.5493055555555556</v>
      </c>
      <c r="D1859">
        <v>73</v>
      </c>
      <c r="E1859" t="s">
        <v>11</v>
      </c>
      <c r="F1859">
        <v>40</v>
      </c>
      <c r="G1859" t="s">
        <v>12</v>
      </c>
      <c r="H1859">
        <v>3</v>
      </c>
      <c r="I1859">
        <v>300</v>
      </c>
      <c r="J1859">
        <v>147</v>
      </c>
      <c r="K1859">
        <v>900</v>
      </c>
    </row>
    <row r="1860" spans="1:11">
      <c r="A1860">
        <v>392</v>
      </c>
      <c r="B1860" s="1">
        <v>44916</v>
      </c>
      <c r="C1860" s="2">
        <v>0.5493055555555556</v>
      </c>
      <c r="D1860">
        <v>77</v>
      </c>
      <c r="E1860" t="s">
        <v>11</v>
      </c>
      <c r="F1860">
        <v>27</v>
      </c>
      <c r="G1860" t="s">
        <v>12</v>
      </c>
      <c r="H1860">
        <v>2</v>
      </c>
      <c r="I1860">
        <v>300</v>
      </c>
      <c r="J1860">
        <v>78</v>
      </c>
      <c r="K1860">
        <v>600</v>
      </c>
    </row>
    <row r="1861" spans="1:11">
      <c r="A1861">
        <v>453</v>
      </c>
      <c r="B1861" s="1">
        <v>44848</v>
      </c>
      <c r="C1861" s="2">
        <v>0.61458333333333337</v>
      </c>
      <c r="D1861">
        <v>90</v>
      </c>
      <c r="E1861" t="s">
        <v>14</v>
      </c>
      <c r="F1861">
        <v>26</v>
      </c>
      <c r="G1861" t="s">
        <v>12</v>
      </c>
      <c r="H1861">
        <v>2</v>
      </c>
      <c r="I1861">
        <v>500</v>
      </c>
      <c r="J1861">
        <v>265</v>
      </c>
      <c r="K1861">
        <v>1000</v>
      </c>
    </row>
    <row r="1862" spans="1:11">
      <c r="A1862">
        <v>540</v>
      </c>
      <c r="B1862" s="1">
        <v>44917</v>
      </c>
      <c r="C1862" s="2">
        <v>0.67847222222222225</v>
      </c>
      <c r="D1862">
        <v>79</v>
      </c>
      <c r="E1862" t="s">
        <v>14</v>
      </c>
      <c r="F1862">
        <v>46</v>
      </c>
      <c r="G1862" t="s">
        <v>15</v>
      </c>
      <c r="H1862">
        <v>3</v>
      </c>
      <c r="I1862">
        <v>300</v>
      </c>
      <c r="J1862">
        <v>87</v>
      </c>
      <c r="K1862">
        <v>900</v>
      </c>
    </row>
    <row r="1863" spans="1:11">
      <c r="A1863">
        <v>625</v>
      </c>
      <c r="B1863" s="1">
        <v>44920</v>
      </c>
      <c r="C1863" s="2">
        <v>0.56666666666666665</v>
      </c>
      <c r="D1863">
        <v>68</v>
      </c>
      <c r="E1863" t="s">
        <v>11</v>
      </c>
      <c r="F1863">
        <v>31</v>
      </c>
      <c r="G1863" t="s">
        <v>12</v>
      </c>
      <c r="H1863">
        <v>1</v>
      </c>
      <c r="I1863">
        <v>300</v>
      </c>
      <c r="J1863">
        <v>123</v>
      </c>
      <c r="K1863">
        <v>300</v>
      </c>
    </row>
    <row r="1864" spans="1:11">
      <c r="A1864">
        <v>1392</v>
      </c>
      <c r="B1864" s="1">
        <v>44816</v>
      </c>
      <c r="C1864" s="2">
        <v>0.51944444444444449</v>
      </c>
      <c r="D1864">
        <v>70</v>
      </c>
      <c r="E1864" t="s">
        <v>11</v>
      </c>
      <c r="F1864">
        <v>27</v>
      </c>
      <c r="G1864" t="s">
        <v>12</v>
      </c>
      <c r="H1864">
        <v>2</v>
      </c>
      <c r="I1864">
        <v>300</v>
      </c>
      <c r="J1864">
        <v>90</v>
      </c>
      <c r="K1864">
        <v>600</v>
      </c>
    </row>
    <row r="1865" spans="1:11">
      <c r="A1865">
        <v>1453</v>
      </c>
      <c r="B1865" s="1">
        <v>45213</v>
      </c>
      <c r="C1865" s="2">
        <v>0.55833333333333335</v>
      </c>
      <c r="D1865">
        <v>113</v>
      </c>
      <c r="E1865" t="s">
        <v>14</v>
      </c>
      <c r="F1865">
        <v>26</v>
      </c>
      <c r="G1865" t="s">
        <v>12</v>
      </c>
      <c r="H1865">
        <v>2</v>
      </c>
      <c r="I1865">
        <v>500</v>
      </c>
      <c r="J1865">
        <v>205</v>
      </c>
      <c r="K1865">
        <v>1000</v>
      </c>
    </row>
    <row r="1866" spans="1:11">
      <c r="A1866">
        <v>1540</v>
      </c>
      <c r="B1866" s="1">
        <v>45211</v>
      </c>
      <c r="C1866" s="2">
        <v>0.70208333333333328</v>
      </c>
      <c r="D1866">
        <v>115</v>
      </c>
      <c r="E1866" t="s">
        <v>14</v>
      </c>
      <c r="F1866">
        <v>46</v>
      </c>
      <c r="G1866" t="s">
        <v>15</v>
      </c>
      <c r="H1866">
        <v>3</v>
      </c>
      <c r="I1866">
        <v>300</v>
      </c>
      <c r="J1866">
        <v>147</v>
      </c>
      <c r="K1866">
        <v>900</v>
      </c>
    </row>
    <row r="1867" spans="1:11">
      <c r="A1867">
        <v>1625</v>
      </c>
      <c r="B1867" s="1">
        <v>45196</v>
      </c>
      <c r="C1867" s="2">
        <v>0.69166666666666665</v>
      </c>
      <c r="D1867">
        <v>52</v>
      </c>
      <c r="E1867" t="s">
        <v>11</v>
      </c>
      <c r="F1867">
        <v>31</v>
      </c>
      <c r="G1867" t="s">
        <v>12</v>
      </c>
      <c r="H1867">
        <v>1</v>
      </c>
      <c r="I1867">
        <v>300</v>
      </c>
      <c r="J1867">
        <v>147</v>
      </c>
      <c r="K1867">
        <v>300</v>
      </c>
    </row>
    <row r="1868" spans="1:11">
      <c r="A1868">
        <v>244</v>
      </c>
      <c r="B1868" s="1">
        <v>45183</v>
      </c>
      <c r="C1868" s="2">
        <v>0.58125000000000004</v>
      </c>
      <c r="D1868">
        <v>101</v>
      </c>
      <c r="E1868" t="s">
        <v>11</v>
      </c>
      <c r="F1868">
        <v>28</v>
      </c>
      <c r="G1868" t="s">
        <v>13</v>
      </c>
      <c r="H1868">
        <v>2</v>
      </c>
      <c r="I1868">
        <v>50</v>
      </c>
      <c r="J1868">
        <v>20.5</v>
      </c>
      <c r="K1868">
        <v>100</v>
      </c>
    </row>
    <row r="1869" spans="1:11">
      <c r="A1869">
        <v>355</v>
      </c>
      <c r="B1869" s="1">
        <v>44827</v>
      </c>
      <c r="C1869" s="2">
        <v>0.5708333333333333</v>
      </c>
      <c r="D1869">
        <v>96</v>
      </c>
      <c r="E1869" t="s">
        <v>14</v>
      </c>
      <c r="F1869">
        <v>55</v>
      </c>
      <c r="G1869" t="s">
        <v>15</v>
      </c>
      <c r="H1869">
        <v>1</v>
      </c>
      <c r="I1869">
        <v>500</v>
      </c>
      <c r="J1869">
        <v>260</v>
      </c>
      <c r="K1869">
        <v>500</v>
      </c>
    </row>
    <row r="1870" spans="1:11">
      <c r="A1870">
        <v>468</v>
      </c>
      <c r="B1870" s="1">
        <v>44900</v>
      </c>
      <c r="C1870" s="2">
        <v>0.60555555555555551</v>
      </c>
      <c r="D1870">
        <v>86</v>
      </c>
      <c r="E1870" t="s">
        <v>11</v>
      </c>
      <c r="F1870">
        <v>40</v>
      </c>
      <c r="G1870" t="s">
        <v>15</v>
      </c>
      <c r="H1870">
        <v>1</v>
      </c>
      <c r="I1870">
        <v>25</v>
      </c>
      <c r="J1870">
        <v>12.25</v>
      </c>
      <c r="K1870">
        <v>25</v>
      </c>
    </row>
    <row r="1871" spans="1:11">
      <c r="A1871">
        <v>700</v>
      </c>
      <c r="B1871" s="1">
        <v>44805</v>
      </c>
      <c r="C1871" s="2">
        <v>0.62986111111111109</v>
      </c>
      <c r="D1871">
        <v>61</v>
      </c>
      <c r="E1871" t="s">
        <v>11</v>
      </c>
      <c r="F1871">
        <v>36</v>
      </c>
      <c r="G1871" t="s">
        <v>15</v>
      </c>
      <c r="H1871">
        <v>4</v>
      </c>
      <c r="I1871">
        <v>500</v>
      </c>
      <c r="J1871">
        <v>250</v>
      </c>
      <c r="K1871">
        <v>2000</v>
      </c>
    </row>
    <row r="1872" spans="1:11">
      <c r="A1872">
        <v>752</v>
      </c>
      <c r="B1872" s="1">
        <v>45189</v>
      </c>
      <c r="C1872" s="2">
        <v>0.67083333333333328</v>
      </c>
      <c r="D1872">
        <v>79</v>
      </c>
      <c r="E1872" t="s">
        <v>11</v>
      </c>
      <c r="F1872">
        <v>29</v>
      </c>
      <c r="G1872" t="s">
        <v>12</v>
      </c>
      <c r="H1872">
        <v>2</v>
      </c>
      <c r="I1872">
        <v>50</v>
      </c>
      <c r="J1872">
        <v>13</v>
      </c>
      <c r="K1872">
        <v>100</v>
      </c>
    </row>
    <row r="1873" spans="1:11">
      <c r="A1873">
        <v>828</v>
      </c>
      <c r="B1873" s="1">
        <v>44889</v>
      </c>
      <c r="C1873" s="2">
        <v>0.66249999999999998</v>
      </c>
      <c r="D1873">
        <v>76</v>
      </c>
      <c r="E1873" t="s">
        <v>14</v>
      </c>
      <c r="F1873">
        <v>33</v>
      </c>
      <c r="G1873" t="s">
        <v>15</v>
      </c>
      <c r="H1873">
        <v>4</v>
      </c>
      <c r="I1873">
        <v>300</v>
      </c>
      <c r="J1873">
        <v>132</v>
      </c>
      <c r="K1873">
        <v>1200</v>
      </c>
    </row>
    <row r="1874" spans="1:11">
      <c r="A1874">
        <v>1244</v>
      </c>
      <c r="B1874" s="1">
        <v>44906</v>
      </c>
      <c r="C1874" s="2">
        <v>0.69930555555555551</v>
      </c>
      <c r="D1874">
        <v>100</v>
      </c>
      <c r="E1874" t="s">
        <v>11</v>
      </c>
      <c r="F1874">
        <v>28</v>
      </c>
      <c r="G1874" t="s">
        <v>13</v>
      </c>
      <c r="H1874">
        <v>2</v>
      </c>
      <c r="I1874">
        <v>50</v>
      </c>
      <c r="J1874">
        <v>19.5</v>
      </c>
      <c r="K1874">
        <v>100</v>
      </c>
    </row>
    <row r="1875" spans="1:11">
      <c r="A1875">
        <v>1355</v>
      </c>
      <c r="B1875" s="1">
        <v>45186</v>
      </c>
      <c r="C1875" s="2">
        <v>0.55486111111111114</v>
      </c>
      <c r="D1875">
        <v>107</v>
      </c>
      <c r="E1875" t="s">
        <v>14</v>
      </c>
      <c r="F1875">
        <v>55</v>
      </c>
      <c r="G1875" t="s">
        <v>15</v>
      </c>
      <c r="H1875">
        <v>1</v>
      </c>
      <c r="I1875">
        <v>500</v>
      </c>
      <c r="J1875">
        <v>155</v>
      </c>
      <c r="K1875">
        <v>500</v>
      </c>
    </row>
    <row r="1876" spans="1:11">
      <c r="A1876">
        <v>1468</v>
      </c>
      <c r="B1876" s="1">
        <v>45238</v>
      </c>
      <c r="C1876" s="2">
        <v>0.55138888888888893</v>
      </c>
      <c r="D1876">
        <v>73</v>
      </c>
      <c r="E1876" t="s">
        <v>11</v>
      </c>
      <c r="F1876">
        <v>40</v>
      </c>
      <c r="G1876" t="s">
        <v>15</v>
      </c>
      <c r="H1876">
        <v>1</v>
      </c>
      <c r="I1876">
        <v>25</v>
      </c>
      <c r="J1876">
        <v>9.75</v>
      </c>
      <c r="K1876">
        <v>25</v>
      </c>
    </row>
    <row r="1877" spans="1:11">
      <c r="A1877">
        <v>1700</v>
      </c>
      <c r="B1877" s="1">
        <v>45196</v>
      </c>
      <c r="C1877" s="2">
        <v>0.67361111111111116</v>
      </c>
      <c r="D1877">
        <v>87</v>
      </c>
      <c r="E1877" t="s">
        <v>11</v>
      </c>
      <c r="F1877">
        <v>36</v>
      </c>
      <c r="G1877" t="s">
        <v>15</v>
      </c>
      <c r="H1877">
        <v>4</v>
      </c>
      <c r="I1877">
        <v>500</v>
      </c>
      <c r="J1877">
        <v>210</v>
      </c>
      <c r="K1877">
        <v>2000</v>
      </c>
    </row>
    <row r="1878" spans="1:11">
      <c r="A1878">
        <v>1752</v>
      </c>
      <c r="B1878" s="1">
        <v>45220</v>
      </c>
      <c r="C1878" s="2">
        <v>0.54236111111111107</v>
      </c>
      <c r="D1878">
        <v>79</v>
      </c>
      <c r="E1878" t="s">
        <v>11</v>
      </c>
      <c r="F1878">
        <v>29</v>
      </c>
      <c r="G1878" t="s">
        <v>12</v>
      </c>
      <c r="H1878">
        <v>2</v>
      </c>
      <c r="I1878">
        <v>50</v>
      </c>
      <c r="J1878">
        <v>14.5</v>
      </c>
      <c r="K1878">
        <v>100</v>
      </c>
    </row>
    <row r="1879" spans="1:11">
      <c r="A1879">
        <v>1828</v>
      </c>
      <c r="B1879" s="1">
        <v>44848</v>
      </c>
      <c r="C1879" s="2">
        <v>0.59305555555555556</v>
      </c>
      <c r="D1879">
        <v>99</v>
      </c>
      <c r="E1879" t="s">
        <v>14</v>
      </c>
      <c r="F1879">
        <v>33</v>
      </c>
      <c r="G1879" t="s">
        <v>15</v>
      </c>
      <c r="H1879">
        <v>4</v>
      </c>
      <c r="I1879">
        <v>300</v>
      </c>
      <c r="J1879">
        <v>165</v>
      </c>
      <c r="K1879">
        <v>1200</v>
      </c>
    </row>
    <row r="1880" spans="1:11">
      <c r="A1880">
        <v>80</v>
      </c>
      <c r="B1880" s="1">
        <v>45221</v>
      </c>
      <c r="C1880" s="2">
        <v>0.70208333333333328</v>
      </c>
      <c r="D1880">
        <v>82</v>
      </c>
      <c r="E1880" t="s">
        <v>14</v>
      </c>
      <c r="F1880">
        <v>64</v>
      </c>
      <c r="G1880" t="s">
        <v>12</v>
      </c>
      <c r="H1880">
        <v>2</v>
      </c>
      <c r="I1880">
        <v>30</v>
      </c>
      <c r="J1880">
        <v>12.3</v>
      </c>
      <c r="K1880">
        <v>60</v>
      </c>
    </row>
    <row r="1881" spans="1:11">
      <c r="A1881">
        <v>214</v>
      </c>
      <c r="B1881" s="1">
        <v>44870</v>
      </c>
      <c r="C1881" s="2">
        <v>0.68819444444444444</v>
      </c>
      <c r="D1881">
        <v>53</v>
      </c>
      <c r="E1881" t="s">
        <v>11</v>
      </c>
      <c r="F1881">
        <v>20</v>
      </c>
      <c r="G1881" t="s">
        <v>13</v>
      </c>
      <c r="H1881">
        <v>2</v>
      </c>
      <c r="I1881">
        <v>30</v>
      </c>
      <c r="J1881">
        <v>8.1</v>
      </c>
      <c r="K1881">
        <v>60</v>
      </c>
    </row>
    <row r="1882" spans="1:11">
      <c r="A1882">
        <v>361</v>
      </c>
      <c r="B1882" s="1">
        <v>44816</v>
      </c>
      <c r="C1882" s="2">
        <v>0.69236111111111109</v>
      </c>
      <c r="D1882">
        <v>112</v>
      </c>
      <c r="E1882" t="s">
        <v>14</v>
      </c>
      <c r="F1882">
        <v>34</v>
      </c>
      <c r="G1882" t="s">
        <v>15</v>
      </c>
      <c r="H1882">
        <v>4</v>
      </c>
      <c r="I1882">
        <v>300</v>
      </c>
      <c r="J1882">
        <v>81</v>
      </c>
      <c r="K1882">
        <v>1200</v>
      </c>
    </row>
    <row r="1883" spans="1:11">
      <c r="A1883">
        <v>526</v>
      </c>
      <c r="B1883" s="1">
        <v>44884</v>
      </c>
      <c r="C1883" s="2">
        <v>0.53263888888888888</v>
      </c>
      <c r="D1883">
        <v>65</v>
      </c>
      <c r="E1883" t="s">
        <v>11</v>
      </c>
      <c r="F1883">
        <v>33</v>
      </c>
      <c r="G1883" t="s">
        <v>12</v>
      </c>
      <c r="H1883">
        <v>2</v>
      </c>
      <c r="I1883">
        <v>50</v>
      </c>
      <c r="J1883">
        <v>19.5</v>
      </c>
      <c r="K1883">
        <v>100</v>
      </c>
    </row>
    <row r="1884" spans="1:11">
      <c r="A1884">
        <v>1080</v>
      </c>
      <c r="B1884" s="1">
        <v>44903</v>
      </c>
      <c r="C1884" s="2">
        <v>0.56319444444444444</v>
      </c>
      <c r="D1884">
        <v>70</v>
      </c>
      <c r="E1884" t="s">
        <v>14</v>
      </c>
      <c r="F1884">
        <v>64</v>
      </c>
      <c r="G1884" t="s">
        <v>12</v>
      </c>
      <c r="H1884">
        <v>2</v>
      </c>
      <c r="I1884">
        <v>30</v>
      </c>
      <c r="J1884">
        <v>13.2</v>
      </c>
      <c r="K1884">
        <v>60</v>
      </c>
    </row>
    <row r="1885" spans="1:11">
      <c r="A1885">
        <v>1214</v>
      </c>
      <c r="B1885" s="1">
        <v>45248</v>
      </c>
      <c r="C1885" s="2">
        <v>0.6</v>
      </c>
      <c r="D1885">
        <v>50</v>
      </c>
      <c r="E1885" t="s">
        <v>11</v>
      </c>
      <c r="F1885">
        <v>20</v>
      </c>
      <c r="G1885" t="s">
        <v>13</v>
      </c>
      <c r="H1885">
        <v>2</v>
      </c>
      <c r="I1885">
        <v>30</v>
      </c>
      <c r="J1885">
        <v>11.1</v>
      </c>
      <c r="K1885">
        <v>60</v>
      </c>
    </row>
    <row r="1886" spans="1:11">
      <c r="A1886">
        <v>1361</v>
      </c>
      <c r="B1886" s="1">
        <v>45181</v>
      </c>
      <c r="C1886" s="2">
        <v>0.66666666666666663</v>
      </c>
      <c r="D1886">
        <v>89</v>
      </c>
      <c r="E1886" t="s">
        <v>14</v>
      </c>
      <c r="F1886">
        <v>34</v>
      </c>
      <c r="G1886" t="s">
        <v>15</v>
      </c>
      <c r="H1886">
        <v>4</v>
      </c>
      <c r="I1886">
        <v>300</v>
      </c>
      <c r="J1886">
        <v>153</v>
      </c>
      <c r="K1886">
        <v>1200</v>
      </c>
    </row>
    <row r="1887" spans="1:11">
      <c r="A1887">
        <v>1526</v>
      </c>
      <c r="B1887" s="1">
        <v>44829</v>
      </c>
      <c r="C1887" s="2">
        <v>0.62916666666666665</v>
      </c>
      <c r="D1887">
        <v>84</v>
      </c>
      <c r="E1887" t="s">
        <v>11</v>
      </c>
      <c r="F1887">
        <v>33</v>
      </c>
      <c r="G1887" t="s">
        <v>12</v>
      </c>
      <c r="H1887">
        <v>2</v>
      </c>
      <c r="I1887">
        <v>50</v>
      </c>
      <c r="J1887">
        <v>26.5</v>
      </c>
      <c r="K1887">
        <v>100</v>
      </c>
    </row>
    <row r="1888" spans="1:11">
      <c r="A1888">
        <v>265</v>
      </c>
      <c r="B1888" s="1">
        <v>44889</v>
      </c>
      <c r="C1888" s="2">
        <v>0.5083333333333333</v>
      </c>
      <c r="D1888">
        <v>80</v>
      </c>
      <c r="E1888" t="s">
        <v>11</v>
      </c>
      <c r="F1888">
        <v>55</v>
      </c>
      <c r="G1888" t="s">
        <v>12</v>
      </c>
      <c r="H1888">
        <v>3</v>
      </c>
      <c r="I1888">
        <v>300</v>
      </c>
      <c r="J1888">
        <v>132</v>
      </c>
      <c r="K1888">
        <v>900</v>
      </c>
    </row>
    <row r="1889" spans="1:11">
      <c r="A1889">
        <v>586</v>
      </c>
      <c r="B1889" s="1">
        <v>45280</v>
      </c>
      <c r="C1889" s="2">
        <v>0.62291666666666667</v>
      </c>
      <c r="D1889">
        <v>84</v>
      </c>
      <c r="E1889" t="s">
        <v>11</v>
      </c>
      <c r="F1889">
        <v>50</v>
      </c>
      <c r="G1889" t="s">
        <v>15</v>
      </c>
      <c r="H1889">
        <v>1</v>
      </c>
      <c r="I1889">
        <v>50</v>
      </c>
      <c r="J1889">
        <v>21.5</v>
      </c>
      <c r="K1889">
        <v>50</v>
      </c>
    </row>
    <row r="1890" spans="1:11">
      <c r="A1890">
        <v>1265</v>
      </c>
      <c r="B1890" s="1">
        <v>44870</v>
      </c>
      <c r="C1890" s="2">
        <v>0.60763888888888884</v>
      </c>
      <c r="D1890">
        <v>86</v>
      </c>
      <c r="E1890" t="s">
        <v>11</v>
      </c>
      <c r="F1890">
        <v>55</v>
      </c>
      <c r="G1890" t="s">
        <v>12</v>
      </c>
      <c r="H1890">
        <v>3</v>
      </c>
      <c r="I1890">
        <v>300</v>
      </c>
      <c r="J1890">
        <v>111</v>
      </c>
      <c r="K1890">
        <v>900</v>
      </c>
    </row>
    <row r="1891" spans="1:11">
      <c r="A1891">
        <v>1586</v>
      </c>
      <c r="B1891" s="1">
        <v>44869</v>
      </c>
      <c r="C1891" s="2">
        <v>0.68402777777777779</v>
      </c>
      <c r="D1891">
        <v>59</v>
      </c>
      <c r="E1891" t="s">
        <v>11</v>
      </c>
      <c r="F1891">
        <v>50</v>
      </c>
      <c r="G1891" t="s">
        <v>15</v>
      </c>
      <c r="H1891">
        <v>1</v>
      </c>
      <c r="I1891">
        <v>50</v>
      </c>
      <c r="J1891">
        <v>14</v>
      </c>
      <c r="K1891">
        <v>50</v>
      </c>
    </row>
    <row r="1892" spans="1:11">
      <c r="A1892">
        <v>336</v>
      </c>
      <c r="B1892" s="1">
        <v>45234</v>
      </c>
      <c r="C1892" s="2">
        <v>0.54513888888888884</v>
      </c>
      <c r="D1892">
        <v>67</v>
      </c>
      <c r="E1892" t="s">
        <v>14</v>
      </c>
      <c r="F1892">
        <v>52</v>
      </c>
      <c r="G1892" t="s">
        <v>13</v>
      </c>
      <c r="H1892">
        <v>3</v>
      </c>
      <c r="I1892">
        <v>50</v>
      </c>
      <c r="J1892">
        <v>25</v>
      </c>
      <c r="K1892">
        <v>150</v>
      </c>
    </row>
    <row r="1893" spans="1:11">
      <c r="A1893">
        <v>571</v>
      </c>
      <c r="B1893" s="1">
        <v>44854</v>
      </c>
      <c r="C1893" s="2">
        <v>0.53541666666666665</v>
      </c>
      <c r="D1893">
        <v>87</v>
      </c>
      <c r="E1893" t="s">
        <v>14</v>
      </c>
      <c r="F1893">
        <v>41</v>
      </c>
      <c r="G1893" t="s">
        <v>15</v>
      </c>
      <c r="H1893">
        <v>1</v>
      </c>
      <c r="I1893">
        <v>50</v>
      </c>
      <c r="J1893">
        <v>16</v>
      </c>
      <c r="K1893">
        <v>50</v>
      </c>
    </row>
    <row r="1894" spans="1:11">
      <c r="A1894">
        <v>1336</v>
      </c>
      <c r="B1894" s="1">
        <v>44827</v>
      </c>
      <c r="C1894" s="2">
        <v>0.56041666666666667</v>
      </c>
      <c r="D1894">
        <v>74</v>
      </c>
      <c r="E1894" t="s">
        <v>14</v>
      </c>
      <c r="F1894">
        <v>52</v>
      </c>
      <c r="G1894" t="s">
        <v>13</v>
      </c>
      <c r="H1894">
        <v>3</v>
      </c>
      <c r="I1894">
        <v>50</v>
      </c>
      <c r="J1894">
        <v>21.5</v>
      </c>
      <c r="K1894">
        <v>150</v>
      </c>
    </row>
    <row r="1895" spans="1:11">
      <c r="A1895">
        <v>1571</v>
      </c>
      <c r="B1895" s="1">
        <v>44873</v>
      </c>
      <c r="C1895" s="2">
        <v>0.62152777777777779</v>
      </c>
      <c r="D1895">
        <v>105</v>
      </c>
      <c r="E1895" t="s">
        <v>14</v>
      </c>
      <c r="F1895">
        <v>41</v>
      </c>
      <c r="G1895" t="s">
        <v>15</v>
      </c>
      <c r="H1895">
        <v>1</v>
      </c>
      <c r="I1895">
        <v>50</v>
      </c>
      <c r="J1895">
        <v>25</v>
      </c>
      <c r="K1895">
        <v>50</v>
      </c>
    </row>
    <row r="1896" spans="1:11">
      <c r="A1896">
        <v>9</v>
      </c>
      <c r="B1896" s="1">
        <v>44897</v>
      </c>
      <c r="C1896" s="2">
        <v>0.55000000000000004</v>
      </c>
      <c r="D1896">
        <v>85</v>
      </c>
      <c r="E1896" t="s">
        <v>11</v>
      </c>
      <c r="F1896">
        <v>63</v>
      </c>
      <c r="G1896" t="s">
        <v>15</v>
      </c>
      <c r="H1896">
        <v>2</v>
      </c>
      <c r="I1896">
        <v>300</v>
      </c>
      <c r="J1896">
        <v>78</v>
      </c>
      <c r="K1896">
        <v>600</v>
      </c>
    </row>
    <row r="1897" spans="1:11">
      <c r="A1897">
        <v>552</v>
      </c>
      <c r="B1897" s="1">
        <v>44863</v>
      </c>
      <c r="C1897" s="2">
        <v>0.56388888888888888</v>
      </c>
      <c r="D1897">
        <v>85</v>
      </c>
      <c r="E1897" t="s">
        <v>14</v>
      </c>
      <c r="F1897">
        <v>49</v>
      </c>
      <c r="G1897" t="s">
        <v>15</v>
      </c>
      <c r="H1897">
        <v>3</v>
      </c>
      <c r="I1897">
        <v>25</v>
      </c>
      <c r="J1897">
        <v>9.75</v>
      </c>
      <c r="K1897">
        <v>75</v>
      </c>
    </row>
    <row r="1898" spans="1:11">
      <c r="A1898">
        <v>771</v>
      </c>
      <c r="B1898" s="1">
        <v>45284</v>
      </c>
      <c r="C1898" s="2">
        <v>0.51597222222222228</v>
      </c>
      <c r="D1898">
        <v>70</v>
      </c>
      <c r="E1898" t="s">
        <v>11</v>
      </c>
      <c r="F1898">
        <v>24</v>
      </c>
      <c r="G1898" t="s">
        <v>15</v>
      </c>
      <c r="H1898">
        <v>2</v>
      </c>
      <c r="I1898">
        <v>25</v>
      </c>
      <c r="J1898">
        <v>11.75</v>
      </c>
      <c r="K1898">
        <v>50</v>
      </c>
    </row>
    <row r="1899" spans="1:11">
      <c r="A1899">
        <v>1009</v>
      </c>
      <c r="B1899" s="1">
        <v>45191</v>
      </c>
      <c r="C1899" s="2">
        <v>0.59583333333333333</v>
      </c>
      <c r="D1899">
        <v>88</v>
      </c>
      <c r="E1899" t="s">
        <v>11</v>
      </c>
      <c r="F1899">
        <v>63</v>
      </c>
      <c r="G1899" t="s">
        <v>15</v>
      </c>
      <c r="H1899">
        <v>2</v>
      </c>
      <c r="I1899">
        <v>300</v>
      </c>
      <c r="J1899">
        <v>78</v>
      </c>
      <c r="K1899">
        <v>600</v>
      </c>
    </row>
    <row r="1900" spans="1:11">
      <c r="A1900">
        <v>1552</v>
      </c>
      <c r="B1900" s="1">
        <v>44829</v>
      </c>
      <c r="C1900" s="2">
        <v>0.50763888888888886</v>
      </c>
      <c r="D1900">
        <v>55</v>
      </c>
      <c r="E1900" t="s">
        <v>14</v>
      </c>
      <c r="F1900">
        <v>49</v>
      </c>
      <c r="G1900" t="s">
        <v>15</v>
      </c>
      <c r="H1900">
        <v>3</v>
      </c>
      <c r="I1900">
        <v>25</v>
      </c>
      <c r="J1900">
        <v>13</v>
      </c>
      <c r="K1900">
        <v>75</v>
      </c>
    </row>
    <row r="1901" spans="1:11">
      <c r="A1901">
        <v>1771</v>
      </c>
      <c r="B1901" s="1">
        <v>45182</v>
      </c>
      <c r="C1901" s="2">
        <v>0.57013888888888886</v>
      </c>
      <c r="D1901">
        <v>108</v>
      </c>
      <c r="E1901" t="s">
        <v>11</v>
      </c>
      <c r="F1901">
        <v>24</v>
      </c>
      <c r="G1901" t="s">
        <v>15</v>
      </c>
      <c r="H1901">
        <v>2</v>
      </c>
      <c r="I1901">
        <v>25</v>
      </c>
      <c r="J1901">
        <v>10.75</v>
      </c>
      <c r="K1901">
        <v>50</v>
      </c>
    </row>
    <row r="1902" spans="1:11">
      <c r="A1902">
        <v>496</v>
      </c>
      <c r="B1902" s="1">
        <v>44907</v>
      </c>
      <c r="C1902" s="2">
        <v>0.54652777777777772</v>
      </c>
      <c r="D1902">
        <v>91</v>
      </c>
      <c r="E1902" t="s">
        <v>11</v>
      </c>
      <c r="F1902">
        <v>23</v>
      </c>
      <c r="G1902" t="s">
        <v>12</v>
      </c>
      <c r="H1902">
        <v>2</v>
      </c>
      <c r="I1902">
        <v>300</v>
      </c>
      <c r="J1902">
        <v>141</v>
      </c>
      <c r="K1902">
        <v>600</v>
      </c>
    </row>
    <row r="1903" spans="1:11">
      <c r="A1903">
        <v>701</v>
      </c>
      <c r="B1903" s="1">
        <v>45259</v>
      </c>
      <c r="C1903" s="2">
        <v>0.68958333333333333</v>
      </c>
      <c r="D1903">
        <v>93</v>
      </c>
      <c r="E1903" t="s">
        <v>14</v>
      </c>
      <c r="F1903">
        <v>52</v>
      </c>
      <c r="G1903" t="s">
        <v>13</v>
      </c>
      <c r="H1903">
        <v>2</v>
      </c>
      <c r="I1903">
        <v>30</v>
      </c>
      <c r="J1903">
        <v>14.1</v>
      </c>
      <c r="K1903">
        <v>60</v>
      </c>
    </row>
    <row r="1904" spans="1:11">
      <c r="A1904">
        <v>1496</v>
      </c>
      <c r="B1904" s="1">
        <v>44807</v>
      </c>
      <c r="C1904" s="2">
        <v>0.62847222222222221</v>
      </c>
      <c r="D1904">
        <v>110</v>
      </c>
      <c r="E1904" t="s">
        <v>11</v>
      </c>
      <c r="F1904">
        <v>23</v>
      </c>
      <c r="G1904" t="s">
        <v>12</v>
      </c>
      <c r="H1904">
        <v>2</v>
      </c>
      <c r="I1904">
        <v>300</v>
      </c>
      <c r="J1904">
        <v>120</v>
      </c>
      <c r="K1904">
        <v>600</v>
      </c>
    </row>
    <row r="1905" spans="1:11">
      <c r="A1905">
        <v>1701</v>
      </c>
      <c r="B1905" s="1">
        <v>45212</v>
      </c>
      <c r="C1905" s="2">
        <v>0.63124999999999998</v>
      </c>
      <c r="D1905">
        <v>62</v>
      </c>
      <c r="E1905" t="s">
        <v>14</v>
      </c>
      <c r="F1905">
        <v>52</v>
      </c>
      <c r="G1905" t="s">
        <v>13</v>
      </c>
      <c r="H1905">
        <v>2</v>
      </c>
      <c r="I1905">
        <v>30</v>
      </c>
      <c r="J1905">
        <v>15.9</v>
      </c>
      <c r="K1905">
        <v>60</v>
      </c>
    </row>
    <row r="1906" spans="1:11">
      <c r="A1906">
        <v>139</v>
      </c>
      <c r="B1906" s="1">
        <v>45184</v>
      </c>
      <c r="C1906" s="2">
        <v>0.5854166666666667</v>
      </c>
      <c r="D1906">
        <v>113</v>
      </c>
      <c r="E1906" t="s">
        <v>11</v>
      </c>
      <c r="F1906">
        <v>36</v>
      </c>
      <c r="G1906" t="s">
        <v>13</v>
      </c>
      <c r="H1906">
        <v>4</v>
      </c>
      <c r="I1906">
        <v>500</v>
      </c>
      <c r="J1906">
        <v>230</v>
      </c>
      <c r="K1906">
        <v>2000</v>
      </c>
    </row>
    <row r="1907" spans="1:11">
      <c r="A1907">
        <v>151</v>
      </c>
      <c r="B1907" s="1">
        <v>45211</v>
      </c>
      <c r="C1907" s="2">
        <v>0.65902777777777777</v>
      </c>
      <c r="D1907">
        <v>108</v>
      </c>
      <c r="E1907" t="s">
        <v>11</v>
      </c>
      <c r="F1907">
        <v>29</v>
      </c>
      <c r="G1907" t="s">
        <v>12</v>
      </c>
      <c r="H1907">
        <v>1</v>
      </c>
      <c r="I1907">
        <v>50</v>
      </c>
      <c r="J1907">
        <v>18</v>
      </c>
      <c r="K1907">
        <v>50</v>
      </c>
    </row>
    <row r="1908" spans="1:11">
      <c r="A1908">
        <v>1139</v>
      </c>
      <c r="B1908" s="1">
        <v>45281</v>
      </c>
      <c r="C1908" s="2">
        <v>0.59930555555555554</v>
      </c>
      <c r="D1908">
        <v>87</v>
      </c>
      <c r="E1908" t="s">
        <v>11</v>
      </c>
      <c r="F1908">
        <v>36</v>
      </c>
      <c r="G1908" t="s">
        <v>13</v>
      </c>
      <c r="H1908">
        <v>4</v>
      </c>
      <c r="I1908">
        <v>500</v>
      </c>
      <c r="J1908">
        <v>230</v>
      </c>
      <c r="K1908">
        <v>2000</v>
      </c>
    </row>
    <row r="1909" spans="1:11">
      <c r="A1909">
        <v>1151</v>
      </c>
      <c r="B1909" s="1">
        <v>44907</v>
      </c>
      <c r="C1909" s="2">
        <v>0.6166666666666667</v>
      </c>
      <c r="D1909">
        <v>99</v>
      </c>
      <c r="E1909" t="s">
        <v>11</v>
      </c>
      <c r="F1909">
        <v>29</v>
      </c>
      <c r="G1909" t="s">
        <v>12</v>
      </c>
      <c r="H1909">
        <v>1</v>
      </c>
      <c r="I1909">
        <v>50</v>
      </c>
      <c r="J1909">
        <v>26</v>
      </c>
      <c r="K1909">
        <v>50</v>
      </c>
    </row>
    <row r="1910" spans="1:11">
      <c r="A1910">
        <v>83</v>
      </c>
      <c r="B1910" s="1">
        <v>44892</v>
      </c>
      <c r="C1910" s="2">
        <v>0.6645833333333333</v>
      </c>
      <c r="D1910">
        <v>56</v>
      </c>
      <c r="E1910" t="s">
        <v>11</v>
      </c>
      <c r="F1910">
        <v>54</v>
      </c>
      <c r="G1910" t="s">
        <v>15</v>
      </c>
      <c r="H1910">
        <v>2</v>
      </c>
      <c r="I1910">
        <v>50</v>
      </c>
      <c r="J1910">
        <v>16.5</v>
      </c>
      <c r="K1910">
        <v>100</v>
      </c>
    </row>
    <row r="1911" spans="1:11">
      <c r="A1911">
        <v>153</v>
      </c>
      <c r="B1911" s="1">
        <v>45249</v>
      </c>
      <c r="C1911" s="2">
        <v>0.66111111111111109</v>
      </c>
      <c r="D1911">
        <v>62</v>
      </c>
      <c r="E1911" t="s">
        <v>11</v>
      </c>
      <c r="F1911">
        <v>63</v>
      </c>
      <c r="G1911" t="s">
        <v>15</v>
      </c>
      <c r="H1911">
        <v>2</v>
      </c>
      <c r="I1911">
        <v>500</v>
      </c>
      <c r="J1911">
        <v>195</v>
      </c>
      <c r="K1911">
        <v>1000</v>
      </c>
    </row>
    <row r="1912" spans="1:11">
      <c r="A1912">
        <v>451</v>
      </c>
      <c r="B1912" s="1">
        <v>45208</v>
      </c>
      <c r="C1912" s="2">
        <v>0.65138888888888891</v>
      </c>
      <c r="D1912">
        <v>74</v>
      </c>
      <c r="E1912" t="s">
        <v>14</v>
      </c>
      <c r="F1912">
        <v>45</v>
      </c>
      <c r="G1912" t="s">
        <v>15</v>
      </c>
      <c r="H1912">
        <v>1</v>
      </c>
      <c r="I1912">
        <v>30</v>
      </c>
      <c r="J1912">
        <v>13.5</v>
      </c>
      <c r="K1912">
        <v>30</v>
      </c>
    </row>
    <row r="1913" spans="1:11">
      <c r="A1913">
        <v>1083</v>
      </c>
      <c r="B1913" s="1">
        <v>44834</v>
      </c>
      <c r="C1913" s="2">
        <v>0.65694444444444444</v>
      </c>
      <c r="D1913">
        <v>99</v>
      </c>
      <c r="E1913" t="s">
        <v>11</v>
      </c>
      <c r="F1913">
        <v>54</v>
      </c>
      <c r="G1913" t="s">
        <v>15</v>
      </c>
      <c r="H1913">
        <v>2</v>
      </c>
      <c r="I1913">
        <v>50</v>
      </c>
      <c r="J1913">
        <v>17.5</v>
      </c>
      <c r="K1913">
        <v>100</v>
      </c>
    </row>
    <row r="1914" spans="1:11">
      <c r="A1914">
        <v>1153</v>
      </c>
      <c r="B1914" s="1">
        <v>44828</v>
      </c>
      <c r="C1914" s="2">
        <v>0.52083333333333337</v>
      </c>
      <c r="D1914">
        <v>91</v>
      </c>
      <c r="E1914" t="s">
        <v>11</v>
      </c>
      <c r="F1914">
        <v>63</v>
      </c>
      <c r="G1914" t="s">
        <v>15</v>
      </c>
      <c r="H1914">
        <v>2</v>
      </c>
      <c r="I1914">
        <v>500</v>
      </c>
      <c r="J1914">
        <v>265</v>
      </c>
      <c r="K1914">
        <v>1000</v>
      </c>
    </row>
    <row r="1915" spans="1:11">
      <c r="A1915">
        <v>1451</v>
      </c>
      <c r="B1915" s="1">
        <v>44827</v>
      </c>
      <c r="C1915" s="2">
        <v>0.50694444444444442</v>
      </c>
      <c r="D1915">
        <v>94</v>
      </c>
      <c r="E1915" t="s">
        <v>14</v>
      </c>
      <c r="F1915">
        <v>45</v>
      </c>
      <c r="G1915" t="s">
        <v>15</v>
      </c>
      <c r="H1915">
        <v>1</v>
      </c>
      <c r="I1915">
        <v>30</v>
      </c>
      <c r="J1915">
        <v>13.2</v>
      </c>
      <c r="K1915">
        <v>30</v>
      </c>
    </row>
    <row r="1916" spans="1:11">
      <c r="A1916">
        <v>99</v>
      </c>
      <c r="B1916" s="1">
        <v>45249</v>
      </c>
      <c r="C1916" s="2">
        <v>0.6333333333333333</v>
      </c>
      <c r="D1916">
        <v>71</v>
      </c>
      <c r="E1916" t="s">
        <v>14</v>
      </c>
      <c r="F1916">
        <v>50</v>
      </c>
      <c r="G1916" t="s">
        <v>15</v>
      </c>
      <c r="H1916">
        <v>4</v>
      </c>
      <c r="I1916">
        <v>300</v>
      </c>
      <c r="J1916">
        <v>132</v>
      </c>
      <c r="K1916">
        <v>1200</v>
      </c>
    </row>
    <row r="1917" spans="1:11">
      <c r="A1917">
        <v>783</v>
      </c>
      <c r="B1917" s="1">
        <v>44876</v>
      </c>
      <c r="C1917" s="2">
        <v>0.65069444444444446</v>
      </c>
      <c r="D1917">
        <v>91</v>
      </c>
      <c r="E1917" t="s">
        <v>14</v>
      </c>
      <c r="F1917">
        <v>56</v>
      </c>
      <c r="G1917" t="s">
        <v>12</v>
      </c>
      <c r="H1917">
        <v>1</v>
      </c>
      <c r="I1917">
        <v>300</v>
      </c>
      <c r="J1917">
        <v>150</v>
      </c>
      <c r="K1917">
        <v>300</v>
      </c>
    </row>
    <row r="1918" spans="1:11">
      <c r="A1918">
        <v>1099</v>
      </c>
      <c r="B1918" s="1">
        <v>44919</v>
      </c>
      <c r="C1918" s="2">
        <v>0.52847222222222223</v>
      </c>
      <c r="D1918">
        <v>56</v>
      </c>
      <c r="E1918" t="s">
        <v>14</v>
      </c>
      <c r="F1918">
        <v>50</v>
      </c>
      <c r="G1918" t="s">
        <v>15</v>
      </c>
      <c r="H1918">
        <v>4</v>
      </c>
      <c r="I1918">
        <v>300</v>
      </c>
      <c r="J1918">
        <v>162</v>
      </c>
      <c r="K1918">
        <v>1200</v>
      </c>
    </row>
    <row r="1919" spans="1:11">
      <c r="A1919">
        <v>1783</v>
      </c>
      <c r="B1919" s="1">
        <v>45174</v>
      </c>
      <c r="C1919" s="2">
        <v>0.69236111111111109</v>
      </c>
      <c r="D1919">
        <v>52</v>
      </c>
      <c r="E1919" t="s">
        <v>14</v>
      </c>
      <c r="F1919">
        <v>56</v>
      </c>
      <c r="G1919" t="s">
        <v>12</v>
      </c>
      <c r="H1919">
        <v>1</v>
      </c>
      <c r="I1919">
        <v>300</v>
      </c>
      <c r="J1919">
        <v>135</v>
      </c>
      <c r="K1919">
        <v>300</v>
      </c>
    </row>
    <row r="1920" spans="1:11">
      <c r="A1920">
        <v>409</v>
      </c>
      <c r="B1920" s="1">
        <v>45277</v>
      </c>
      <c r="C1920" s="2">
        <v>0.52083333333333337</v>
      </c>
      <c r="D1920">
        <v>55</v>
      </c>
      <c r="E1920" t="s">
        <v>14</v>
      </c>
      <c r="F1920">
        <v>21</v>
      </c>
      <c r="G1920" t="s">
        <v>15</v>
      </c>
      <c r="H1920">
        <v>3</v>
      </c>
      <c r="I1920">
        <v>300</v>
      </c>
      <c r="J1920">
        <v>87</v>
      </c>
      <c r="K1920">
        <v>900</v>
      </c>
    </row>
    <row r="1921" spans="1:11">
      <c r="A1921">
        <v>525</v>
      </c>
      <c r="B1921" s="1">
        <v>44809</v>
      </c>
      <c r="C1921" s="2">
        <v>0.59375</v>
      </c>
      <c r="D1921">
        <v>98</v>
      </c>
      <c r="E1921" t="s">
        <v>14</v>
      </c>
      <c r="F1921">
        <v>47</v>
      </c>
      <c r="G1921" t="s">
        <v>13</v>
      </c>
      <c r="H1921">
        <v>2</v>
      </c>
      <c r="I1921">
        <v>25</v>
      </c>
      <c r="J1921">
        <v>7</v>
      </c>
      <c r="K1921">
        <v>50</v>
      </c>
    </row>
    <row r="1922" spans="1:11">
      <c r="A1922">
        <v>939</v>
      </c>
      <c r="B1922" s="1">
        <v>44872</v>
      </c>
      <c r="C1922" s="2">
        <v>0.64444444444444449</v>
      </c>
      <c r="D1922">
        <v>75</v>
      </c>
      <c r="E1922" t="s">
        <v>14</v>
      </c>
      <c r="F1922">
        <v>46</v>
      </c>
      <c r="G1922" t="s">
        <v>15</v>
      </c>
      <c r="H1922">
        <v>1</v>
      </c>
      <c r="I1922">
        <v>300</v>
      </c>
      <c r="J1922">
        <v>81</v>
      </c>
      <c r="K1922">
        <v>300</v>
      </c>
    </row>
    <row r="1923" spans="1:11">
      <c r="A1923">
        <v>994</v>
      </c>
      <c r="B1923" s="1">
        <v>44919</v>
      </c>
      <c r="C1923" s="2">
        <v>0.69305555555555554</v>
      </c>
      <c r="D1923">
        <v>73</v>
      </c>
      <c r="E1923" t="s">
        <v>14</v>
      </c>
      <c r="F1923">
        <v>51</v>
      </c>
      <c r="G1923" t="s">
        <v>13</v>
      </c>
      <c r="H1923">
        <v>2</v>
      </c>
      <c r="I1923">
        <v>500</v>
      </c>
      <c r="J1923">
        <v>125</v>
      </c>
      <c r="K1923">
        <v>1000</v>
      </c>
    </row>
    <row r="1924" spans="1:11">
      <c r="A1924">
        <v>1409</v>
      </c>
      <c r="B1924" s="1">
        <v>45252</v>
      </c>
      <c r="C1924" s="2">
        <v>0.51041666666666663</v>
      </c>
      <c r="D1924">
        <v>102</v>
      </c>
      <c r="E1924" t="s">
        <v>14</v>
      </c>
      <c r="F1924">
        <v>21</v>
      </c>
      <c r="G1924" t="s">
        <v>15</v>
      </c>
      <c r="H1924">
        <v>3</v>
      </c>
      <c r="I1924">
        <v>300</v>
      </c>
      <c r="J1924">
        <v>138</v>
      </c>
      <c r="K1924">
        <v>900</v>
      </c>
    </row>
    <row r="1925" spans="1:11">
      <c r="A1925">
        <v>1525</v>
      </c>
      <c r="B1925" s="1">
        <v>44908</v>
      </c>
      <c r="C1925" s="2">
        <v>0.56597222222222221</v>
      </c>
      <c r="D1925">
        <v>106</v>
      </c>
      <c r="E1925" t="s">
        <v>14</v>
      </c>
      <c r="F1925">
        <v>47</v>
      </c>
      <c r="G1925" t="s">
        <v>13</v>
      </c>
      <c r="H1925">
        <v>2</v>
      </c>
      <c r="I1925">
        <v>25</v>
      </c>
      <c r="J1925">
        <v>12</v>
      </c>
      <c r="K1925">
        <v>50</v>
      </c>
    </row>
    <row r="1926" spans="1:11">
      <c r="A1926">
        <v>1939</v>
      </c>
      <c r="B1926" s="1">
        <v>44865</v>
      </c>
      <c r="C1926" s="2">
        <v>0.5625</v>
      </c>
      <c r="D1926">
        <v>74</v>
      </c>
      <c r="E1926" t="s">
        <v>14</v>
      </c>
      <c r="F1926">
        <v>46</v>
      </c>
      <c r="G1926" t="s">
        <v>15</v>
      </c>
      <c r="H1926">
        <v>1</v>
      </c>
      <c r="I1926">
        <v>300</v>
      </c>
      <c r="J1926">
        <v>135</v>
      </c>
      <c r="K1926">
        <v>300</v>
      </c>
    </row>
    <row r="1927" spans="1:11">
      <c r="A1927">
        <v>1994</v>
      </c>
      <c r="B1927" s="1">
        <v>44885</v>
      </c>
      <c r="C1927" s="2">
        <v>0.56041666666666667</v>
      </c>
      <c r="D1927">
        <v>86</v>
      </c>
      <c r="E1927" t="s">
        <v>14</v>
      </c>
      <c r="F1927">
        <v>51</v>
      </c>
      <c r="G1927" t="s">
        <v>13</v>
      </c>
      <c r="H1927">
        <v>2</v>
      </c>
      <c r="I1927">
        <v>500</v>
      </c>
      <c r="J1927">
        <v>250</v>
      </c>
      <c r="K1927">
        <v>1000</v>
      </c>
    </row>
    <row r="1928" spans="1:11">
      <c r="A1928">
        <v>96</v>
      </c>
      <c r="B1928" s="1">
        <v>45252</v>
      </c>
      <c r="C1928" s="2">
        <v>0.59027777777777779</v>
      </c>
      <c r="D1928">
        <v>62</v>
      </c>
      <c r="E1928" t="s">
        <v>14</v>
      </c>
      <c r="F1928">
        <v>44</v>
      </c>
      <c r="G1928" t="s">
        <v>12</v>
      </c>
      <c r="H1928">
        <v>2</v>
      </c>
      <c r="I1928">
        <v>300</v>
      </c>
      <c r="J1928">
        <v>84</v>
      </c>
      <c r="K1928">
        <v>600</v>
      </c>
    </row>
    <row r="1929" spans="1:11">
      <c r="A1929">
        <v>609</v>
      </c>
      <c r="B1929" s="1">
        <v>45249</v>
      </c>
      <c r="C1929" s="2">
        <v>0.54305555555555551</v>
      </c>
      <c r="D1929">
        <v>59</v>
      </c>
      <c r="E1929" t="s">
        <v>14</v>
      </c>
      <c r="F1929">
        <v>47</v>
      </c>
      <c r="G1929" t="s">
        <v>12</v>
      </c>
      <c r="H1929">
        <v>2</v>
      </c>
      <c r="I1929">
        <v>50</v>
      </c>
      <c r="J1929">
        <v>13</v>
      </c>
      <c r="K1929">
        <v>100</v>
      </c>
    </row>
    <row r="1930" spans="1:11">
      <c r="A1930">
        <v>982</v>
      </c>
      <c r="B1930" s="1">
        <v>44875</v>
      </c>
      <c r="C1930" s="2">
        <v>0.58888888888888891</v>
      </c>
      <c r="D1930">
        <v>50</v>
      </c>
      <c r="E1930" t="s">
        <v>14</v>
      </c>
      <c r="F1930">
        <v>46</v>
      </c>
      <c r="G1930" t="s">
        <v>13</v>
      </c>
      <c r="H1930">
        <v>3</v>
      </c>
      <c r="I1930">
        <v>30</v>
      </c>
      <c r="J1930">
        <v>15.6</v>
      </c>
      <c r="K1930">
        <v>90</v>
      </c>
    </row>
    <row r="1931" spans="1:11">
      <c r="A1931">
        <v>1096</v>
      </c>
      <c r="B1931" s="1">
        <v>44896</v>
      </c>
      <c r="C1931" s="2">
        <v>0.61736111111111114</v>
      </c>
      <c r="D1931">
        <v>82</v>
      </c>
      <c r="E1931" t="s">
        <v>14</v>
      </c>
      <c r="F1931">
        <v>44</v>
      </c>
      <c r="G1931" t="s">
        <v>12</v>
      </c>
      <c r="H1931">
        <v>2</v>
      </c>
      <c r="I1931">
        <v>300</v>
      </c>
      <c r="J1931">
        <v>138</v>
      </c>
      <c r="K1931">
        <v>600</v>
      </c>
    </row>
    <row r="1932" spans="1:11">
      <c r="A1932">
        <v>1609</v>
      </c>
      <c r="B1932" s="1">
        <v>45204</v>
      </c>
      <c r="C1932" s="2">
        <v>0.58194444444444449</v>
      </c>
      <c r="D1932">
        <v>81</v>
      </c>
      <c r="E1932" t="s">
        <v>14</v>
      </c>
      <c r="F1932">
        <v>47</v>
      </c>
      <c r="G1932" t="s">
        <v>12</v>
      </c>
      <c r="H1932">
        <v>2</v>
      </c>
      <c r="I1932">
        <v>50</v>
      </c>
      <c r="J1932">
        <v>22.5</v>
      </c>
      <c r="K1932">
        <v>100</v>
      </c>
    </row>
    <row r="1933" spans="1:11">
      <c r="A1933">
        <v>1982</v>
      </c>
      <c r="B1933" s="1">
        <v>45178</v>
      </c>
      <c r="C1933" s="2">
        <v>0.53194444444444444</v>
      </c>
      <c r="D1933">
        <v>110</v>
      </c>
      <c r="E1933" t="s">
        <v>14</v>
      </c>
      <c r="F1933">
        <v>46</v>
      </c>
      <c r="G1933" t="s">
        <v>13</v>
      </c>
      <c r="H1933">
        <v>3</v>
      </c>
      <c r="I1933">
        <v>30</v>
      </c>
      <c r="J1933">
        <v>16.5</v>
      </c>
      <c r="K1933">
        <v>90</v>
      </c>
    </row>
    <row r="1934" spans="1:11">
      <c r="A1934">
        <v>209</v>
      </c>
      <c r="B1934" s="1">
        <v>44807</v>
      </c>
      <c r="C1934" s="2">
        <v>0.51527777777777772</v>
      </c>
      <c r="D1934">
        <v>61</v>
      </c>
      <c r="E1934" t="s">
        <v>14</v>
      </c>
      <c r="F1934">
        <v>30</v>
      </c>
      <c r="G1934" t="s">
        <v>15</v>
      </c>
      <c r="H1934">
        <v>4</v>
      </c>
      <c r="I1934">
        <v>50</v>
      </c>
      <c r="J1934">
        <v>14</v>
      </c>
      <c r="K1934">
        <v>200</v>
      </c>
    </row>
    <row r="1935" spans="1:11">
      <c r="A1935">
        <v>435</v>
      </c>
      <c r="B1935" s="1">
        <v>45275</v>
      </c>
      <c r="C1935" s="2">
        <v>0.57013888888888886</v>
      </c>
      <c r="D1935">
        <v>113</v>
      </c>
      <c r="E1935" t="s">
        <v>14</v>
      </c>
      <c r="F1935">
        <v>30</v>
      </c>
      <c r="G1935" t="s">
        <v>13</v>
      </c>
      <c r="H1935">
        <v>3</v>
      </c>
      <c r="I1935">
        <v>300</v>
      </c>
      <c r="J1935">
        <v>108</v>
      </c>
      <c r="K1935">
        <v>900</v>
      </c>
    </row>
    <row r="1936" spans="1:11">
      <c r="A1936">
        <v>777</v>
      </c>
      <c r="B1936" s="1">
        <v>44814</v>
      </c>
      <c r="C1936" s="2">
        <v>0.62986111111111109</v>
      </c>
      <c r="D1936">
        <v>54</v>
      </c>
      <c r="E1936" t="s">
        <v>11</v>
      </c>
      <c r="F1936">
        <v>48</v>
      </c>
      <c r="G1936" t="s">
        <v>15</v>
      </c>
      <c r="H1936">
        <v>3</v>
      </c>
      <c r="I1936">
        <v>50</v>
      </c>
      <c r="J1936">
        <v>17</v>
      </c>
      <c r="K1936">
        <v>150</v>
      </c>
    </row>
    <row r="1937" spans="1:11">
      <c r="A1937">
        <v>854</v>
      </c>
      <c r="B1937" s="1">
        <v>44835</v>
      </c>
      <c r="C1937" s="2">
        <v>0.65416666666666667</v>
      </c>
      <c r="D1937">
        <v>84</v>
      </c>
      <c r="E1937" t="s">
        <v>11</v>
      </c>
      <c r="F1937">
        <v>29</v>
      </c>
      <c r="G1937" t="s">
        <v>12</v>
      </c>
      <c r="H1937">
        <v>1</v>
      </c>
      <c r="I1937">
        <v>50</v>
      </c>
      <c r="J1937">
        <v>22</v>
      </c>
      <c r="K1937">
        <v>50</v>
      </c>
    </row>
    <row r="1938" spans="1:11">
      <c r="A1938">
        <v>890</v>
      </c>
      <c r="B1938" s="1">
        <v>45285</v>
      </c>
      <c r="C1938" s="2">
        <v>0.61388888888888893</v>
      </c>
      <c r="D1938">
        <v>76</v>
      </c>
      <c r="E1938" t="s">
        <v>11</v>
      </c>
      <c r="F1938">
        <v>34</v>
      </c>
      <c r="G1938" t="s">
        <v>15</v>
      </c>
      <c r="H1938">
        <v>2</v>
      </c>
      <c r="I1938">
        <v>25</v>
      </c>
      <c r="J1938">
        <v>13.5</v>
      </c>
      <c r="K1938">
        <v>50</v>
      </c>
    </row>
    <row r="1939" spans="1:11">
      <c r="A1939">
        <v>1209</v>
      </c>
      <c r="B1939" s="1">
        <v>44901</v>
      </c>
      <c r="C1939" s="2">
        <v>0.52569444444444446</v>
      </c>
      <c r="D1939">
        <v>55</v>
      </c>
      <c r="E1939" t="s">
        <v>14</v>
      </c>
      <c r="F1939">
        <v>30</v>
      </c>
      <c r="G1939" t="s">
        <v>15</v>
      </c>
      <c r="H1939">
        <v>4</v>
      </c>
      <c r="I1939">
        <v>50</v>
      </c>
      <c r="J1939">
        <v>23</v>
      </c>
      <c r="K1939">
        <v>200</v>
      </c>
    </row>
    <row r="1940" spans="1:11">
      <c r="A1940">
        <v>1435</v>
      </c>
      <c r="B1940" s="1">
        <v>44861</v>
      </c>
      <c r="C1940" s="2">
        <v>0.56319444444444444</v>
      </c>
      <c r="D1940">
        <v>61</v>
      </c>
      <c r="E1940" t="s">
        <v>14</v>
      </c>
      <c r="F1940">
        <v>30</v>
      </c>
      <c r="G1940" t="s">
        <v>13</v>
      </c>
      <c r="H1940">
        <v>3</v>
      </c>
      <c r="I1940">
        <v>300</v>
      </c>
      <c r="J1940">
        <v>114</v>
      </c>
      <c r="K1940">
        <v>900</v>
      </c>
    </row>
    <row r="1941" spans="1:11">
      <c r="A1941">
        <v>1777</v>
      </c>
      <c r="B1941" s="1">
        <v>45245</v>
      </c>
      <c r="C1941" s="2">
        <v>0.50416666666666665</v>
      </c>
      <c r="D1941">
        <v>74</v>
      </c>
      <c r="E1941" t="s">
        <v>11</v>
      </c>
      <c r="F1941">
        <v>48</v>
      </c>
      <c r="G1941" t="s">
        <v>15</v>
      </c>
      <c r="H1941">
        <v>3</v>
      </c>
      <c r="I1941">
        <v>50</v>
      </c>
      <c r="J1941">
        <v>19.5</v>
      </c>
      <c r="K1941">
        <v>150</v>
      </c>
    </row>
    <row r="1942" spans="1:11">
      <c r="A1942">
        <v>1854</v>
      </c>
      <c r="B1942" s="1">
        <v>45255</v>
      </c>
      <c r="C1942" s="2">
        <v>0.70347222222222228</v>
      </c>
      <c r="D1942">
        <v>109</v>
      </c>
      <c r="E1942" t="s">
        <v>11</v>
      </c>
      <c r="F1942">
        <v>29</v>
      </c>
      <c r="G1942" t="s">
        <v>12</v>
      </c>
      <c r="H1942">
        <v>1</v>
      </c>
      <c r="I1942">
        <v>50</v>
      </c>
      <c r="J1942">
        <v>22.5</v>
      </c>
      <c r="K1942">
        <v>50</v>
      </c>
    </row>
    <row r="1943" spans="1:11">
      <c r="A1943">
        <v>1890</v>
      </c>
      <c r="B1943" s="1">
        <v>45217</v>
      </c>
      <c r="C1943" s="2">
        <v>0.59722222222222221</v>
      </c>
      <c r="D1943">
        <v>51</v>
      </c>
      <c r="E1943" t="s">
        <v>11</v>
      </c>
      <c r="F1943">
        <v>34</v>
      </c>
      <c r="G1943" t="s">
        <v>15</v>
      </c>
      <c r="H1943">
        <v>2</v>
      </c>
      <c r="I1943">
        <v>25</v>
      </c>
      <c r="J1943">
        <v>6.25</v>
      </c>
      <c r="K1943">
        <v>50</v>
      </c>
    </row>
    <row r="1944" spans="1:11">
      <c r="A1944">
        <v>865</v>
      </c>
      <c r="B1944" s="1">
        <v>45277</v>
      </c>
      <c r="C1944" s="2">
        <v>0.61736111111111114</v>
      </c>
      <c r="D1944">
        <v>78</v>
      </c>
      <c r="E1944" t="s">
        <v>14</v>
      </c>
      <c r="F1944">
        <v>42</v>
      </c>
      <c r="G1944" t="s">
        <v>12</v>
      </c>
      <c r="H1944">
        <v>1</v>
      </c>
      <c r="I1944">
        <v>300</v>
      </c>
      <c r="J1944">
        <v>108</v>
      </c>
      <c r="K1944">
        <v>300</v>
      </c>
    </row>
    <row r="1945" spans="1:11">
      <c r="A1945">
        <v>1865</v>
      </c>
      <c r="B1945" s="1">
        <v>44883</v>
      </c>
      <c r="C1945" s="2">
        <v>0.61944444444444446</v>
      </c>
      <c r="D1945">
        <v>107</v>
      </c>
      <c r="E1945" t="s">
        <v>14</v>
      </c>
      <c r="F1945">
        <v>42</v>
      </c>
      <c r="G1945" t="s">
        <v>12</v>
      </c>
      <c r="H1945">
        <v>1</v>
      </c>
      <c r="I1945">
        <v>300</v>
      </c>
      <c r="J1945">
        <v>156</v>
      </c>
      <c r="K1945">
        <v>300</v>
      </c>
    </row>
    <row r="1946" spans="1:11">
      <c r="A1946">
        <v>662</v>
      </c>
      <c r="B1946" s="1">
        <v>44898</v>
      </c>
      <c r="C1946" s="2">
        <v>0.52777777777777779</v>
      </c>
      <c r="D1946">
        <v>100</v>
      </c>
      <c r="E1946" t="s">
        <v>11</v>
      </c>
      <c r="F1946">
        <v>48</v>
      </c>
      <c r="G1946" t="s">
        <v>13</v>
      </c>
      <c r="H1946">
        <v>2</v>
      </c>
      <c r="I1946">
        <v>500</v>
      </c>
      <c r="J1946">
        <v>145</v>
      </c>
      <c r="K1946">
        <v>1000</v>
      </c>
    </row>
    <row r="1947" spans="1:11">
      <c r="A1947">
        <v>1662</v>
      </c>
      <c r="B1947" s="1">
        <v>45280</v>
      </c>
      <c r="C1947" s="2">
        <v>0.52638888888888891</v>
      </c>
      <c r="D1947">
        <v>106</v>
      </c>
      <c r="E1947" t="s">
        <v>11</v>
      </c>
      <c r="F1947">
        <v>48</v>
      </c>
      <c r="G1947" t="s">
        <v>13</v>
      </c>
      <c r="H1947">
        <v>2</v>
      </c>
      <c r="I1947">
        <v>500</v>
      </c>
      <c r="J1947">
        <v>240</v>
      </c>
      <c r="K1947">
        <v>1000</v>
      </c>
    </row>
    <row r="1948" spans="1:11">
      <c r="A1948">
        <v>309</v>
      </c>
      <c r="B1948" s="1">
        <v>45211</v>
      </c>
      <c r="C1948" s="2">
        <v>0.65208333333333335</v>
      </c>
      <c r="D1948">
        <v>78</v>
      </c>
      <c r="E1948" t="s">
        <v>14</v>
      </c>
      <c r="F1948">
        <v>26</v>
      </c>
      <c r="G1948" t="s">
        <v>13</v>
      </c>
      <c r="H1948">
        <v>1</v>
      </c>
      <c r="I1948">
        <v>25</v>
      </c>
      <c r="J1948">
        <v>9</v>
      </c>
      <c r="K1948">
        <v>25</v>
      </c>
    </row>
    <row r="1949" spans="1:11">
      <c r="A1949">
        <v>544</v>
      </c>
      <c r="B1949" s="1">
        <v>45230</v>
      </c>
      <c r="C1949" s="2">
        <v>0.57361111111111107</v>
      </c>
      <c r="D1949">
        <v>95</v>
      </c>
      <c r="E1949" t="s">
        <v>14</v>
      </c>
      <c r="F1949">
        <v>27</v>
      </c>
      <c r="G1949" t="s">
        <v>15</v>
      </c>
      <c r="H1949">
        <v>1</v>
      </c>
      <c r="I1949">
        <v>25</v>
      </c>
      <c r="J1949">
        <v>10.25</v>
      </c>
      <c r="K1949">
        <v>25</v>
      </c>
    </row>
    <row r="1950" spans="1:11">
      <c r="A1950">
        <v>602</v>
      </c>
      <c r="B1950" s="1">
        <v>45272</v>
      </c>
      <c r="C1950" s="2">
        <v>0.69861111111111107</v>
      </c>
      <c r="D1950">
        <v>75</v>
      </c>
      <c r="E1950" t="s">
        <v>14</v>
      </c>
      <c r="F1950">
        <v>20</v>
      </c>
      <c r="G1950" t="s">
        <v>15</v>
      </c>
      <c r="H1950">
        <v>1</v>
      </c>
      <c r="I1950">
        <v>300</v>
      </c>
      <c r="J1950">
        <v>96</v>
      </c>
      <c r="K1950">
        <v>300</v>
      </c>
    </row>
    <row r="1951" spans="1:11">
      <c r="A1951">
        <v>615</v>
      </c>
      <c r="B1951" s="1">
        <v>44865</v>
      </c>
      <c r="C1951" s="2">
        <v>0.62916666666666665</v>
      </c>
      <c r="D1951">
        <v>58</v>
      </c>
      <c r="E1951" t="s">
        <v>14</v>
      </c>
      <c r="F1951">
        <v>61</v>
      </c>
      <c r="G1951" t="s">
        <v>12</v>
      </c>
      <c r="H1951">
        <v>4</v>
      </c>
      <c r="I1951">
        <v>25</v>
      </c>
      <c r="J1951">
        <v>10.5</v>
      </c>
      <c r="K1951">
        <v>100</v>
      </c>
    </row>
    <row r="1952" spans="1:11">
      <c r="A1952">
        <v>678</v>
      </c>
      <c r="B1952" s="1">
        <v>44882</v>
      </c>
      <c r="C1952" s="2">
        <v>0.66319444444444442</v>
      </c>
      <c r="D1952">
        <v>70</v>
      </c>
      <c r="E1952" t="s">
        <v>14</v>
      </c>
      <c r="F1952">
        <v>60</v>
      </c>
      <c r="G1952" t="s">
        <v>15</v>
      </c>
      <c r="H1952">
        <v>3</v>
      </c>
      <c r="I1952">
        <v>300</v>
      </c>
      <c r="J1952">
        <v>144</v>
      </c>
      <c r="K1952">
        <v>900</v>
      </c>
    </row>
    <row r="1953" spans="1:11">
      <c r="A1953">
        <v>781</v>
      </c>
      <c r="B1953" s="1">
        <v>44853</v>
      </c>
      <c r="C1953" s="2">
        <v>0.70277777777777772</v>
      </c>
      <c r="D1953">
        <v>106</v>
      </c>
      <c r="E1953" t="s">
        <v>11</v>
      </c>
      <c r="F1953">
        <v>35</v>
      </c>
      <c r="G1953" t="s">
        <v>13</v>
      </c>
      <c r="H1953">
        <v>1</v>
      </c>
      <c r="I1953">
        <v>500</v>
      </c>
      <c r="J1953">
        <v>225</v>
      </c>
      <c r="K1953">
        <v>500</v>
      </c>
    </row>
    <row r="1954" spans="1:11">
      <c r="A1954">
        <v>1309</v>
      </c>
      <c r="B1954" s="1">
        <v>44834</v>
      </c>
      <c r="C1954" s="2">
        <v>0.70138888888888884</v>
      </c>
      <c r="D1954">
        <v>93</v>
      </c>
      <c r="E1954" t="s">
        <v>14</v>
      </c>
      <c r="F1954">
        <v>26</v>
      </c>
      <c r="G1954" t="s">
        <v>13</v>
      </c>
      <c r="H1954">
        <v>1</v>
      </c>
      <c r="I1954">
        <v>25</v>
      </c>
      <c r="J1954">
        <v>9.5</v>
      </c>
      <c r="K1954">
        <v>25</v>
      </c>
    </row>
    <row r="1955" spans="1:11">
      <c r="A1955">
        <v>1544</v>
      </c>
      <c r="B1955" s="1">
        <v>44911</v>
      </c>
      <c r="C1955" s="2">
        <v>0.66527777777777775</v>
      </c>
      <c r="D1955">
        <v>70</v>
      </c>
      <c r="E1955" t="s">
        <v>14</v>
      </c>
      <c r="F1955">
        <v>27</v>
      </c>
      <c r="G1955" t="s">
        <v>15</v>
      </c>
      <c r="H1955">
        <v>1</v>
      </c>
      <c r="I1955">
        <v>25</v>
      </c>
      <c r="J1955">
        <v>11.25</v>
      </c>
      <c r="K1955">
        <v>25</v>
      </c>
    </row>
    <row r="1956" spans="1:11">
      <c r="A1956">
        <v>1602</v>
      </c>
      <c r="B1956" s="1">
        <v>44896</v>
      </c>
      <c r="C1956" s="2">
        <v>0.63680555555555551</v>
      </c>
      <c r="D1956">
        <v>86</v>
      </c>
      <c r="E1956" t="s">
        <v>14</v>
      </c>
      <c r="F1956">
        <v>20</v>
      </c>
      <c r="G1956" t="s">
        <v>15</v>
      </c>
      <c r="H1956">
        <v>1</v>
      </c>
      <c r="I1956">
        <v>300</v>
      </c>
      <c r="J1956">
        <v>126</v>
      </c>
      <c r="K1956">
        <v>300</v>
      </c>
    </row>
    <row r="1957" spans="1:11">
      <c r="A1957">
        <v>1615</v>
      </c>
      <c r="B1957" s="1">
        <v>44882</v>
      </c>
      <c r="C1957" s="2">
        <v>0.57152777777777775</v>
      </c>
      <c r="D1957">
        <v>82</v>
      </c>
      <c r="E1957" t="s">
        <v>14</v>
      </c>
      <c r="F1957">
        <v>61</v>
      </c>
      <c r="G1957" t="s">
        <v>12</v>
      </c>
      <c r="H1957">
        <v>4</v>
      </c>
      <c r="I1957">
        <v>25</v>
      </c>
      <c r="J1957">
        <v>13.5</v>
      </c>
      <c r="K1957">
        <v>100</v>
      </c>
    </row>
    <row r="1958" spans="1:11">
      <c r="A1958">
        <v>1678</v>
      </c>
      <c r="B1958" s="1">
        <v>44820</v>
      </c>
      <c r="C1958" s="2">
        <v>0.57222222222222219</v>
      </c>
      <c r="D1958">
        <v>99</v>
      </c>
      <c r="E1958" t="s">
        <v>14</v>
      </c>
      <c r="F1958">
        <v>60</v>
      </c>
      <c r="G1958" t="s">
        <v>15</v>
      </c>
      <c r="H1958">
        <v>3</v>
      </c>
      <c r="I1958">
        <v>300</v>
      </c>
      <c r="J1958">
        <v>102</v>
      </c>
      <c r="K1958">
        <v>900</v>
      </c>
    </row>
    <row r="1959" spans="1:11">
      <c r="A1959">
        <v>1781</v>
      </c>
      <c r="B1959" s="1">
        <v>44847</v>
      </c>
      <c r="C1959" s="2">
        <v>0.51527777777777772</v>
      </c>
      <c r="D1959">
        <v>55</v>
      </c>
      <c r="E1959" t="s">
        <v>11</v>
      </c>
      <c r="F1959">
        <v>35</v>
      </c>
      <c r="G1959" t="s">
        <v>13</v>
      </c>
      <c r="H1959">
        <v>1</v>
      </c>
      <c r="I1959">
        <v>500</v>
      </c>
      <c r="J1959">
        <v>225</v>
      </c>
      <c r="K1959">
        <v>500</v>
      </c>
    </row>
    <row r="1960" spans="1:11">
      <c r="A1960">
        <v>34</v>
      </c>
      <c r="B1960" s="1">
        <v>45193</v>
      </c>
      <c r="C1960" s="2">
        <v>0.55972222222222223</v>
      </c>
      <c r="D1960">
        <v>87</v>
      </c>
      <c r="E1960" t="s">
        <v>14</v>
      </c>
      <c r="F1960">
        <v>51</v>
      </c>
      <c r="G1960" t="s">
        <v>12</v>
      </c>
      <c r="H1960">
        <v>3</v>
      </c>
      <c r="I1960">
        <v>50</v>
      </c>
      <c r="J1960">
        <v>17</v>
      </c>
      <c r="K1960">
        <v>150</v>
      </c>
    </row>
    <row r="1961" spans="1:11">
      <c r="A1961">
        <v>916</v>
      </c>
      <c r="B1961" s="1">
        <v>45265</v>
      </c>
      <c r="C1961" s="2">
        <v>0.53888888888888886</v>
      </c>
      <c r="D1961">
        <v>68</v>
      </c>
      <c r="E1961" t="s">
        <v>14</v>
      </c>
      <c r="F1961">
        <v>32</v>
      </c>
      <c r="G1961" t="s">
        <v>15</v>
      </c>
      <c r="H1961">
        <v>1</v>
      </c>
      <c r="I1961">
        <v>50</v>
      </c>
      <c r="J1961">
        <v>26</v>
      </c>
      <c r="K1961">
        <v>50</v>
      </c>
    </row>
    <row r="1962" spans="1:11">
      <c r="A1962">
        <v>1034</v>
      </c>
      <c r="B1962" s="1">
        <v>44878</v>
      </c>
      <c r="C1962" s="2">
        <v>0.6166666666666667</v>
      </c>
      <c r="D1962">
        <v>52</v>
      </c>
      <c r="E1962" t="s">
        <v>14</v>
      </c>
      <c r="F1962">
        <v>51</v>
      </c>
      <c r="G1962" t="s">
        <v>12</v>
      </c>
      <c r="H1962">
        <v>3</v>
      </c>
      <c r="I1962">
        <v>50</v>
      </c>
      <c r="J1962">
        <v>24.5</v>
      </c>
      <c r="K1962">
        <v>150</v>
      </c>
    </row>
    <row r="1963" spans="1:11">
      <c r="A1963">
        <v>1916</v>
      </c>
      <c r="B1963" s="1">
        <v>44873</v>
      </c>
      <c r="C1963" s="2">
        <v>0.52777777777777779</v>
      </c>
      <c r="D1963">
        <v>102</v>
      </c>
      <c r="E1963" t="s">
        <v>14</v>
      </c>
      <c r="F1963">
        <v>32</v>
      </c>
      <c r="G1963" t="s">
        <v>15</v>
      </c>
      <c r="H1963">
        <v>1</v>
      </c>
      <c r="I1963">
        <v>50</v>
      </c>
      <c r="J1963">
        <v>16.5</v>
      </c>
      <c r="K1963">
        <v>50</v>
      </c>
    </row>
    <row r="1964" spans="1:11">
      <c r="A1964">
        <v>757</v>
      </c>
      <c r="B1964" s="1">
        <v>45205</v>
      </c>
      <c r="C1964" s="2">
        <v>0.50694444444444442</v>
      </c>
      <c r="D1964">
        <v>82</v>
      </c>
      <c r="E1964" t="s">
        <v>14</v>
      </c>
      <c r="F1964">
        <v>43</v>
      </c>
      <c r="G1964" t="s">
        <v>15</v>
      </c>
      <c r="H1964">
        <v>4</v>
      </c>
      <c r="I1964">
        <v>300</v>
      </c>
      <c r="J1964">
        <v>105</v>
      </c>
      <c r="K1964">
        <v>1200</v>
      </c>
    </row>
    <row r="1965" spans="1:11">
      <c r="A1965">
        <v>1757</v>
      </c>
      <c r="B1965" s="1">
        <v>45198</v>
      </c>
      <c r="C1965" s="2">
        <v>0.6958333333333333</v>
      </c>
      <c r="D1965">
        <v>50</v>
      </c>
      <c r="E1965" t="s">
        <v>14</v>
      </c>
      <c r="F1965">
        <v>43</v>
      </c>
      <c r="G1965" t="s">
        <v>15</v>
      </c>
      <c r="H1965">
        <v>4</v>
      </c>
      <c r="I1965">
        <v>300</v>
      </c>
      <c r="J1965">
        <v>132</v>
      </c>
      <c r="K1965">
        <v>1200</v>
      </c>
    </row>
    <row r="1966" spans="1:11">
      <c r="A1966">
        <v>25</v>
      </c>
      <c r="B1966" s="1">
        <v>44885</v>
      </c>
      <c r="C1966" s="2">
        <v>0.60555555555555551</v>
      </c>
      <c r="D1966">
        <v>61</v>
      </c>
      <c r="E1966" t="s">
        <v>14</v>
      </c>
      <c r="F1966">
        <v>64</v>
      </c>
      <c r="G1966" t="s">
        <v>13</v>
      </c>
      <c r="H1966">
        <v>1</v>
      </c>
      <c r="I1966">
        <v>50</v>
      </c>
      <c r="J1966">
        <v>19</v>
      </c>
      <c r="K1966">
        <v>50</v>
      </c>
    </row>
    <row r="1967" spans="1:11">
      <c r="A1967">
        <v>82</v>
      </c>
      <c r="B1967" s="1">
        <v>44812</v>
      </c>
      <c r="C1967" s="2">
        <v>0.53819444444444442</v>
      </c>
      <c r="D1967">
        <v>85</v>
      </c>
      <c r="E1967" t="s">
        <v>14</v>
      </c>
      <c r="F1967">
        <v>32</v>
      </c>
      <c r="G1967" t="s">
        <v>13</v>
      </c>
      <c r="H1967">
        <v>4</v>
      </c>
      <c r="I1967">
        <v>50</v>
      </c>
      <c r="J1967">
        <v>15</v>
      </c>
      <c r="K1967">
        <v>200</v>
      </c>
    </row>
    <row r="1968" spans="1:11">
      <c r="A1968">
        <v>472</v>
      </c>
      <c r="B1968" s="1">
        <v>45229</v>
      </c>
      <c r="C1968" s="2">
        <v>0.64097222222222228</v>
      </c>
      <c r="D1968">
        <v>95</v>
      </c>
      <c r="E1968" t="s">
        <v>14</v>
      </c>
      <c r="F1968">
        <v>38</v>
      </c>
      <c r="G1968" t="s">
        <v>13</v>
      </c>
      <c r="H1968">
        <v>3</v>
      </c>
      <c r="I1968">
        <v>300</v>
      </c>
      <c r="J1968">
        <v>162</v>
      </c>
      <c r="K1968">
        <v>900</v>
      </c>
    </row>
    <row r="1969" spans="1:11">
      <c r="A1969">
        <v>842</v>
      </c>
      <c r="B1969" s="1">
        <v>44893</v>
      </c>
      <c r="C1969" s="2">
        <v>0.59236111111111112</v>
      </c>
      <c r="D1969">
        <v>71</v>
      </c>
      <c r="E1969" t="s">
        <v>14</v>
      </c>
      <c r="F1969">
        <v>47</v>
      </c>
      <c r="G1969" t="s">
        <v>12</v>
      </c>
      <c r="H1969">
        <v>2</v>
      </c>
      <c r="I1969">
        <v>300</v>
      </c>
      <c r="J1969">
        <v>105</v>
      </c>
      <c r="K1969">
        <v>600</v>
      </c>
    </row>
    <row r="1970" spans="1:11">
      <c r="A1970">
        <v>879</v>
      </c>
      <c r="B1970" s="1">
        <v>44878</v>
      </c>
      <c r="C1970" s="2">
        <v>0.70208333333333328</v>
      </c>
      <c r="D1970">
        <v>50</v>
      </c>
      <c r="E1970" t="s">
        <v>11</v>
      </c>
      <c r="F1970">
        <v>23</v>
      </c>
      <c r="G1970" t="s">
        <v>12</v>
      </c>
      <c r="H1970">
        <v>1</v>
      </c>
      <c r="I1970">
        <v>30</v>
      </c>
      <c r="J1970">
        <v>15.3</v>
      </c>
      <c r="K1970">
        <v>30</v>
      </c>
    </row>
    <row r="1971" spans="1:11">
      <c r="A1971">
        <v>991</v>
      </c>
      <c r="B1971" s="1">
        <v>45183</v>
      </c>
      <c r="C1971" s="2">
        <v>0.60277777777777775</v>
      </c>
      <c r="D1971">
        <v>110</v>
      </c>
      <c r="E1971" t="s">
        <v>14</v>
      </c>
      <c r="F1971">
        <v>34</v>
      </c>
      <c r="G1971" t="s">
        <v>12</v>
      </c>
      <c r="H1971">
        <v>2</v>
      </c>
      <c r="I1971">
        <v>50</v>
      </c>
      <c r="J1971">
        <v>19.5</v>
      </c>
      <c r="K1971">
        <v>100</v>
      </c>
    </row>
    <row r="1972" spans="1:11">
      <c r="A1972">
        <v>1025</v>
      </c>
      <c r="B1972" s="1">
        <v>44877</v>
      </c>
      <c r="C1972" s="2">
        <v>0.69513888888888886</v>
      </c>
      <c r="D1972">
        <v>103</v>
      </c>
      <c r="E1972" t="s">
        <v>14</v>
      </c>
      <c r="F1972">
        <v>64</v>
      </c>
      <c r="G1972" t="s">
        <v>13</v>
      </c>
      <c r="H1972">
        <v>1</v>
      </c>
      <c r="I1972">
        <v>50</v>
      </c>
      <c r="J1972">
        <v>16.5</v>
      </c>
      <c r="K1972">
        <v>50</v>
      </c>
    </row>
    <row r="1973" spans="1:11">
      <c r="A1973">
        <v>1082</v>
      </c>
      <c r="B1973" s="1">
        <v>44856</v>
      </c>
      <c r="C1973" s="2">
        <v>0.66388888888888886</v>
      </c>
      <c r="D1973">
        <v>111</v>
      </c>
      <c r="E1973" t="s">
        <v>14</v>
      </c>
      <c r="F1973">
        <v>32</v>
      </c>
      <c r="G1973" t="s">
        <v>13</v>
      </c>
      <c r="H1973">
        <v>4</v>
      </c>
      <c r="I1973">
        <v>50</v>
      </c>
      <c r="J1973">
        <v>27.5</v>
      </c>
      <c r="K1973">
        <v>200</v>
      </c>
    </row>
    <row r="1974" spans="1:11">
      <c r="A1974">
        <v>1472</v>
      </c>
      <c r="B1974" s="1">
        <v>45278</v>
      </c>
      <c r="C1974" s="2">
        <v>0.64027777777777772</v>
      </c>
      <c r="D1974">
        <v>74</v>
      </c>
      <c r="E1974" t="s">
        <v>14</v>
      </c>
      <c r="F1974">
        <v>38</v>
      </c>
      <c r="G1974" t="s">
        <v>13</v>
      </c>
      <c r="H1974">
        <v>3</v>
      </c>
      <c r="I1974">
        <v>300</v>
      </c>
      <c r="J1974">
        <v>150</v>
      </c>
      <c r="K1974">
        <v>900</v>
      </c>
    </row>
    <row r="1975" spans="1:11">
      <c r="A1975">
        <v>1842</v>
      </c>
      <c r="B1975" s="1">
        <v>44838</v>
      </c>
      <c r="C1975" s="2">
        <v>0.5854166666666667</v>
      </c>
      <c r="D1975">
        <v>84</v>
      </c>
      <c r="E1975" t="s">
        <v>14</v>
      </c>
      <c r="F1975">
        <v>47</v>
      </c>
      <c r="G1975" t="s">
        <v>12</v>
      </c>
      <c r="H1975">
        <v>2</v>
      </c>
      <c r="I1975">
        <v>300</v>
      </c>
      <c r="J1975">
        <v>75</v>
      </c>
      <c r="K1975">
        <v>600</v>
      </c>
    </row>
    <row r="1976" spans="1:11">
      <c r="A1976">
        <v>1879</v>
      </c>
      <c r="B1976" s="1">
        <v>44883</v>
      </c>
      <c r="C1976" s="2">
        <v>0.64375000000000004</v>
      </c>
      <c r="D1976">
        <v>66</v>
      </c>
      <c r="E1976" t="s">
        <v>11</v>
      </c>
      <c r="F1976">
        <v>23</v>
      </c>
      <c r="G1976" t="s">
        <v>12</v>
      </c>
      <c r="H1976">
        <v>1</v>
      </c>
      <c r="I1976">
        <v>30</v>
      </c>
      <c r="J1976">
        <v>16.2</v>
      </c>
      <c r="K1976">
        <v>30</v>
      </c>
    </row>
    <row r="1977" spans="1:11">
      <c r="A1977">
        <v>1991</v>
      </c>
      <c r="B1977" s="1">
        <v>44899</v>
      </c>
      <c r="C1977" s="2">
        <v>0.5493055555555556</v>
      </c>
      <c r="D1977">
        <v>96</v>
      </c>
      <c r="E1977" t="s">
        <v>14</v>
      </c>
      <c r="F1977">
        <v>34</v>
      </c>
      <c r="G1977" t="s">
        <v>12</v>
      </c>
      <c r="H1977">
        <v>2</v>
      </c>
      <c r="I1977">
        <v>50</v>
      </c>
      <c r="J1977">
        <v>14.5</v>
      </c>
      <c r="K1977">
        <v>100</v>
      </c>
    </row>
    <row r="1978" spans="1:11">
      <c r="A1978">
        <v>62</v>
      </c>
      <c r="B1978" s="1">
        <v>45185</v>
      </c>
      <c r="C1978" s="2">
        <v>0.53749999999999998</v>
      </c>
      <c r="D1978">
        <v>50</v>
      </c>
      <c r="E1978" t="s">
        <v>11</v>
      </c>
      <c r="F1978">
        <v>18</v>
      </c>
      <c r="G1978" t="s">
        <v>13</v>
      </c>
      <c r="H1978">
        <v>2</v>
      </c>
      <c r="I1978">
        <v>50</v>
      </c>
      <c r="J1978">
        <v>26.5</v>
      </c>
      <c r="K1978">
        <v>100</v>
      </c>
    </row>
    <row r="1979" spans="1:11">
      <c r="A1979">
        <v>386</v>
      </c>
      <c r="B1979" s="1">
        <v>44857</v>
      </c>
      <c r="C1979" s="2">
        <v>0.55555555555555558</v>
      </c>
      <c r="D1979">
        <v>77</v>
      </c>
      <c r="E1979" t="s">
        <v>14</v>
      </c>
      <c r="F1979">
        <v>54</v>
      </c>
      <c r="G1979" t="s">
        <v>15</v>
      </c>
      <c r="H1979">
        <v>2</v>
      </c>
      <c r="I1979">
        <v>300</v>
      </c>
      <c r="J1979">
        <v>153</v>
      </c>
      <c r="K1979">
        <v>600</v>
      </c>
    </row>
    <row r="1980" spans="1:11">
      <c r="A1980">
        <v>1062</v>
      </c>
      <c r="B1980" s="1">
        <v>44915</v>
      </c>
      <c r="C1980" s="2">
        <v>0.67013888888888884</v>
      </c>
      <c r="D1980">
        <v>69</v>
      </c>
      <c r="E1980" t="s">
        <v>11</v>
      </c>
      <c r="F1980">
        <v>18</v>
      </c>
      <c r="G1980" t="s">
        <v>13</v>
      </c>
      <c r="H1980">
        <v>2</v>
      </c>
      <c r="I1980">
        <v>50</v>
      </c>
      <c r="J1980">
        <v>21.5</v>
      </c>
      <c r="K1980">
        <v>100</v>
      </c>
    </row>
    <row r="1981" spans="1:11">
      <c r="A1981">
        <v>1386</v>
      </c>
      <c r="B1981" s="1">
        <v>45279</v>
      </c>
      <c r="C1981" s="2">
        <v>0.58750000000000002</v>
      </c>
      <c r="D1981">
        <v>110</v>
      </c>
      <c r="E1981" t="s">
        <v>14</v>
      </c>
      <c r="F1981">
        <v>54</v>
      </c>
      <c r="G1981" t="s">
        <v>15</v>
      </c>
      <c r="H1981">
        <v>2</v>
      </c>
      <c r="I1981">
        <v>300</v>
      </c>
      <c r="J1981">
        <v>81</v>
      </c>
      <c r="K1981">
        <v>600</v>
      </c>
    </row>
    <row r="1982" spans="1:11">
      <c r="A1982">
        <v>429</v>
      </c>
      <c r="B1982" s="1">
        <v>45177</v>
      </c>
      <c r="C1982" s="2">
        <v>0.60347222222222219</v>
      </c>
      <c r="D1982">
        <v>80</v>
      </c>
      <c r="E1982" t="s">
        <v>11</v>
      </c>
      <c r="F1982">
        <v>64</v>
      </c>
      <c r="G1982" t="s">
        <v>15</v>
      </c>
      <c r="H1982">
        <v>2</v>
      </c>
      <c r="I1982">
        <v>25</v>
      </c>
      <c r="J1982">
        <v>6.75</v>
      </c>
      <c r="K1982">
        <v>50</v>
      </c>
    </row>
    <row r="1983" spans="1:11">
      <c r="A1983">
        <v>664</v>
      </c>
      <c r="B1983" s="1">
        <v>44807</v>
      </c>
      <c r="C1983" s="2">
        <v>0.70277777777777772</v>
      </c>
      <c r="D1983">
        <v>109</v>
      </c>
      <c r="E1983" t="s">
        <v>14</v>
      </c>
      <c r="F1983">
        <v>44</v>
      </c>
      <c r="G1983" t="s">
        <v>12</v>
      </c>
      <c r="H1983">
        <v>4</v>
      </c>
      <c r="I1983">
        <v>500</v>
      </c>
      <c r="J1983">
        <v>170</v>
      </c>
      <c r="K1983">
        <v>2000</v>
      </c>
    </row>
    <row r="1984" spans="1:11">
      <c r="A1984">
        <v>989</v>
      </c>
      <c r="B1984" s="1">
        <v>44865</v>
      </c>
      <c r="C1984" s="2">
        <v>0.5625</v>
      </c>
      <c r="D1984">
        <v>97</v>
      </c>
      <c r="E1984" t="s">
        <v>14</v>
      </c>
      <c r="F1984">
        <v>44</v>
      </c>
      <c r="G1984" t="s">
        <v>15</v>
      </c>
      <c r="H1984">
        <v>1</v>
      </c>
      <c r="I1984">
        <v>25</v>
      </c>
      <c r="J1984">
        <v>8.25</v>
      </c>
      <c r="K1984">
        <v>25</v>
      </c>
    </row>
    <row r="1985" spans="1:11">
      <c r="A1985">
        <v>1429</v>
      </c>
      <c r="B1985" s="1">
        <v>45252</v>
      </c>
      <c r="C1985" s="2">
        <v>0.55138888888888893</v>
      </c>
      <c r="D1985">
        <v>102</v>
      </c>
      <c r="E1985" t="s">
        <v>11</v>
      </c>
      <c r="F1985">
        <v>64</v>
      </c>
      <c r="G1985" t="s">
        <v>15</v>
      </c>
      <c r="H1985">
        <v>2</v>
      </c>
      <c r="I1985">
        <v>25</v>
      </c>
      <c r="J1985">
        <v>12</v>
      </c>
      <c r="K1985">
        <v>50</v>
      </c>
    </row>
    <row r="1986" spans="1:11">
      <c r="A1986">
        <v>1664</v>
      </c>
      <c r="B1986" s="1">
        <v>45272</v>
      </c>
      <c r="C1986" s="2">
        <v>0.69722222222222219</v>
      </c>
      <c r="D1986">
        <v>99</v>
      </c>
      <c r="E1986" t="s">
        <v>14</v>
      </c>
      <c r="F1986">
        <v>44</v>
      </c>
      <c r="G1986" t="s">
        <v>12</v>
      </c>
      <c r="H1986">
        <v>4</v>
      </c>
      <c r="I1986">
        <v>500</v>
      </c>
      <c r="J1986">
        <v>245</v>
      </c>
      <c r="K1986">
        <v>2000</v>
      </c>
    </row>
    <row r="1987" spans="1:11">
      <c r="A1987">
        <v>1989</v>
      </c>
      <c r="B1987" s="1">
        <v>44810</v>
      </c>
      <c r="C1987" s="2">
        <v>0.68125000000000002</v>
      </c>
      <c r="D1987">
        <v>109</v>
      </c>
      <c r="E1987" t="s">
        <v>14</v>
      </c>
      <c r="F1987">
        <v>44</v>
      </c>
      <c r="G1987" t="s">
        <v>15</v>
      </c>
      <c r="H1987">
        <v>1</v>
      </c>
      <c r="I1987">
        <v>25</v>
      </c>
      <c r="J1987">
        <v>13.25</v>
      </c>
      <c r="K1987">
        <v>25</v>
      </c>
    </row>
    <row r="1988" spans="1:11">
      <c r="A1988">
        <v>233</v>
      </c>
      <c r="B1988" s="1">
        <v>44807</v>
      </c>
      <c r="C1988" s="2">
        <v>0.54791666666666672</v>
      </c>
      <c r="D1988">
        <v>81</v>
      </c>
      <c r="E1988" t="s">
        <v>14</v>
      </c>
      <c r="F1988">
        <v>51</v>
      </c>
      <c r="G1988" t="s">
        <v>13</v>
      </c>
      <c r="H1988">
        <v>2</v>
      </c>
      <c r="I1988">
        <v>300</v>
      </c>
      <c r="J1988">
        <v>132</v>
      </c>
      <c r="K1988">
        <v>600</v>
      </c>
    </row>
    <row r="1989" spans="1:11">
      <c r="A1989">
        <v>520</v>
      </c>
      <c r="B1989" s="1">
        <v>44850</v>
      </c>
      <c r="C1989" s="2">
        <v>0.52916666666666667</v>
      </c>
      <c r="D1989">
        <v>79</v>
      </c>
      <c r="E1989" t="s">
        <v>14</v>
      </c>
      <c r="F1989">
        <v>49</v>
      </c>
      <c r="G1989" t="s">
        <v>15</v>
      </c>
      <c r="H1989">
        <v>4</v>
      </c>
      <c r="I1989">
        <v>25</v>
      </c>
      <c r="J1989">
        <v>13</v>
      </c>
      <c r="K1989">
        <v>100</v>
      </c>
    </row>
    <row r="1990" spans="1:11">
      <c r="A1990">
        <v>805</v>
      </c>
      <c r="B1990" s="1">
        <v>44807</v>
      </c>
      <c r="C1990" s="2">
        <v>0.57986111111111116</v>
      </c>
      <c r="D1990">
        <v>59</v>
      </c>
      <c r="E1990" t="s">
        <v>14</v>
      </c>
      <c r="F1990">
        <v>30</v>
      </c>
      <c r="G1990" t="s">
        <v>13</v>
      </c>
      <c r="H1990">
        <v>3</v>
      </c>
      <c r="I1990">
        <v>500</v>
      </c>
      <c r="J1990">
        <v>155</v>
      </c>
      <c r="K1990">
        <v>1500</v>
      </c>
    </row>
    <row r="1991" spans="1:11">
      <c r="A1991">
        <v>908</v>
      </c>
      <c r="B1991" s="1">
        <v>44864</v>
      </c>
      <c r="C1991" s="2">
        <v>0.61597222222222225</v>
      </c>
      <c r="D1991">
        <v>64</v>
      </c>
      <c r="E1991" t="s">
        <v>11</v>
      </c>
      <c r="F1991">
        <v>46</v>
      </c>
      <c r="G1991" t="s">
        <v>13</v>
      </c>
      <c r="H1991">
        <v>4</v>
      </c>
      <c r="I1991">
        <v>300</v>
      </c>
      <c r="J1991">
        <v>81</v>
      </c>
      <c r="K1991">
        <v>1200</v>
      </c>
    </row>
    <row r="1992" spans="1:11">
      <c r="A1992">
        <v>1233</v>
      </c>
      <c r="B1992" s="1">
        <v>45200</v>
      </c>
      <c r="C1992" s="2">
        <v>0.68055555555555558</v>
      </c>
      <c r="D1992">
        <v>79</v>
      </c>
      <c r="E1992" t="s">
        <v>14</v>
      </c>
      <c r="F1992">
        <v>51</v>
      </c>
      <c r="G1992" t="s">
        <v>13</v>
      </c>
      <c r="H1992">
        <v>2</v>
      </c>
      <c r="I1992">
        <v>300</v>
      </c>
      <c r="J1992">
        <v>117</v>
      </c>
      <c r="K1992">
        <v>600</v>
      </c>
    </row>
    <row r="1993" spans="1:11">
      <c r="A1993">
        <v>1520</v>
      </c>
      <c r="B1993" s="1">
        <v>44886</v>
      </c>
      <c r="C1993" s="2">
        <v>0.64444444444444449</v>
      </c>
      <c r="D1993">
        <v>88</v>
      </c>
      <c r="E1993" t="s">
        <v>14</v>
      </c>
      <c r="F1993">
        <v>49</v>
      </c>
      <c r="G1993" t="s">
        <v>15</v>
      </c>
      <c r="H1993">
        <v>4</v>
      </c>
      <c r="I1993">
        <v>25</v>
      </c>
      <c r="J1993">
        <v>10.5</v>
      </c>
      <c r="K1993">
        <v>100</v>
      </c>
    </row>
    <row r="1994" spans="1:11">
      <c r="A1994">
        <v>1805</v>
      </c>
      <c r="B1994" s="1">
        <v>45209</v>
      </c>
      <c r="C1994" s="2">
        <v>0.56597222222222221</v>
      </c>
      <c r="D1994">
        <v>79</v>
      </c>
      <c r="E1994" t="s">
        <v>14</v>
      </c>
      <c r="F1994">
        <v>30</v>
      </c>
      <c r="G1994" t="s">
        <v>13</v>
      </c>
      <c r="H1994">
        <v>3</v>
      </c>
      <c r="I1994">
        <v>500</v>
      </c>
      <c r="J1994">
        <v>225</v>
      </c>
      <c r="K1994">
        <v>1500</v>
      </c>
    </row>
    <row r="1995" spans="1:11">
      <c r="A1995">
        <v>1908</v>
      </c>
      <c r="B1995" s="1">
        <v>45277</v>
      </c>
      <c r="C1995" s="2">
        <v>0.52361111111111114</v>
      </c>
      <c r="D1995">
        <v>93</v>
      </c>
      <c r="E1995" t="s">
        <v>11</v>
      </c>
      <c r="F1995">
        <v>46</v>
      </c>
      <c r="G1995" t="s">
        <v>13</v>
      </c>
      <c r="H1995">
        <v>4</v>
      </c>
      <c r="I1995">
        <v>300</v>
      </c>
      <c r="J1995">
        <v>87</v>
      </c>
      <c r="K1995">
        <v>1200</v>
      </c>
    </row>
    <row r="1996" spans="1:11">
      <c r="A1996">
        <v>857</v>
      </c>
      <c r="B1996" s="1">
        <v>45250</v>
      </c>
      <c r="C1996" s="2">
        <v>0.50624999999999998</v>
      </c>
      <c r="D1996">
        <v>62</v>
      </c>
      <c r="E1996" t="s">
        <v>11</v>
      </c>
      <c r="F1996">
        <v>60</v>
      </c>
      <c r="G1996" t="s">
        <v>15</v>
      </c>
      <c r="H1996">
        <v>2</v>
      </c>
      <c r="I1996">
        <v>25</v>
      </c>
      <c r="J1996">
        <v>12</v>
      </c>
      <c r="K1996">
        <v>50</v>
      </c>
    </row>
    <row r="1997" spans="1:11">
      <c r="A1997">
        <v>1857</v>
      </c>
      <c r="B1997" s="1">
        <v>44874</v>
      </c>
      <c r="C1997" s="2">
        <v>0.51041666666666663</v>
      </c>
      <c r="D1997">
        <v>109</v>
      </c>
      <c r="E1997" t="s">
        <v>11</v>
      </c>
      <c r="F1997">
        <v>60</v>
      </c>
      <c r="G1997" t="s">
        <v>15</v>
      </c>
      <c r="H1997">
        <v>2</v>
      </c>
      <c r="I1997">
        <v>25</v>
      </c>
      <c r="J1997">
        <v>7.5</v>
      </c>
      <c r="K1997">
        <v>50</v>
      </c>
    </row>
    <row r="1998" spans="1:11">
      <c r="A1998">
        <v>211</v>
      </c>
      <c r="B1998" s="1">
        <v>44816</v>
      </c>
      <c r="C1998" s="2">
        <v>0.58472222222222225</v>
      </c>
      <c r="D1998">
        <v>54</v>
      </c>
      <c r="E1998" t="s">
        <v>11</v>
      </c>
      <c r="F1998">
        <v>42</v>
      </c>
      <c r="G1998" t="s">
        <v>13</v>
      </c>
      <c r="H1998">
        <v>3</v>
      </c>
      <c r="I1998">
        <v>500</v>
      </c>
      <c r="J1998">
        <v>235</v>
      </c>
      <c r="K1998">
        <v>1500</v>
      </c>
    </row>
    <row r="1999" spans="1:11">
      <c r="A1999">
        <v>650</v>
      </c>
      <c r="B1999" s="1">
        <v>45207</v>
      </c>
      <c r="C1999" s="2">
        <v>0.52847222222222223</v>
      </c>
      <c r="D1999">
        <v>98</v>
      </c>
      <c r="E1999" t="s">
        <v>11</v>
      </c>
      <c r="F1999">
        <v>55</v>
      </c>
      <c r="G1999" t="s">
        <v>15</v>
      </c>
      <c r="H1999">
        <v>1</v>
      </c>
      <c r="I1999">
        <v>30</v>
      </c>
      <c r="J1999">
        <v>15</v>
      </c>
      <c r="K1999">
        <v>30</v>
      </c>
    </row>
    <row r="2000" spans="1:11">
      <c r="A2000">
        <v>1211</v>
      </c>
      <c r="B2000" s="1">
        <v>45252</v>
      </c>
      <c r="C2000" s="2">
        <v>0.62430555555555556</v>
      </c>
      <c r="D2000">
        <v>82</v>
      </c>
      <c r="E2000" t="s">
        <v>11</v>
      </c>
      <c r="F2000">
        <v>42</v>
      </c>
      <c r="G2000" t="s">
        <v>13</v>
      </c>
      <c r="H2000">
        <v>3</v>
      </c>
      <c r="I2000">
        <v>500</v>
      </c>
      <c r="J2000">
        <v>235</v>
      </c>
      <c r="K2000">
        <v>1500</v>
      </c>
    </row>
    <row r="2001" spans="1:11">
      <c r="A2001">
        <v>1650</v>
      </c>
      <c r="B2001" s="1">
        <v>44827</v>
      </c>
      <c r="C2001" s="2">
        <v>0.68333333333333335</v>
      </c>
      <c r="D2001">
        <v>89</v>
      </c>
      <c r="E2001" t="s">
        <v>11</v>
      </c>
      <c r="F2001">
        <v>55</v>
      </c>
      <c r="G2001" t="s">
        <v>15</v>
      </c>
      <c r="H2001">
        <v>1</v>
      </c>
      <c r="I2001">
        <v>30</v>
      </c>
      <c r="J2001">
        <v>10.8</v>
      </c>
      <c r="K2001">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EC529-B537-4DFF-BFE7-22A44E541A06}">
  <dimension ref="A1:O2001"/>
  <sheetViews>
    <sheetView workbookViewId="0">
      <selection activeCell="C55" sqref="C55"/>
    </sheetView>
  </sheetViews>
  <sheetFormatPr defaultColWidth="25.85546875" defaultRowHeight="15"/>
  <cols>
    <col min="3" max="3" width="25.85546875" style="1"/>
    <col min="4" max="4" width="25.85546875" style="5"/>
    <col min="10" max="10" width="25.85546875" style="6"/>
  </cols>
  <sheetData>
    <row r="1" spans="1:15">
      <c r="A1" t="s">
        <v>0</v>
      </c>
      <c r="B1" t="s">
        <v>16</v>
      </c>
      <c r="C1" s="1" t="s">
        <v>1</v>
      </c>
      <c r="D1" s="5" t="s">
        <v>2</v>
      </c>
      <c r="E1" t="s">
        <v>3</v>
      </c>
      <c r="F1" t="s">
        <v>4</v>
      </c>
      <c r="G1" t="s">
        <v>5</v>
      </c>
      <c r="H1" t="s">
        <v>6</v>
      </c>
      <c r="I1" t="s">
        <v>7</v>
      </c>
      <c r="J1" s="6" t="s">
        <v>8</v>
      </c>
      <c r="K1" t="s">
        <v>9</v>
      </c>
      <c r="L1" t="s">
        <v>10</v>
      </c>
      <c r="M1" t="s">
        <v>17</v>
      </c>
      <c r="N1" t="s">
        <v>18</v>
      </c>
      <c r="O1" t="s">
        <v>19</v>
      </c>
    </row>
    <row r="2" spans="1:15">
      <c r="A2">
        <v>979</v>
      </c>
      <c r="B2" t="str">
        <f t="shared" ref="B2:B65" si="0">TEXT(C2,"yyyy-mm")</f>
        <v>2022-05</v>
      </c>
      <c r="C2" s="1">
        <v>44699</v>
      </c>
      <c r="D2" s="5">
        <v>0.42916666666666664</v>
      </c>
      <c r="E2">
        <v>6</v>
      </c>
      <c r="F2" t="s">
        <v>14</v>
      </c>
      <c r="G2">
        <v>19</v>
      </c>
      <c r="H2" t="s">
        <v>13</v>
      </c>
      <c r="I2">
        <v>1</v>
      </c>
      <c r="J2" s="6">
        <v>25</v>
      </c>
      <c r="K2">
        <v>10.5</v>
      </c>
      <c r="L2">
        <v>25</v>
      </c>
      <c r="M2" t="str">
        <f>IF(OR(I2="",J2="",L2=""),"Incomplete","Complete")</f>
        <v>Complete</v>
      </c>
      <c r="N2" t="str">
        <f>IF(M2="Incomplete","Not checked",IF(ROUND(I2*J2,2)=ROUND(L2,2),"Valid","Mismatch"))</f>
        <v>Valid</v>
      </c>
      <c r="O2">
        <f t="shared" ref="O2:O65" si="1">IF(M2="Incomplete","",L2-K2)</f>
        <v>14.5</v>
      </c>
    </row>
    <row r="3" spans="1:15">
      <c r="A3">
        <v>1979</v>
      </c>
      <c r="B3" t="str">
        <f t="shared" si="0"/>
        <v>2022-08</v>
      </c>
      <c r="C3" s="1">
        <v>44790</v>
      </c>
      <c r="D3" s="5">
        <v>0.48194444444444445</v>
      </c>
      <c r="E3">
        <v>102</v>
      </c>
      <c r="F3" t="s">
        <v>14</v>
      </c>
      <c r="G3">
        <v>19</v>
      </c>
      <c r="H3" t="s">
        <v>13</v>
      </c>
      <c r="I3">
        <v>1</v>
      </c>
      <c r="J3" s="6">
        <v>25</v>
      </c>
      <c r="K3">
        <v>7.75</v>
      </c>
      <c r="L3">
        <v>25</v>
      </c>
      <c r="M3" t="str">
        <f>IF(OR(I3="",J3="",L3=""),"Incomplete","Complete")</f>
        <v>Complete</v>
      </c>
      <c r="N3" t="str">
        <f>IF(M3="Incomplete","Not checked",IF(ROUND(I3*J3,2)=ROUND(L3,2),"Valid","Mismatch"))</f>
        <v>Valid</v>
      </c>
      <c r="O3">
        <f t="shared" si="1"/>
        <v>17.25</v>
      </c>
    </row>
    <row r="4" spans="1:15">
      <c r="A4">
        <v>391</v>
      </c>
      <c r="B4" t="str">
        <f t="shared" si="0"/>
        <v>2022-03</v>
      </c>
      <c r="C4" s="1">
        <v>44645</v>
      </c>
      <c r="D4" s="5">
        <v>0.31736111111111109</v>
      </c>
      <c r="E4">
        <v>68</v>
      </c>
      <c r="F4" t="s">
        <v>11</v>
      </c>
      <c r="G4">
        <v>19</v>
      </c>
      <c r="H4" t="s">
        <v>13</v>
      </c>
      <c r="I4">
        <v>2</v>
      </c>
      <c r="J4" s="6">
        <v>25</v>
      </c>
      <c r="K4">
        <v>6.25</v>
      </c>
      <c r="L4">
        <v>50</v>
      </c>
      <c r="M4" t="str">
        <f>IF(OR(I4="",J4="",L4=""),"Incomplete","Complete")</f>
        <v>Complete</v>
      </c>
      <c r="N4" t="str">
        <f>IF(M4="Incomplete","Not checked",IF(ROUND(I4*J4,2)=ROUND(L4,2),"Valid","Mismatch"))</f>
        <v>Valid</v>
      </c>
      <c r="O4">
        <f t="shared" si="1"/>
        <v>43.75</v>
      </c>
    </row>
    <row r="5" spans="1:15">
      <c r="A5">
        <v>1391</v>
      </c>
      <c r="B5" t="str">
        <f t="shared" si="0"/>
        <v>2022-03</v>
      </c>
      <c r="C5" s="1">
        <v>44621</v>
      </c>
      <c r="D5" s="5">
        <v>0.47847222222222224</v>
      </c>
      <c r="E5">
        <v>130</v>
      </c>
      <c r="F5" t="s">
        <v>11</v>
      </c>
      <c r="H5" t="s">
        <v>13</v>
      </c>
      <c r="I5">
        <v>2</v>
      </c>
      <c r="J5" s="6">
        <v>25</v>
      </c>
      <c r="K5">
        <v>9.25</v>
      </c>
      <c r="L5">
        <v>50</v>
      </c>
      <c r="M5" t="str">
        <f>IF(OR(I5="",J5="",L5=""),"Incomplete","Complete")</f>
        <v>Complete</v>
      </c>
      <c r="N5" t="str">
        <f>IF(M5="Incomplete","Not checked",IF(ROUND(I5*J5,2)=ROUND(L5,2),"Valid","Mismatch"))</f>
        <v>Valid</v>
      </c>
      <c r="O5">
        <f t="shared" si="1"/>
        <v>40.75</v>
      </c>
    </row>
    <row r="6" spans="1:15">
      <c r="A6">
        <v>797</v>
      </c>
      <c r="B6" t="str">
        <f t="shared" si="0"/>
        <v>2022-09</v>
      </c>
      <c r="C6" s="1">
        <v>44820</v>
      </c>
      <c r="D6" s="5">
        <v>0.27638888888888891</v>
      </c>
      <c r="E6">
        <v>116</v>
      </c>
      <c r="F6" t="s">
        <v>11</v>
      </c>
      <c r="H6" t="s">
        <v>12</v>
      </c>
      <c r="I6">
        <v>3</v>
      </c>
      <c r="J6" s="6">
        <v>25</v>
      </c>
      <c r="K6">
        <v>10.75</v>
      </c>
      <c r="L6">
        <v>75</v>
      </c>
      <c r="M6" t="str">
        <f>IF(OR(I6="",J6="",L6=""),"Incomplete","Complete")</f>
        <v>Complete</v>
      </c>
      <c r="N6" t="str">
        <f>IF(M6="Incomplete","Not checked",IF(ROUND(I6*J6,2)=ROUND(L6,2),"Valid","Mismatch"))</f>
        <v>Valid</v>
      </c>
      <c r="O6">
        <f t="shared" si="1"/>
        <v>64.25</v>
      </c>
    </row>
    <row r="7" spans="1:15">
      <c r="A7">
        <v>921</v>
      </c>
      <c r="B7" t="str">
        <f t="shared" si="0"/>
        <v>2022-09</v>
      </c>
      <c r="C7" s="1">
        <v>44832</v>
      </c>
      <c r="D7" s="5">
        <v>0.39861111111111114</v>
      </c>
      <c r="E7">
        <v>101</v>
      </c>
      <c r="F7" t="s">
        <v>11</v>
      </c>
      <c r="H7" t="s">
        <v>15</v>
      </c>
      <c r="I7">
        <v>3</v>
      </c>
      <c r="J7" s="6">
        <v>25</v>
      </c>
      <c r="K7">
        <v>8</v>
      </c>
      <c r="L7">
        <v>75</v>
      </c>
      <c r="M7" t="str">
        <f>IF(OR(I7="",J7="",L7=""),"Incomplete","Complete")</f>
        <v>Complete</v>
      </c>
      <c r="N7" t="str">
        <f>IF(M7="Incomplete","Not checked",IF(ROUND(I7*J7,2)=ROUND(L7,2),"Valid","Mismatch"))</f>
        <v>Valid</v>
      </c>
      <c r="O7">
        <f t="shared" si="1"/>
        <v>67</v>
      </c>
    </row>
    <row r="8" spans="1:15">
      <c r="A8">
        <v>1797</v>
      </c>
      <c r="B8" t="str">
        <f t="shared" si="0"/>
        <v>2022-04</v>
      </c>
      <c r="C8" s="1">
        <v>44667</v>
      </c>
      <c r="D8" s="5">
        <v>0.4909722222222222</v>
      </c>
      <c r="E8">
        <v>147</v>
      </c>
      <c r="F8" t="s">
        <v>11</v>
      </c>
      <c r="G8">
        <v>40</v>
      </c>
      <c r="H8" t="s">
        <v>12</v>
      </c>
      <c r="I8">
        <v>3</v>
      </c>
      <c r="J8" s="6">
        <v>25</v>
      </c>
      <c r="K8">
        <v>12.25</v>
      </c>
      <c r="L8">
        <v>75</v>
      </c>
      <c r="M8" t="str">
        <f>IF(OR(I8="",J8="",L8=""),"Incomplete","Complete")</f>
        <v>Complete</v>
      </c>
      <c r="N8" t="str">
        <f>IF(M8="Incomplete","Not checked",IF(ROUND(I8*J8,2)=ROUND(L8,2),"Valid","Mismatch"))</f>
        <v>Valid</v>
      </c>
      <c r="O8">
        <f t="shared" si="1"/>
        <v>62.75</v>
      </c>
    </row>
    <row r="9" spans="1:15">
      <c r="A9">
        <v>1921</v>
      </c>
      <c r="B9" t="str">
        <f t="shared" si="0"/>
        <v>2022-02</v>
      </c>
      <c r="C9" s="1">
        <v>44600</v>
      </c>
      <c r="D9" s="5">
        <v>0.29236111111111113</v>
      </c>
      <c r="E9">
        <v>77</v>
      </c>
      <c r="F9" t="s">
        <v>11</v>
      </c>
      <c r="G9">
        <v>51</v>
      </c>
      <c r="H9" t="s">
        <v>15</v>
      </c>
      <c r="I9">
        <v>3</v>
      </c>
      <c r="J9" s="6">
        <v>25</v>
      </c>
      <c r="K9">
        <v>7.5</v>
      </c>
      <c r="L9">
        <v>75</v>
      </c>
      <c r="M9" t="str">
        <f>IF(OR(I9="",J9="",L9=""),"Incomplete","Complete")</f>
        <v>Complete</v>
      </c>
      <c r="N9" t="str">
        <f>IF(M9="Incomplete","Not checked",IF(ROUND(I9*J9,2)=ROUND(L9,2),"Valid","Mismatch"))</f>
        <v>Valid</v>
      </c>
      <c r="O9">
        <f t="shared" si="1"/>
        <v>67.5</v>
      </c>
    </row>
    <row r="10" spans="1:15">
      <c r="A10">
        <v>907</v>
      </c>
      <c r="B10" t="str">
        <f t="shared" si="0"/>
        <v>2022-09</v>
      </c>
      <c r="C10" s="1">
        <v>44806</v>
      </c>
      <c r="D10" s="5">
        <v>0.26111111111111113</v>
      </c>
      <c r="E10">
        <v>145</v>
      </c>
      <c r="F10" t="s">
        <v>14</v>
      </c>
      <c r="G10">
        <v>45</v>
      </c>
      <c r="H10" t="s">
        <v>15</v>
      </c>
      <c r="I10">
        <v>1</v>
      </c>
      <c r="J10" s="6">
        <v>25</v>
      </c>
      <c r="K10">
        <v>8.5</v>
      </c>
      <c r="L10">
        <v>25</v>
      </c>
      <c r="M10" t="str">
        <f>IF(OR(I10="",J10="",L10=""),"Incomplete","Complete")</f>
        <v>Complete</v>
      </c>
      <c r="N10" t="str">
        <f>IF(M10="Incomplete","Not checked",IF(ROUND(I10*J10,2)=ROUND(L10,2),"Valid","Mismatch"))</f>
        <v>Valid</v>
      </c>
      <c r="O10">
        <f t="shared" si="1"/>
        <v>16.5</v>
      </c>
    </row>
    <row r="11" spans="1:15">
      <c r="A11">
        <v>1907</v>
      </c>
      <c r="B11" t="str">
        <f t="shared" si="0"/>
        <v>2022-11</v>
      </c>
      <c r="C11" s="1">
        <v>44882</v>
      </c>
      <c r="D11" s="5">
        <v>0.47291666666666665</v>
      </c>
      <c r="E11">
        <v>115</v>
      </c>
      <c r="F11" t="s">
        <v>14</v>
      </c>
      <c r="G11">
        <v>45</v>
      </c>
      <c r="H11" t="s">
        <v>15</v>
      </c>
      <c r="I11">
        <v>1</v>
      </c>
      <c r="J11" s="6">
        <v>25</v>
      </c>
      <c r="K11">
        <v>9</v>
      </c>
      <c r="L11">
        <v>25</v>
      </c>
      <c r="M11" t="str">
        <f>IF(OR(I11="",J11="",L11=""),"Incomplete","Complete")</f>
        <v>Complete</v>
      </c>
      <c r="N11" t="str">
        <f>IF(M11="Incomplete","Not checked",IF(ROUND(I11*J11,2)=ROUND(L11,2),"Valid","Mismatch"))</f>
        <v>Valid</v>
      </c>
      <c r="O11">
        <f t="shared" si="1"/>
        <v>16</v>
      </c>
    </row>
    <row r="12" spans="1:15">
      <c r="A12">
        <v>225</v>
      </c>
      <c r="B12" t="str">
        <f t="shared" si="0"/>
        <v>2022-03</v>
      </c>
      <c r="C12" s="1">
        <v>44625</v>
      </c>
      <c r="D12" s="5">
        <v>0.31736111111111109</v>
      </c>
      <c r="E12">
        <v>85</v>
      </c>
      <c r="F12" t="s">
        <v>14</v>
      </c>
      <c r="G12">
        <v>57</v>
      </c>
      <c r="H12" t="s">
        <v>13</v>
      </c>
      <c r="I12">
        <v>4</v>
      </c>
      <c r="J12" s="6">
        <v>25</v>
      </c>
      <c r="K12">
        <v>12.75</v>
      </c>
      <c r="L12">
        <v>100</v>
      </c>
      <c r="M12" t="str">
        <f>IF(OR(I12="",J12="",L12=""),"Incomplete","Complete")</f>
        <v>Complete</v>
      </c>
      <c r="N12" t="str">
        <f>IF(M12="Incomplete","Not checked",IF(ROUND(I12*J12,2)=ROUND(L12,2),"Valid","Mismatch"))</f>
        <v>Valid</v>
      </c>
      <c r="O12">
        <f t="shared" si="1"/>
        <v>87.25</v>
      </c>
    </row>
    <row r="13" spans="1:15">
      <c r="A13">
        <v>591</v>
      </c>
      <c r="B13" t="str">
        <f t="shared" si="0"/>
        <v>2022-03</v>
      </c>
      <c r="C13" s="1">
        <v>44641</v>
      </c>
      <c r="D13" s="5">
        <v>0.35972222222222222</v>
      </c>
      <c r="E13">
        <v>94</v>
      </c>
      <c r="F13" t="s">
        <v>11</v>
      </c>
      <c r="G13">
        <v>53</v>
      </c>
      <c r="H13" t="s">
        <v>15</v>
      </c>
      <c r="I13">
        <v>4</v>
      </c>
      <c r="J13" s="6">
        <v>25</v>
      </c>
      <c r="K13">
        <v>6.5</v>
      </c>
      <c r="L13">
        <v>100</v>
      </c>
      <c r="M13" t="str">
        <f>IF(OR(I13="",J13="",L13=""),"Incomplete","Complete")</f>
        <v>Complete</v>
      </c>
      <c r="N13" t="str">
        <f>IF(M13="Incomplete","Not checked",IF(ROUND(I13*J13,2)=ROUND(L13,2),"Valid","Mismatch"))</f>
        <v>Valid</v>
      </c>
      <c r="O13">
        <f t="shared" si="1"/>
        <v>93.5</v>
      </c>
    </row>
    <row r="14" spans="1:15">
      <c r="A14">
        <v>1591</v>
      </c>
      <c r="B14" t="str">
        <f t="shared" si="0"/>
        <v>2022-09</v>
      </c>
      <c r="C14" s="1">
        <v>44833</v>
      </c>
      <c r="D14" s="5">
        <v>0.45833333333333331</v>
      </c>
      <c r="E14">
        <v>62</v>
      </c>
      <c r="F14" t="s">
        <v>11</v>
      </c>
      <c r="G14">
        <v>53</v>
      </c>
      <c r="H14" t="s">
        <v>15</v>
      </c>
      <c r="I14">
        <v>4</v>
      </c>
      <c r="J14" s="6">
        <v>25</v>
      </c>
      <c r="K14">
        <v>7</v>
      </c>
      <c r="L14">
        <v>100</v>
      </c>
      <c r="M14" t="str">
        <f>IF(OR(I14="",J14="",L14=""),"Incomplete","Complete")</f>
        <v>Complete</v>
      </c>
      <c r="N14" t="str">
        <f>IF(M14="Incomplete","Not checked",IF(ROUND(I14*J14,2)=ROUND(L14,2),"Valid","Mismatch"))</f>
        <v>Valid</v>
      </c>
      <c r="O14">
        <f t="shared" si="1"/>
        <v>93</v>
      </c>
    </row>
    <row r="15" spans="1:15">
      <c r="A15">
        <v>713</v>
      </c>
      <c r="B15" t="str">
        <f t="shared" si="0"/>
        <v>2022-04</v>
      </c>
      <c r="C15" s="1">
        <v>44667</v>
      </c>
      <c r="D15" s="5">
        <v>0.48819444444444443</v>
      </c>
      <c r="E15">
        <v>39</v>
      </c>
      <c r="F15" t="s">
        <v>11</v>
      </c>
      <c r="G15">
        <v>34</v>
      </c>
      <c r="H15" t="s">
        <v>13</v>
      </c>
      <c r="I15">
        <v>3</v>
      </c>
      <c r="J15" s="6">
        <v>25</v>
      </c>
      <c r="K15">
        <v>11.25</v>
      </c>
      <c r="L15">
        <v>75</v>
      </c>
      <c r="M15" t="str">
        <f>IF(OR(I15="",J15="",L15=""),"Incomplete","Complete")</f>
        <v>Complete</v>
      </c>
      <c r="N15" t="str">
        <f>IF(M15="Incomplete","Not checked",IF(ROUND(I15*J15,2)=ROUND(L15,2),"Valid","Mismatch"))</f>
        <v>Valid</v>
      </c>
      <c r="O15">
        <f t="shared" si="1"/>
        <v>63.75</v>
      </c>
    </row>
    <row r="16" spans="1:15">
      <c r="A16">
        <v>768</v>
      </c>
      <c r="B16" t="str">
        <f t="shared" si="0"/>
        <v>2022-06</v>
      </c>
      <c r="C16" s="1">
        <v>44739</v>
      </c>
      <c r="D16" s="5">
        <v>0.28472222222222221</v>
      </c>
      <c r="E16">
        <v>58</v>
      </c>
      <c r="F16" t="s">
        <v>14</v>
      </c>
      <c r="G16">
        <v>24</v>
      </c>
      <c r="H16" t="s">
        <v>13</v>
      </c>
      <c r="I16">
        <v>3</v>
      </c>
      <c r="J16" s="6">
        <v>25</v>
      </c>
      <c r="K16">
        <v>10.5</v>
      </c>
      <c r="L16">
        <v>75</v>
      </c>
      <c r="M16" t="str">
        <f>IF(OR(I16="",J16="",L16=""),"Incomplete","Complete")</f>
        <v>Complete</v>
      </c>
      <c r="N16" t="str">
        <f>IF(M16="Incomplete","Not checked",IF(ROUND(I16*J16,2)=ROUND(L16,2),"Valid","Mismatch"))</f>
        <v>Valid</v>
      </c>
      <c r="O16">
        <f t="shared" si="1"/>
        <v>64.5</v>
      </c>
    </row>
    <row r="17" spans="1:15">
      <c r="A17">
        <v>1713</v>
      </c>
      <c r="B17" t="str">
        <f t="shared" si="0"/>
        <v>2022-10</v>
      </c>
      <c r="C17" s="1">
        <v>44837</v>
      </c>
      <c r="D17" s="5">
        <v>0.4236111111111111</v>
      </c>
      <c r="E17">
        <v>90</v>
      </c>
      <c r="F17" t="s">
        <v>11</v>
      </c>
      <c r="G17">
        <v>34</v>
      </c>
      <c r="H17" t="s">
        <v>13</v>
      </c>
      <c r="I17">
        <v>3</v>
      </c>
      <c r="J17" s="6">
        <v>25</v>
      </c>
      <c r="K17">
        <v>10.75</v>
      </c>
      <c r="L17">
        <v>75</v>
      </c>
      <c r="M17" t="str">
        <f>IF(OR(I17="",J17="",L17=""),"Incomplete","Complete")</f>
        <v>Complete</v>
      </c>
      <c r="N17" t="str">
        <f>IF(M17="Incomplete","Not checked",IF(ROUND(I17*J17,2)=ROUND(L17,2),"Valid","Mismatch"))</f>
        <v>Valid</v>
      </c>
      <c r="O17">
        <f t="shared" si="1"/>
        <v>64.25</v>
      </c>
    </row>
    <row r="18" spans="1:15">
      <c r="A18">
        <v>1768</v>
      </c>
      <c r="B18" t="str">
        <f t="shared" si="0"/>
        <v>2022-07</v>
      </c>
      <c r="C18" s="1">
        <v>44773</v>
      </c>
      <c r="D18" s="5">
        <v>0.41111111111111109</v>
      </c>
      <c r="E18">
        <v>85</v>
      </c>
      <c r="F18" t="s">
        <v>14</v>
      </c>
      <c r="G18">
        <v>24</v>
      </c>
      <c r="H18" t="s">
        <v>13</v>
      </c>
      <c r="I18">
        <v>3</v>
      </c>
      <c r="J18" s="6">
        <v>25</v>
      </c>
      <c r="K18">
        <v>8.75</v>
      </c>
      <c r="L18">
        <v>75</v>
      </c>
      <c r="M18" t="str">
        <f>IF(OR(I18="",J18="",L18=""),"Incomplete","Complete")</f>
        <v>Complete</v>
      </c>
      <c r="N18" t="str">
        <f>IF(M18="Incomplete","Not checked",IF(ROUND(I18*J18,2)=ROUND(L18,2),"Valid","Mismatch"))</f>
        <v>Valid</v>
      </c>
      <c r="O18">
        <f t="shared" si="1"/>
        <v>66.25</v>
      </c>
    </row>
    <row r="19" spans="1:15">
      <c r="A19">
        <v>831</v>
      </c>
      <c r="B19" t="str">
        <f t="shared" si="0"/>
        <v>2022-11</v>
      </c>
      <c r="C19" s="1">
        <v>44895</v>
      </c>
      <c r="D19" s="5">
        <v>0.49236111111111114</v>
      </c>
      <c r="E19">
        <v>149</v>
      </c>
      <c r="F19" t="s">
        <v>11</v>
      </c>
      <c r="G19">
        <v>27</v>
      </c>
      <c r="H19" t="s">
        <v>15</v>
      </c>
      <c r="I19">
        <v>4</v>
      </c>
      <c r="J19" s="6">
        <v>25</v>
      </c>
      <c r="K19">
        <v>13.75</v>
      </c>
      <c r="L19">
        <v>100</v>
      </c>
      <c r="M19" t="str">
        <f>IF(OR(I19="",J19="",L19=""),"Incomplete","Complete")</f>
        <v>Complete</v>
      </c>
      <c r="N19" t="str">
        <f>IF(M19="Incomplete","Not checked",IF(ROUND(I19*J19,2)=ROUND(L19,2),"Valid","Mismatch"))</f>
        <v>Valid</v>
      </c>
      <c r="O19">
        <f t="shared" si="1"/>
        <v>86.25</v>
      </c>
    </row>
    <row r="20" spans="1:15">
      <c r="A20">
        <v>1831</v>
      </c>
      <c r="B20" t="str">
        <f t="shared" si="0"/>
        <v>2022-03</v>
      </c>
      <c r="C20" s="1">
        <v>44646</v>
      </c>
      <c r="D20" s="5">
        <v>0.45416666666666666</v>
      </c>
      <c r="E20">
        <v>80</v>
      </c>
      <c r="F20" t="s">
        <v>11</v>
      </c>
      <c r="G20">
        <v>27</v>
      </c>
      <c r="H20" t="s">
        <v>15</v>
      </c>
      <c r="I20">
        <v>4</v>
      </c>
      <c r="J20" s="6">
        <v>25</v>
      </c>
      <c r="K20">
        <v>6.5</v>
      </c>
      <c r="L20">
        <v>100</v>
      </c>
      <c r="M20" t="str">
        <f>IF(OR(I20="",J20="",L20=""),"Incomplete","Complete")</f>
        <v>Complete</v>
      </c>
      <c r="N20" t="str">
        <f>IF(M20="Incomplete","Not checked",IF(ROUND(I20*J20,2)=ROUND(L20,2),"Valid","Mismatch"))</f>
        <v>Valid</v>
      </c>
      <c r="O20">
        <f t="shared" si="1"/>
        <v>93.5</v>
      </c>
    </row>
    <row r="21" spans="1:15">
      <c r="A21">
        <v>103</v>
      </c>
      <c r="B21" t="str">
        <f t="shared" si="0"/>
        <v>2022-11</v>
      </c>
      <c r="C21" s="1">
        <v>44877</v>
      </c>
      <c r="D21" s="5">
        <v>0.4201388888888889</v>
      </c>
      <c r="E21">
        <v>33</v>
      </c>
      <c r="F21" t="s">
        <v>14</v>
      </c>
      <c r="G21">
        <v>59</v>
      </c>
      <c r="H21" t="s">
        <v>12</v>
      </c>
      <c r="I21">
        <v>1</v>
      </c>
      <c r="J21" s="6">
        <v>25</v>
      </c>
      <c r="K21">
        <v>10.75</v>
      </c>
      <c r="L21">
        <v>25</v>
      </c>
      <c r="M21" t="str">
        <f>IF(OR(I21="",J21="",L21=""),"Incomplete","Complete")</f>
        <v>Complete</v>
      </c>
      <c r="N21" t="str">
        <f>IF(M21="Incomplete","Not checked",IF(ROUND(I21*J21,2)=ROUND(L21,2),"Valid","Mismatch"))</f>
        <v>Valid</v>
      </c>
      <c r="O21">
        <f t="shared" si="1"/>
        <v>14.25</v>
      </c>
    </row>
    <row r="22" spans="1:15">
      <c r="A22">
        <v>1103</v>
      </c>
      <c r="B22" t="str">
        <f t="shared" si="0"/>
        <v>2022-02</v>
      </c>
      <c r="C22" s="1">
        <v>44606</v>
      </c>
      <c r="D22" s="5">
        <v>0.29930555555555555</v>
      </c>
      <c r="E22">
        <v>61</v>
      </c>
      <c r="F22" t="s">
        <v>14</v>
      </c>
      <c r="G22">
        <v>59</v>
      </c>
      <c r="H22" t="s">
        <v>12</v>
      </c>
      <c r="I22">
        <v>1</v>
      </c>
      <c r="J22" s="6">
        <v>25</v>
      </c>
      <c r="K22">
        <v>6.75</v>
      </c>
      <c r="L22">
        <v>25</v>
      </c>
      <c r="M22" t="str">
        <f>IF(OR(I22="",J22="",L22=""),"Incomplete","Complete")</f>
        <v>Complete</v>
      </c>
      <c r="N22" t="str">
        <f>IF(M22="Incomplete","Not checked",IF(ROUND(I22*J22,2)=ROUND(L22,2),"Valid","Mismatch"))</f>
        <v>Valid</v>
      </c>
      <c r="O22">
        <f t="shared" si="1"/>
        <v>18.25</v>
      </c>
    </row>
    <row r="23" spans="1:15">
      <c r="A23">
        <v>475</v>
      </c>
      <c r="B23" t="str">
        <f t="shared" si="0"/>
        <v>2022-08</v>
      </c>
      <c r="C23" s="1">
        <v>44785</v>
      </c>
      <c r="D23" s="5">
        <v>0.44374999999999998</v>
      </c>
      <c r="E23">
        <v>78</v>
      </c>
      <c r="F23" t="s">
        <v>11</v>
      </c>
      <c r="G23">
        <v>26</v>
      </c>
      <c r="H23" t="s">
        <v>12</v>
      </c>
      <c r="I23">
        <v>3</v>
      </c>
      <c r="J23" s="6">
        <v>25</v>
      </c>
      <c r="K23">
        <v>9</v>
      </c>
      <c r="L23">
        <v>75</v>
      </c>
      <c r="M23" t="str">
        <f>IF(OR(I23="",J23="",L23=""),"Incomplete","Complete")</f>
        <v>Complete</v>
      </c>
      <c r="N23" t="str">
        <f>IF(M23="Incomplete","Not checked",IF(ROUND(I23*J23,2)=ROUND(L23,2),"Valid","Mismatch"))</f>
        <v>Valid</v>
      </c>
      <c r="O23">
        <f t="shared" si="1"/>
        <v>66</v>
      </c>
    </row>
    <row r="24" spans="1:15">
      <c r="A24">
        <v>1475</v>
      </c>
      <c r="B24" t="str">
        <f t="shared" si="0"/>
        <v>2022-10</v>
      </c>
      <c r="C24" s="1">
        <v>44838</v>
      </c>
      <c r="D24" s="5">
        <v>0.29375000000000001</v>
      </c>
      <c r="E24">
        <v>132</v>
      </c>
      <c r="F24" t="s">
        <v>11</v>
      </c>
      <c r="G24">
        <v>26</v>
      </c>
      <c r="H24" t="s">
        <v>12</v>
      </c>
      <c r="I24">
        <v>3</v>
      </c>
      <c r="J24" s="6">
        <v>25</v>
      </c>
      <c r="K24">
        <v>10.75</v>
      </c>
      <c r="L24">
        <v>75</v>
      </c>
      <c r="M24" t="str">
        <f>IF(OR(I24="",J24="",L24=""),"Incomplete","Complete")</f>
        <v>Complete</v>
      </c>
      <c r="N24" t="str">
        <f>IF(M24="Incomplete","Not checked",IF(ROUND(I24*J24,2)=ROUND(L24,2),"Valid","Mismatch"))</f>
        <v>Valid</v>
      </c>
      <c r="O24">
        <f t="shared" si="1"/>
        <v>64.25</v>
      </c>
    </row>
    <row r="25" spans="1:15">
      <c r="A25">
        <v>787</v>
      </c>
      <c r="B25" t="str">
        <f t="shared" si="0"/>
        <v>2022-06</v>
      </c>
      <c r="C25" s="1">
        <v>44722</v>
      </c>
      <c r="D25" s="5">
        <v>0.44583333333333336</v>
      </c>
      <c r="E25">
        <v>25</v>
      </c>
      <c r="F25" t="s">
        <v>11</v>
      </c>
      <c r="G25">
        <v>41</v>
      </c>
      <c r="H25" t="s">
        <v>15</v>
      </c>
      <c r="I25">
        <v>1</v>
      </c>
      <c r="J25" s="6">
        <v>25</v>
      </c>
      <c r="K25">
        <v>13.75</v>
      </c>
      <c r="L25">
        <v>25</v>
      </c>
      <c r="M25" t="str">
        <f>IF(OR(I25="",J25="",L25=""),"Incomplete","Complete")</f>
        <v>Complete</v>
      </c>
      <c r="N25" t="str">
        <f>IF(M25="Incomplete","Not checked",IF(ROUND(I25*J25,2)=ROUND(L25,2),"Valid","Mismatch"))</f>
        <v>Valid</v>
      </c>
      <c r="O25">
        <f t="shared" si="1"/>
        <v>11.25</v>
      </c>
    </row>
    <row r="26" spans="1:15">
      <c r="A26">
        <v>1787</v>
      </c>
      <c r="B26" t="str">
        <f t="shared" si="0"/>
        <v>2022-05</v>
      </c>
      <c r="C26" s="1">
        <v>44711</v>
      </c>
      <c r="D26" s="5">
        <v>0.32083333333333336</v>
      </c>
      <c r="E26">
        <v>104</v>
      </c>
      <c r="F26" t="s">
        <v>11</v>
      </c>
      <c r="G26">
        <v>41</v>
      </c>
      <c r="H26" t="s">
        <v>15</v>
      </c>
      <c r="I26">
        <v>1</v>
      </c>
      <c r="J26" s="6">
        <v>25</v>
      </c>
      <c r="K26">
        <v>10</v>
      </c>
      <c r="L26">
        <v>25</v>
      </c>
      <c r="M26" t="str">
        <f>IF(OR(I26="",J26="",L26=""),"Incomplete","Complete")</f>
        <v>Complete</v>
      </c>
      <c r="N26" t="str">
        <f>IF(M26="Incomplete","Not checked",IF(ROUND(I26*J26,2)=ROUND(L26,2),"Valid","Mismatch"))</f>
        <v>Valid</v>
      </c>
      <c r="O26">
        <f t="shared" si="1"/>
        <v>15</v>
      </c>
    </row>
    <row r="27" spans="1:15">
      <c r="A27">
        <v>64</v>
      </c>
      <c r="B27" t="str">
        <f t="shared" si="0"/>
        <v>2022-11</v>
      </c>
      <c r="C27" s="1">
        <v>44880</v>
      </c>
      <c r="D27" s="5">
        <v>0.27361111111111114</v>
      </c>
      <c r="E27">
        <v>7</v>
      </c>
      <c r="F27" t="s">
        <v>11</v>
      </c>
      <c r="G27">
        <v>49</v>
      </c>
      <c r="H27" t="s">
        <v>12</v>
      </c>
      <c r="I27">
        <v>4</v>
      </c>
      <c r="J27" s="6">
        <v>25</v>
      </c>
      <c r="K27">
        <v>8.5</v>
      </c>
      <c r="L27">
        <v>100</v>
      </c>
      <c r="M27" t="str">
        <f>IF(OR(I27="",J27="",L27=""),"Incomplete","Complete")</f>
        <v>Complete</v>
      </c>
      <c r="N27" t="str">
        <f>IF(M27="Incomplete","Not checked",IF(ROUND(I27*J27,2)=ROUND(L27,2),"Valid","Mismatch"))</f>
        <v>Valid</v>
      </c>
      <c r="O27">
        <f t="shared" si="1"/>
        <v>91.5</v>
      </c>
    </row>
    <row r="28" spans="1:15">
      <c r="A28">
        <v>1064</v>
      </c>
      <c r="B28" t="str">
        <f t="shared" si="0"/>
        <v>2022-04</v>
      </c>
      <c r="C28" s="1">
        <v>44665</v>
      </c>
      <c r="D28" s="5">
        <v>0.44305555555555554</v>
      </c>
      <c r="E28">
        <v>49</v>
      </c>
      <c r="F28" t="s">
        <v>11</v>
      </c>
      <c r="G28">
        <v>49</v>
      </c>
      <c r="H28" t="s">
        <v>12</v>
      </c>
      <c r="I28">
        <v>4</v>
      </c>
      <c r="J28" s="6">
        <v>25</v>
      </c>
      <c r="K28">
        <v>13.75</v>
      </c>
      <c r="L28">
        <v>100</v>
      </c>
      <c r="M28" t="str">
        <f>IF(OR(I28="",J28="",L28=""),"Incomplete","Complete")</f>
        <v>Complete</v>
      </c>
      <c r="N28" t="str">
        <f>IF(M28="Incomplete","Not checked",IF(ROUND(I28*J28,2)=ROUND(L28,2),"Valid","Mismatch"))</f>
        <v>Valid</v>
      </c>
      <c r="O28">
        <f t="shared" si="1"/>
        <v>86.25</v>
      </c>
    </row>
    <row r="29" spans="1:15">
      <c r="A29">
        <v>736</v>
      </c>
      <c r="B29" t="str">
        <f t="shared" si="0"/>
        <v>2022-12</v>
      </c>
      <c r="C29" s="1">
        <v>44913</v>
      </c>
      <c r="D29" s="5">
        <v>0.35416666666666669</v>
      </c>
      <c r="E29">
        <v>97</v>
      </c>
      <c r="F29" t="s">
        <v>11</v>
      </c>
      <c r="G29">
        <v>29</v>
      </c>
      <c r="H29" t="s">
        <v>12</v>
      </c>
      <c r="I29">
        <v>4</v>
      </c>
      <c r="J29" s="6">
        <v>25</v>
      </c>
      <c r="K29">
        <v>9.75</v>
      </c>
      <c r="L29">
        <v>100</v>
      </c>
      <c r="M29" t="str">
        <f>IF(OR(I29="",J29="",L29=""),"Incomplete","Complete")</f>
        <v>Complete</v>
      </c>
      <c r="N29" t="str">
        <f>IF(M29="Incomplete","Not checked",IF(ROUND(I29*J29,2)=ROUND(L29,2),"Valid","Mismatch"))</f>
        <v>Valid</v>
      </c>
      <c r="O29">
        <f t="shared" si="1"/>
        <v>90.25</v>
      </c>
    </row>
    <row r="30" spans="1:15">
      <c r="A30">
        <v>929</v>
      </c>
      <c r="B30" t="str">
        <f t="shared" si="0"/>
        <v>2022-03</v>
      </c>
      <c r="C30" s="1">
        <v>44631</v>
      </c>
      <c r="D30" s="5">
        <v>0.42916666666666664</v>
      </c>
      <c r="E30">
        <v>40</v>
      </c>
      <c r="F30" t="s">
        <v>14</v>
      </c>
      <c r="G30">
        <v>23</v>
      </c>
      <c r="H30" t="s">
        <v>13</v>
      </c>
      <c r="I30">
        <v>3</v>
      </c>
      <c r="J30" s="6">
        <v>25</v>
      </c>
      <c r="K30">
        <v>10.5</v>
      </c>
      <c r="L30">
        <v>75</v>
      </c>
      <c r="M30" t="str">
        <f>IF(OR(I30="",J30="",L30=""),"Incomplete","Complete")</f>
        <v>Complete</v>
      </c>
      <c r="N30" t="str">
        <f>IF(M30="Incomplete","Not checked",IF(ROUND(I30*J30,2)=ROUND(L30,2),"Valid","Mismatch"))</f>
        <v>Valid</v>
      </c>
      <c r="O30">
        <f t="shared" si="1"/>
        <v>64.5</v>
      </c>
    </row>
    <row r="31" spans="1:15">
      <c r="A31">
        <v>1736</v>
      </c>
      <c r="B31" t="str">
        <f t="shared" si="0"/>
        <v>2022-08</v>
      </c>
      <c r="C31" s="1">
        <v>44801</v>
      </c>
      <c r="D31" s="5">
        <v>0.37291666666666667</v>
      </c>
      <c r="E31">
        <v>87</v>
      </c>
      <c r="F31" t="s">
        <v>11</v>
      </c>
      <c r="G31">
        <v>29</v>
      </c>
      <c r="H31" t="s">
        <v>12</v>
      </c>
      <c r="I31">
        <v>4</v>
      </c>
      <c r="J31" s="6">
        <v>25</v>
      </c>
      <c r="K31">
        <v>10.25</v>
      </c>
      <c r="L31">
        <v>100</v>
      </c>
      <c r="M31" t="str">
        <f>IF(OR(I31="",J31="",L31=""),"Incomplete","Complete")</f>
        <v>Complete</v>
      </c>
      <c r="N31" t="str">
        <f>IF(M31="Incomplete","Not checked",IF(ROUND(I31*J31,2)=ROUND(L31,2),"Valid","Mismatch"))</f>
        <v>Valid</v>
      </c>
      <c r="O31">
        <f t="shared" si="1"/>
        <v>89.75</v>
      </c>
    </row>
    <row r="32" spans="1:15">
      <c r="A32">
        <v>1929</v>
      </c>
      <c r="B32" t="str">
        <f t="shared" si="0"/>
        <v>2022-09</v>
      </c>
      <c r="C32" s="1">
        <v>44819</v>
      </c>
      <c r="D32" s="5">
        <v>0.28472222222222221</v>
      </c>
      <c r="E32">
        <v>62</v>
      </c>
      <c r="F32" t="s">
        <v>14</v>
      </c>
      <c r="G32">
        <v>23</v>
      </c>
      <c r="H32" t="s">
        <v>13</v>
      </c>
      <c r="I32">
        <v>3</v>
      </c>
      <c r="J32" s="6">
        <v>25</v>
      </c>
      <c r="K32">
        <v>12.75</v>
      </c>
      <c r="L32">
        <v>75</v>
      </c>
      <c r="M32" t="str">
        <f>IF(OR(I32="",J32="",L32=""),"Incomplete","Complete")</f>
        <v>Complete</v>
      </c>
      <c r="N32" t="str">
        <f>IF(M32="Incomplete","Not checked",IF(ROUND(I32*J32,2)=ROUND(L32,2),"Valid","Mismatch"))</f>
        <v>Valid</v>
      </c>
      <c r="O32">
        <f t="shared" si="1"/>
        <v>62.25</v>
      </c>
    </row>
    <row r="33" spans="1:15">
      <c r="A33">
        <v>329</v>
      </c>
      <c r="B33" t="str">
        <f t="shared" si="0"/>
        <v>2022-10</v>
      </c>
      <c r="C33" s="1">
        <v>44861</v>
      </c>
      <c r="D33" s="5">
        <v>0.32083333333333336</v>
      </c>
      <c r="E33">
        <v>52</v>
      </c>
      <c r="F33" t="s">
        <v>14</v>
      </c>
      <c r="G33">
        <v>46</v>
      </c>
      <c r="H33" t="s">
        <v>15</v>
      </c>
      <c r="I33">
        <v>4</v>
      </c>
      <c r="J33" s="6">
        <v>25</v>
      </c>
      <c r="K33">
        <v>8</v>
      </c>
      <c r="L33">
        <v>100</v>
      </c>
      <c r="M33" t="str">
        <f>IF(OR(I33="",J33="",L33=""),"Incomplete","Complete")</f>
        <v>Complete</v>
      </c>
      <c r="N33" t="str">
        <f>IF(M33="Incomplete","Not checked",IF(ROUND(I33*J33,2)=ROUND(L33,2),"Valid","Mismatch"))</f>
        <v>Valid</v>
      </c>
      <c r="O33">
        <f t="shared" si="1"/>
        <v>92</v>
      </c>
    </row>
    <row r="34" spans="1:15">
      <c r="A34">
        <v>1329</v>
      </c>
      <c r="B34" t="str">
        <f t="shared" si="0"/>
        <v>2022-01</v>
      </c>
      <c r="C34" s="1">
        <v>44588</v>
      </c>
      <c r="D34" s="5">
        <v>0.44374999999999998</v>
      </c>
      <c r="E34">
        <v>119</v>
      </c>
      <c r="F34" t="s">
        <v>14</v>
      </c>
      <c r="G34">
        <v>46</v>
      </c>
      <c r="H34" t="s">
        <v>15</v>
      </c>
      <c r="I34">
        <v>4</v>
      </c>
      <c r="J34" s="6">
        <v>25</v>
      </c>
      <c r="K34">
        <v>9.25</v>
      </c>
      <c r="L34">
        <v>100</v>
      </c>
      <c r="M34" t="str">
        <f>IF(OR(I34="",J34="",L34=""),"Incomplete","Complete")</f>
        <v>Complete</v>
      </c>
      <c r="N34" t="str">
        <f>IF(M34="Incomplete","Not checked",IF(ROUND(I34*J34,2)=ROUND(L34,2),"Valid","Mismatch"))</f>
        <v>Valid</v>
      </c>
      <c r="O34">
        <f t="shared" si="1"/>
        <v>90.75</v>
      </c>
    </row>
    <row r="35" spans="1:15">
      <c r="A35">
        <v>223</v>
      </c>
      <c r="B35" t="str">
        <f t="shared" si="0"/>
        <v>2022-01</v>
      </c>
      <c r="C35" s="1">
        <v>44576</v>
      </c>
      <c r="D35" s="5">
        <v>0.47083333333333333</v>
      </c>
      <c r="E35">
        <v>61</v>
      </c>
      <c r="F35" t="s">
        <v>14</v>
      </c>
      <c r="G35">
        <v>64</v>
      </c>
      <c r="H35" t="s">
        <v>12</v>
      </c>
      <c r="I35">
        <v>1</v>
      </c>
      <c r="J35" s="6">
        <v>25</v>
      </c>
      <c r="K35">
        <v>12</v>
      </c>
      <c r="L35">
        <v>25</v>
      </c>
      <c r="M35" t="str">
        <f>IF(OR(I35="",J35="",L35=""),"Incomplete","Complete")</f>
        <v>Complete</v>
      </c>
      <c r="N35" t="str">
        <f>IF(M35="Incomplete","Not checked",IF(ROUND(I35*J35,2)=ROUND(L35,2),"Valid","Mismatch"))</f>
        <v>Valid</v>
      </c>
      <c r="O35">
        <f t="shared" si="1"/>
        <v>13</v>
      </c>
    </row>
    <row r="36" spans="1:15">
      <c r="A36">
        <v>1223</v>
      </c>
      <c r="B36" t="str">
        <f t="shared" si="0"/>
        <v>2022-02</v>
      </c>
      <c r="C36" s="1">
        <v>44612</v>
      </c>
      <c r="D36" s="5">
        <v>0.31944444444444442</v>
      </c>
      <c r="E36">
        <v>106</v>
      </c>
      <c r="F36" t="s">
        <v>14</v>
      </c>
      <c r="G36">
        <v>64</v>
      </c>
      <c r="H36" t="s">
        <v>12</v>
      </c>
      <c r="I36">
        <v>1</v>
      </c>
      <c r="J36" s="6">
        <v>25</v>
      </c>
      <c r="K36">
        <v>9.75</v>
      </c>
      <c r="L36">
        <v>25</v>
      </c>
      <c r="M36" t="str">
        <f>IF(OR(I36="",J36="",L36=""),"Incomplete","Complete")</f>
        <v>Complete</v>
      </c>
      <c r="N36" t="str">
        <f>IF(M36="Incomplete","Not checked",IF(ROUND(I36*J36,2)=ROUND(L36,2),"Valid","Mismatch"))</f>
        <v>Valid</v>
      </c>
      <c r="O36">
        <f t="shared" si="1"/>
        <v>15.25</v>
      </c>
    </row>
    <row r="37" spans="1:15">
      <c r="A37">
        <v>63</v>
      </c>
      <c r="B37" t="str">
        <f t="shared" si="0"/>
        <v>2022-02</v>
      </c>
      <c r="C37" s="1">
        <v>44595</v>
      </c>
      <c r="D37" s="5">
        <v>0.49236111111111114</v>
      </c>
      <c r="E37">
        <v>127</v>
      </c>
      <c r="F37" t="s">
        <v>11</v>
      </c>
      <c r="G37">
        <v>57</v>
      </c>
      <c r="H37" t="s">
        <v>15</v>
      </c>
      <c r="I37">
        <v>2</v>
      </c>
      <c r="J37" s="6">
        <v>25</v>
      </c>
      <c r="K37">
        <v>6.25</v>
      </c>
      <c r="L37">
        <v>50</v>
      </c>
      <c r="M37" t="str">
        <f>IF(OR(I37="",J37="",L37=""),"Incomplete","Complete")</f>
        <v>Complete</v>
      </c>
      <c r="N37" t="str">
        <f>IF(M37="Incomplete","Not checked",IF(ROUND(I37*J37,2)=ROUND(L37,2),"Valid","Mismatch"))</f>
        <v>Valid</v>
      </c>
      <c r="O37">
        <f t="shared" si="1"/>
        <v>43.75</v>
      </c>
    </row>
    <row r="38" spans="1:15">
      <c r="A38">
        <v>379</v>
      </c>
      <c r="B38" t="str">
        <f t="shared" si="0"/>
        <v>2022-06</v>
      </c>
      <c r="C38" s="1">
        <v>44713</v>
      </c>
      <c r="D38" s="5">
        <v>0.31111111111111112</v>
      </c>
      <c r="E38">
        <v>76</v>
      </c>
      <c r="F38" t="s">
        <v>14</v>
      </c>
      <c r="G38">
        <v>47</v>
      </c>
      <c r="H38" t="s">
        <v>12</v>
      </c>
      <c r="I38">
        <v>1</v>
      </c>
      <c r="J38" s="6">
        <v>25</v>
      </c>
      <c r="K38">
        <v>8.5</v>
      </c>
      <c r="L38">
        <v>25</v>
      </c>
      <c r="M38" t="str">
        <f>IF(OR(I38="",J38="",L38=""),"Incomplete","Complete")</f>
        <v>Complete</v>
      </c>
      <c r="N38" t="str">
        <f>IF(M38="Incomplete","Not checked",IF(ROUND(I38*J38,2)=ROUND(L38,2),"Valid","Mismatch"))</f>
        <v>Valid</v>
      </c>
      <c r="O38">
        <f t="shared" si="1"/>
        <v>16.5</v>
      </c>
    </row>
    <row r="39" spans="1:15">
      <c r="A39">
        <v>1063</v>
      </c>
      <c r="B39" t="str">
        <f t="shared" si="0"/>
        <v>2022-08</v>
      </c>
      <c r="C39" s="1">
        <v>44777</v>
      </c>
      <c r="D39" s="5">
        <v>0.43472222222222223</v>
      </c>
      <c r="E39">
        <v>56</v>
      </c>
      <c r="F39" t="s">
        <v>11</v>
      </c>
      <c r="G39">
        <v>57</v>
      </c>
      <c r="H39" t="s">
        <v>15</v>
      </c>
      <c r="I39">
        <v>2</v>
      </c>
      <c r="J39" s="6">
        <v>25</v>
      </c>
      <c r="K39">
        <v>11</v>
      </c>
      <c r="L39">
        <v>50</v>
      </c>
      <c r="M39" t="str">
        <f>IF(OR(I39="",J39="",L39=""),"Incomplete","Complete")</f>
        <v>Complete</v>
      </c>
      <c r="N39" t="str">
        <f>IF(M39="Incomplete","Not checked",IF(ROUND(I39*J39,2)=ROUND(L39,2),"Valid","Mismatch"))</f>
        <v>Valid</v>
      </c>
      <c r="O39">
        <f t="shared" si="1"/>
        <v>39</v>
      </c>
    </row>
    <row r="40" spans="1:15">
      <c r="A40">
        <v>1379</v>
      </c>
      <c r="B40" t="str">
        <f t="shared" si="0"/>
        <v>2022-01</v>
      </c>
      <c r="C40" s="1">
        <v>44563</v>
      </c>
      <c r="D40" s="5">
        <v>0.26597222222222222</v>
      </c>
      <c r="E40">
        <v>69</v>
      </c>
      <c r="F40" t="s">
        <v>14</v>
      </c>
      <c r="G40">
        <v>47</v>
      </c>
      <c r="H40" t="s">
        <v>12</v>
      </c>
      <c r="I40">
        <v>1</v>
      </c>
      <c r="J40" s="6">
        <v>25</v>
      </c>
      <c r="K40">
        <v>7.25</v>
      </c>
      <c r="L40">
        <v>25</v>
      </c>
      <c r="M40" t="str">
        <f>IF(OR(I40="",J40="",L40=""),"Incomplete","Complete")</f>
        <v>Complete</v>
      </c>
      <c r="N40" t="str">
        <f>IF(M40="Incomplete","Not checked",IF(ROUND(I40*J40,2)=ROUND(L40,2),"Valid","Mismatch"))</f>
        <v>Valid</v>
      </c>
      <c r="O40">
        <f t="shared" si="1"/>
        <v>17.75</v>
      </c>
    </row>
    <row r="41" spans="1:15">
      <c r="A41">
        <v>232</v>
      </c>
      <c r="B41" t="str">
        <f t="shared" si="0"/>
        <v>2022-08</v>
      </c>
      <c r="C41" s="1">
        <v>44785</v>
      </c>
      <c r="D41" s="5">
        <v>0.30138888888888887</v>
      </c>
      <c r="E41">
        <v>150</v>
      </c>
      <c r="F41" t="s">
        <v>14</v>
      </c>
      <c r="G41">
        <v>43</v>
      </c>
      <c r="H41" t="s">
        <v>13</v>
      </c>
      <c r="I41">
        <v>1</v>
      </c>
      <c r="J41" s="6">
        <v>25</v>
      </c>
      <c r="K41">
        <v>12.75</v>
      </c>
      <c r="L41">
        <v>25</v>
      </c>
      <c r="M41" t="str">
        <f>IF(OR(I41="",J41="",L41=""),"Incomplete","Complete")</f>
        <v>Complete</v>
      </c>
      <c r="N41" t="str">
        <f>IF(M41="Incomplete","Not checked",IF(ROUND(I41*J41,2)=ROUND(L41,2),"Valid","Mismatch"))</f>
        <v>Valid</v>
      </c>
      <c r="O41">
        <f t="shared" si="1"/>
        <v>12.25</v>
      </c>
    </row>
    <row r="42" spans="1:15">
      <c r="A42">
        <v>1232</v>
      </c>
      <c r="B42" t="str">
        <f t="shared" si="0"/>
        <v>2022-05</v>
      </c>
      <c r="C42" s="1">
        <v>44704</v>
      </c>
      <c r="D42" s="5">
        <v>0.33680555555555558</v>
      </c>
      <c r="E42">
        <v>146</v>
      </c>
      <c r="F42" t="s">
        <v>14</v>
      </c>
      <c r="G42">
        <v>43</v>
      </c>
      <c r="H42" t="s">
        <v>13</v>
      </c>
      <c r="I42">
        <v>1</v>
      </c>
      <c r="J42" s="6">
        <v>25</v>
      </c>
      <c r="K42">
        <v>6.25</v>
      </c>
      <c r="L42">
        <v>25</v>
      </c>
      <c r="M42" t="str">
        <f>IF(OR(I42="",J42="",L42=""),"Incomplete","Complete")</f>
        <v>Complete</v>
      </c>
      <c r="N42" t="str">
        <f>IF(M42="Incomplete","Not checked",IF(ROUND(I42*J42,2)=ROUND(L42,2),"Valid","Mismatch"))</f>
        <v>Valid</v>
      </c>
      <c r="O42">
        <f t="shared" si="1"/>
        <v>18.75</v>
      </c>
    </row>
    <row r="43" spans="1:15">
      <c r="A43">
        <v>434</v>
      </c>
      <c r="B43" t="str">
        <f t="shared" si="0"/>
        <v>2022-10</v>
      </c>
      <c r="C43" s="1">
        <v>44860</v>
      </c>
      <c r="D43" s="5">
        <v>0.25624999999999998</v>
      </c>
      <c r="E43">
        <v>50</v>
      </c>
      <c r="F43" t="s">
        <v>14</v>
      </c>
      <c r="G43">
        <v>43</v>
      </c>
      <c r="H43" t="s">
        <v>15</v>
      </c>
      <c r="I43">
        <v>2</v>
      </c>
      <c r="J43" s="6">
        <v>25</v>
      </c>
      <c r="K43">
        <v>8.25</v>
      </c>
      <c r="L43">
        <v>50</v>
      </c>
      <c r="M43" t="str">
        <f>IF(OR(I43="",J43="",L43=""),"Incomplete","Complete")</f>
        <v>Complete</v>
      </c>
      <c r="N43" t="str">
        <f>IF(M43="Incomplete","Not checked",IF(ROUND(I43*J43,2)=ROUND(L43,2),"Valid","Mismatch"))</f>
        <v>Valid</v>
      </c>
      <c r="O43">
        <f t="shared" si="1"/>
        <v>41.75</v>
      </c>
    </row>
    <row r="44" spans="1:15">
      <c r="A44">
        <v>775</v>
      </c>
      <c r="B44" t="str">
        <f t="shared" si="0"/>
        <v>2022-05</v>
      </c>
      <c r="C44" s="1">
        <v>44687</v>
      </c>
      <c r="D44" s="5">
        <v>0.46319444444444446</v>
      </c>
      <c r="E44">
        <v>98</v>
      </c>
      <c r="F44" t="s">
        <v>14</v>
      </c>
      <c r="G44">
        <v>46</v>
      </c>
      <c r="H44" t="s">
        <v>15</v>
      </c>
      <c r="I44">
        <v>4</v>
      </c>
      <c r="J44" s="6">
        <v>25</v>
      </c>
      <c r="K44">
        <v>9.5</v>
      </c>
      <c r="L44">
        <v>100</v>
      </c>
      <c r="M44" t="str">
        <f>IF(OR(I44="",J44="",L44=""),"Incomplete","Complete")</f>
        <v>Complete</v>
      </c>
      <c r="N44" t="str">
        <f>IF(M44="Incomplete","Not checked",IF(ROUND(I44*J44,2)=ROUND(L44,2),"Valid","Mismatch"))</f>
        <v>Valid</v>
      </c>
      <c r="O44">
        <f t="shared" si="1"/>
        <v>90.5</v>
      </c>
    </row>
    <row r="45" spans="1:15">
      <c r="A45">
        <v>977</v>
      </c>
      <c r="B45" t="str">
        <f t="shared" si="0"/>
        <v>2022-07</v>
      </c>
      <c r="C45" s="1">
        <v>44768</v>
      </c>
      <c r="D45" s="5">
        <v>0.3576388888888889</v>
      </c>
      <c r="E45">
        <v>46</v>
      </c>
      <c r="F45" t="s">
        <v>14</v>
      </c>
      <c r="G45">
        <v>35</v>
      </c>
      <c r="H45" t="s">
        <v>15</v>
      </c>
      <c r="I45">
        <v>3</v>
      </c>
      <c r="J45" s="6">
        <v>25</v>
      </c>
      <c r="K45">
        <v>13.75</v>
      </c>
      <c r="L45">
        <v>75</v>
      </c>
      <c r="M45" t="str">
        <f>IF(OR(I45="",J45="",L45=""),"Incomplete","Complete")</f>
        <v>Complete</v>
      </c>
      <c r="N45" t="str">
        <f>IF(M45="Incomplete","Not checked",IF(ROUND(I45*J45,2)=ROUND(L45,2),"Valid","Mismatch"))</f>
        <v>Valid</v>
      </c>
      <c r="O45">
        <f t="shared" si="1"/>
        <v>61.25</v>
      </c>
    </row>
    <row r="46" spans="1:15">
      <c r="A46">
        <v>1434</v>
      </c>
      <c r="B46" t="str">
        <f t="shared" si="0"/>
        <v>2022-02</v>
      </c>
      <c r="C46" s="1">
        <v>44596</v>
      </c>
      <c r="D46" s="5">
        <v>0.41805555555555557</v>
      </c>
      <c r="E46">
        <v>147</v>
      </c>
      <c r="F46" t="s">
        <v>14</v>
      </c>
      <c r="G46">
        <v>43</v>
      </c>
      <c r="H46" t="s">
        <v>15</v>
      </c>
      <c r="I46">
        <v>2</v>
      </c>
      <c r="J46" s="6">
        <v>25</v>
      </c>
      <c r="K46">
        <v>7</v>
      </c>
      <c r="L46">
        <v>50</v>
      </c>
      <c r="M46" t="str">
        <f>IF(OR(I46="",J46="",L46=""),"Incomplete","Complete")</f>
        <v>Complete</v>
      </c>
      <c r="N46" t="str">
        <f>IF(M46="Incomplete","Not checked",IF(ROUND(I46*J46,2)=ROUND(L46,2),"Valid","Mismatch"))</f>
        <v>Valid</v>
      </c>
      <c r="O46">
        <f t="shared" si="1"/>
        <v>43</v>
      </c>
    </row>
    <row r="47" spans="1:15">
      <c r="A47">
        <v>1775</v>
      </c>
      <c r="B47" t="str">
        <f t="shared" si="0"/>
        <v>2022-12</v>
      </c>
      <c r="C47" s="1">
        <v>44913</v>
      </c>
      <c r="D47" s="5">
        <v>0.33611111111111114</v>
      </c>
      <c r="E47">
        <v>78</v>
      </c>
      <c r="F47" t="s">
        <v>14</v>
      </c>
      <c r="G47">
        <v>46</v>
      </c>
      <c r="H47" t="s">
        <v>15</v>
      </c>
      <c r="I47">
        <v>4</v>
      </c>
      <c r="J47" s="6">
        <v>25</v>
      </c>
      <c r="K47">
        <v>13.75</v>
      </c>
      <c r="L47">
        <v>100</v>
      </c>
      <c r="M47" t="str">
        <f>IF(OR(I47="",J47="",L47=""),"Incomplete","Complete")</f>
        <v>Complete</v>
      </c>
      <c r="N47" t="str">
        <f>IF(M47="Incomplete","Not checked",IF(ROUND(I47*J47,2)=ROUND(L47,2),"Valid","Mismatch"))</f>
        <v>Valid</v>
      </c>
      <c r="O47">
        <f t="shared" si="1"/>
        <v>86.25</v>
      </c>
    </row>
    <row r="48" spans="1:15">
      <c r="A48">
        <v>1977</v>
      </c>
      <c r="B48" t="str">
        <f t="shared" si="0"/>
        <v>2022-08</v>
      </c>
      <c r="C48" s="1">
        <v>44778</v>
      </c>
      <c r="D48" s="5">
        <v>0.44861111111111113</v>
      </c>
      <c r="E48">
        <v>63</v>
      </c>
      <c r="F48" t="s">
        <v>14</v>
      </c>
      <c r="G48">
        <v>35</v>
      </c>
      <c r="H48" t="s">
        <v>15</v>
      </c>
      <c r="I48">
        <v>3</v>
      </c>
      <c r="J48" s="6">
        <v>25</v>
      </c>
      <c r="K48">
        <v>12</v>
      </c>
      <c r="L48">
        <v>75</v>
      </c>
      <c r="M48" t="str">
        <f>IF(OR(I48="",J48="",L48=""),"Incomplete","Complete")</f>
        <v>Complete</v>
      </c>
      <c r="N48" t="str">
        <f>IF(M48="Incomplete","Not checked",IF(ROUND(I48*J48,2)=ROUND(L48,2),"Valid","Mismatch"))</f>
        <v>Valid</v>
      </c>
      <c r="O48">
        <f t="shared" si="1"/>
        <v>63</v>
      </c>
    </row>
    <row r="49" spans="1:15">
      <c r="A49">
        <v>657</v>
      </c>
      <c r="B49" t="str">
        <f t="shared" si="0"/>
        <v>2022-01</v>
      </c>
      <c r="C49" s="1">
        <v>44590</v>
      </c>
      <c r="D49" s="5">
        <v>0.37013888888888891</v>
      </c>
      <c r="E49">
        <v>46</v>
      </c>
      <c r="F49" t="s">
        <v>11</v>
      </c>
      <c r="G49">
        <v>40</v>
      </c>
      <c r="H49" t="s">
        <v>12</v>
      </c>
      <c r="I49">
        <v>1</v>
      </c>
      <c r="J49" s="6">
        <v>25</v>
      </c>
      <c r="K49">
        <v>8</v>
      </c>
      <c r="L49">
        <v>25</v>
      </c>
      <c r="M49" t="str">
        <f>IF(OR(I49="",J49="",L49=""),"Incomplete","Complete")</f>
        <v>Complete</v>
      </c>
      <c r="N49" t="str">
        <f>IF(M49="Incomplete","Not checked",IF(ROUND(I49*J49,2)=ROUND(L49,2),"Valid","Mismatch"))</f>
        <v>Valid</v>
      </c>
      <c r="O49">
        <f t="shared" si="1"/>
        <v>17</v>
      </c>
    </row>
    <row r="50" spans="1:15">
      <c r="A50">
        <v>972</v>
      </c>
      <c r="B50" t="str">
        <f t="shared" si="0"/>
        <v>2022-08</v>
      </c>
      <c r="C50" s="1">
        <v>44789</v>
      </c>
      <c r="D50" s="5">
        <v>0.48749999999999999</v>
      </c>
      <c r="E50">
        <v>139</v>
      </c>
      <c r="F50" t="s">
        <v>11</v>
      </c>
      <c r="G50">
        <v>49</v>
      </c>
      <c r="H50" t="s">
        <v>13</v>
      </c>
      <c r="I50">
        <v>4</v>
      </c>
      <c r="J50" s="6">
        <v>25</v>
      </c>
      <c r="K50">
        <v>6.75</v>
      </c>
      <c r="L50">
        <v>100</v>
      </c>
      <c r="M50" t="str">
        <f>IF(OR(I50="",J50="",L50=""),"Incomplete","Complete")</f>
        <v>Complete</v>
      </c>
      <c r="N50" t="str">
        <f>IF(M50="Incomplete","Not checked",IF(ROUND(I50*J50,2)=ROUND(L50,2),"Valid","Mismatch"))</f>
        <v>Valid</v>
      </c>
      <c r="O50">
        <f t="shared" si="1"/>
        <v>93.25</v>
      </c>
    </row>
    <row r="51" spans="1:15">
      <c r="A51">
        <v>1657</v>
      </c>
      <c r="B51" t="str">
        <f t="shared" si="0"/>
        <v>2022-08</v>
      </c>
      <c r="C51" s="1">
        <v>44782</v>
      </c>
      <c r="D51" s="5">
        <v>0.4201388888888889</v>
      </c>
      <c r="E51">
        <v>61</v>
      </c>
      <c r="F51" t="s">
        <v>11</v>
      </c>
      <c r="G51">
        <v>40</v>
      </c>
      <c r="H51" t="s">
        <v>12</v>
      </c>
      <c r="I51">
        <v>1</v>
      </c>
      <c r="J51" s="6">
        <v>25</v>
      </c>
      <c r="K51">
        <v>8</v>
      </c>
      <c r="L51">
        <v>25</v>
      </c>
      <c r="M51" t="str">
        <f>IF(OR(I51="",J51="",L51=""),"Incomplete","Complete")</f>
        <v>Complete</v>
      </c>
      <c r="N51" t="str">
        <f>IF(M51="Incomplete","Not checked",IF(ROUND(I51*J51,2)=ROUND(L51,2),"Valid","Mismatch"))</f>
        <v>Valid</v>
      </c>
      <c r="O51">
        <f t="shared" si="1"/>
        <v>17</v>
      </c>
    </row>
    <row r="52" spans="1:15">
      <c r="A52">
        <v>1972</v>
      </c>
      <c r="B52" t="str">
        <f t="shared" si="0"/>
        <v>2022-12</v>
      </c>
      <c r="C52" s="1">
        <v>44916</v>
      </c>
      <c r="D52" s="5">
        <v>0.27708333333333335</v>
      </c>
      <c r="E52">
        <v>5</v>
      </c>
      <c r="F52" t="s">
        <v>11</v>
      </c>
      <c r="G52">
        <v>49</v>
      </c>
      <c r="H52" t="s">
        <v>13</v>
      </c>
      <c r="I52">
        <v>4</v>
      </c>
      <c r="J52" s="6">
        <v>25</v>
      </c>
      <c r="K52">
        <v>9.25</v>
      </c>
      <c r="L52">
        <v>100</v>
      </c>
      <c r="M52" t="str">
        <f>IF(OR(I52="",J52="",L52=""),"Incomplete","Complete")</f>
        <v>Complete</v>
      </c>
      <c r="N52" t="str">
        <f>IF(M52="Incomplete","Not checked",IF(ROUND(I52*J52,2)=ROUND(L52,2),"Valid","Mismatch"))</f>
        <v>Valid</v>
      </c>
      <c r="O52">
        <f t="shared" si="1"/>
        <v>90.75</v>
      </c>
    </row>
    <row r="53" spans="1:15">
      <c r="A53">
        <v>848</v>
      </c>
      <c r="B53" t="str">
        <f t="shared" si="0"/>
        <v>2022-01</v>
      </c>
      <c r="C53" s="1">
        <v>44585</v>
      </c>
      <c r="D53" s="5">
        <v>0.44861111111111113</v>
      </c>
      <c r="E53">
        <v>15</v>
      </c>
      <c r="F53" t="s">
        <v>14</v>
      </c>
      <c r="G53">
        <v>63</v>
      </c>
      <c r="H53" t="s">
        <v>12</v>
      </c>
      <c r="I53">
        <v>3</v>
      </c>
      <c r="J53" s="6">
        <v>25</v>
      </c>
      <c r="K53">
        <v>9.75</v>
      </c>
      <c r="L53">
        <v>75</v>
      </c>
      <c r="M53" t="str">
        <f>IF(OR(I53="",J53="",L53=""),"Incomplete","Complete")</f>
        <v>Complete</v>
      </c>
      <c r="N53" t="str">
        <f>IF(M53="Incomplete","Not checked",IF(ROUND(I53*J53,2)=ROUND(L53,2),"Valid","Mismatch"))</f>
        <v>Valid</v>
      </c>
      <c r="O53">
        <f t="shared" si="1"/>
        <v>65.25</v>
      </c>
    </row>
    <row r="54" spans="1:15">
      <c r="A54">
        <v>945</v>
      </c>
      <c r="B54" t="str">
        <f t="shared" si="0"/>
        <v>2022-10</v>
      </c>
      <c r="C54" s="1">
        <v>44835</v>
      </c>
      <c r="D54" s="5">
        <v>0.41736111111111113</v>
      </c>
      <c r="E54">
        <v>120</v>
      </c>
      <c r="F54" t="s">
        <v>11</v>
      </c>
      <c r="G54">
        <v>30</v>
      </c>
      <c r="H54" t="s">
        <v>13</v>
      </c>
      <c r="I54">
        <v>1</v>
      </c>
      <c r="J54" s="6">
        <v>25</v>
      </c>
      <c r="K54">
        <v>13.25</v>
      </c>
      <c r="L54">
        <v>25</v>
      </c>
      <c r="M54" t="str">
        <f>IF(OR(I54="",J54="",L54=""),"Incomplete","Complete")</f>
        <v>Complete</v>
      </c>
      <c r="N54" t="str">
        <f>IF(M54="Incomplete","Not checked",IF(ROUND(I54*J54,2)=ROUND(L54,2),"Valid","Mismatch"))</f>
        <v>Valid</v>
      </c>
      <c r="O54">
        <f t="shared" si="1"/>
        <v>11.75</v>
      </c>
    </row>
    <row r="55" spans="1:15">
      <c r="A55">
        <v>1848</v>
      </c>
      <c r="B55" t="str">
        <f t="shared" si="0"/>
        <v>2022-12</v>
      </c>
      <c r="C55" s="1">
        <v>44922</v>
      </c>
      <c r="D55" s="5">
        <v>0.42777777777777776</v>
      </c>
      <c r="E55">
        <v>63</v>
      </c>
      <c r="F55" t="s">
        <v>14</v>
      </c>
      <c r="G55">
        <v>63</v>
      </c>
      <c r="H55" t="s">
        <v>12</v>
      </c>
      <c r="I55">
        <v>3</v>
      </c>
      <c r="J55" s="6">
        <v>25</v>
      </c>
      <c r="K55">
        <v>12.5</v>
      </c>
      <c r="L55">
        <v>75</v>
      </c>
      <c r="M55" t="str">
        <f>IF(OR(I55="",J55="",L55=""),"Incomplete","Complete")</f>
        <v>Complete</v>
      </c>
      <c r="N55" t="str">
        <f>IF(M55="Incomplete","Not checked",IF(ROUND(I55*J55,2)=ROUND(L55,2),"Valid","Mismatch"))</f>
        <v>Valid</v>
      </c>
      <c r="O55">
        <f t="shared" si="1"/>
        <v>62.5</v>
      </c>
    </row>
    <row r="56" spans="1:15">
      <c r="A56">
        <v>1945</v>
      </c>
      <c r="B56" t="str">
        <f t="shared" si="0"/>
        <v>2022-04</v>
      </c>
      <c r="C56" s="1">
        <v>44670</v>
      </c>
      <c r="D56" s="5">
        <v>0.41319444444444442</v>
      </c>
      <c r="E56">
        <v>33</v>
      </c>
      <c r="F56" t="s">
        <v>11</v>
      </c>
      <c r="G56">
        <v>30</v>
      </c>
      <c r="H56" t="s">
        <v>13</v>
      </c>
      <c r="I56">
        <v>1</v>
      </c>
      <c r="J56" s="6">
        <v>25</v>
      </c>
      <c r="K56">
        <v>10.75</v>
      </c>
      <c r="L56">
        <v>25</v>
      </c>
      <c r="M56" t="str">
        <f>IF(OR(I56="",J56="",L56=""),"Incomplete","Complete")</f>
        <v>Complete</v>
      </c>
      <c r="N56" t="str">
        <f>IF(M56="Incomplete","Not checked",IF(ROUND(I56*J56,2)=ROUND(L56,2),"Valid","Mismatch"))</f>
        <v>Valid</v>
      </c>
      <c r="O56">
        <f t="shared" si="1"/>
        <v>14.25</v>
      </c>
    </row>
    <row r="57" spans="1:15">
      <c r="A57">
        <v>44</v>
      </c>
      <c r="B57" t="str">
        <f t="shared" si="0"/>
        <v>2022-03</v>
      </c>
      <c r="C57" s="1">
        <v>44623</v>
      </c>
      <c r="D57" s="5">
        <v>0.46319444444444446</v>
      </c>
      <c r="E57">
        <v>93</v>
      </c>
      <c r="F57" t="s">
        <v>14</v>
      </c>
      <c r="G57">
        <v>22</v>
      </c>
      <c r="H57" t="s">
        <v>12</v>
      </c>
      <c r="I57">
        <v>1</v>
      </c>
      <c r="J57" s="6">
        <v>25</v>
      </c>
      <c r="K57">
        <v>11.75</v>
      </c>
      <c r="L57">
        <v>25</v>
      </c>
      <c r="M57" t="str">
        <f>IF(OR(I57="",J57="",L57=""),"Incomplete","Complete")</f>
        <v>Complete</v>
      </c>
      <c r="N57" t="str">
        <f>IF(M57="Incomplete","Not checked",IF(ROUND(I57*J57,2)=ROUND(L57,2),"Valid","Mismatch"))</f>
        <v>Valid</v>
      </c>
      <c r="O57">
        <f t="shared" si="1"/>
        <v>13.25</v>
      </c>
    </row>
    <row r="58" spans="1:15">
      <c r="A58">
        <v>1044</v>
      </c>
      <c r="B58" t="str">
        <f t="shared" si="0"/>
        <v>2022-02</v>
      </c>
      <c r="C58" s="1">
        <v>44612</v>
      </c>
      <c r="D58" s="5">
        <v>0.38055555555555554</v>
      </c>
      <c r="E58">
        <v>70</v>
      </c>
      <c r="F58" t="s">
        <v>14</v>
      </c>
      <c r="G58">
        <v>22</v>
      </c>
      <c r="H58" t="s">
        <v>12</v>
      </c>
      <c r="I58">
        <v>1</v>
      </c>
      <c r="J58" s="6">
        <v>25</v>
      </c>
      <c r="K58">
        <v>7.5</v>
      </c>
      <c r="L58">
        <v>25</v>
      </c>
      <c r="M58" t="str">
        <f>IF(OR(I58="",J58="",L58=""),"Incomplete","Complete")</f>
        <v>Complete</v>
      </c>
      <c r="N58" t="str">
        <f>IF(M58="Incomplete","Not checked",IF(ROUND(I58*J58,2)=ROUND(L58,2),"Valid","Mismatch"))</f>
        <v>Valid</v>
      </c>
      <c r="O58">
        <f t="shared" si="1"/>
        <v>17.5</v>
      </c>
    </row>
    <row r="59" spans="1:15">
      <c r="A59">
        <v>287</v>
      </c>
      <c r="B59" t="str">
        <f t="shared" si="0"/>
        <v>2022-08</v>
      </c>
      <c r="C59" s="1">
        <v>44799</v>
      </c>
      <c r="D59" s="5">
        <v>0.46319444444444446</v>
      </c>
      <c r="E59">
        <v>88</v>
      </c>
      <c r="F59" t="s">
        <v>11</v>
      </c>
      <c r="G59">
        <v>54</v>
      </c>
      <c r="H59" t="s">
        <v>12</v>
      </c>
      <c r="I59">
        <v>4</v>
      </c>
      <c r="J59" s="6">
        <v>25</v>
      </c>
      <c r="K59">
        <v>10</v>
      </c>
      <c r="L59">
        <v>100</v>
      </c>
      <c r="M59" t="str">
        <f>IF(OR(I59="",J59="",L59=""),"Incomplete","Complete")</f>
        <v>Complete</v>
      </c>
      <c r="N59" t="str">
        <f>IF(M59="Incomplete","Not checked",IF(ROUND(I59*J59,2)=ROUND(L59,2),"Valid","Mismatch"))</f>
        <v>Valid</v>
      </c>
      <c r="O59">
        <f t="shared" si="1"/>
        <v>90</v>
      </c>
    </row>
    <row r="60" spans="1:15">
      <c r="A60">
        <v>1287</v>
      </c>
      <c r="B60" t="str">
        <f t="shared" si="0"/>
        <v>2022-09</v>
      </c>
      <c r="C60" s="1">
        <v>44817</v>
      </c>
      <c r="D60" s="5">
        <v>0.33541666666666664</v>
      </c>
      <c r="E60">
        <v>120</v>
      </c>
      <c r="F60" t="s">
        <v>11</v>
      </c>
      <c r="G60">
        <v>54</v>
      </c>
      <c r="H60" t="s">
        <v>12</v>
      </c>
      <c r="I60">
        <v>4</v>
      </c>
      <c r="J60" s="6">
        <v>25</v>
      </c>
      <c r="K60">
        <v>7</v>
      </c>
      <c r="L60">
        <v>100</v>
      </c>
      <c r="M60" t="str">
        <f>IF(OR(I60="",J60="",L60=""),"Incomplete","Complete")</f>
        <v>Complete</v>
      </c>
      <c r="N60" t="str">
        <f>IF(M60="Incomplete","Not checked",IF(ROUND(I60*J60,2)=ROUND(L60,2),"Valid","Mismatch"))</f>
        <v>Valid</v>
      </c>
      <c r="O60">
        <f t="shared" si="1"/>
        <v>93</v>
      </c>
    </row>
    <row r="61" spans="1:15">
      <c r="A61">
        <v>371</v>
      </c>
      <c r="B61" t="str">
        <f t="shared" si="0"/>
        <v>2022-12</v>
      </c>
      <c r="C61" s="1">
        <v>44913</v>
      </c>
      <c r="D61" s="5">
        <v>0.41736111111111113</v>
      </c>
      <c r="E61">
        <v>32</v>
      </c>
      <c r="F61" t="s">
        <v>14</v>
      </c>
      <c r="G61">
        <v>20</v>
      </c>
      <c r="H61" t="s">
        <v>13</v>
      </c>
      <c r="I61">
        <v>1</v>
      </c>
      <c r="J61" s="6">
        <v>25</v>
      </c>
      <c r="K61">
        <v>13</v>
      </c>
      <c r="L61">
        <v>25</v>
      </c>
      <c r="M61" t="str">
        <f>IF(OR(I61="",J61="",L61=""),"Incomplete","Complete")</f>
        <v>Complete</v>
      </c>
      <c r="N61" t="str">
        <f>IF(M61="Incomplete","Not checked",IF(ROUND(I61*J61,2)=ROUND(L61,2),"Valid","Mismatch"))</f>
        <v>Valid</v>
      </c>
      <c r="O61">
        <f t="shared" si="1"/>
        <v>12</v>
      </c>
    </row>
    <row r="62" spans="1:15">
      <c r="A62">
        <v>1371</v>
      </c>
      <c r="B62" t="str">
        <f t="shared" si="0"/>
        <v>2022-05</v>
      </c>
      <c r="C62" s="1">
        <v>44687</v>
      </c>
      <c r="D62" s="5">
        <v>0.28611111111111109</v>
      </c>
      <c r="E62">
        <v>41</v>
      </c>
      <c r="F62" t="s">
        <v>14</v>
      </c>
      <c r="G62">
        <v>20</v>
      </c>
      <c r="H62" t="s">
        <v>13</v>
      </c>
      <c r="I62">
        <v>1</v>
      </c>
      <c r="J62" s="6">
        <v>25</v>
      </c>
      <c r="K62">
        <v>13.5</v>
      </c>
      <c r="L62">
        <v>25</v>
      </c>
      <c r="M62" t="str">
        <f>IF(OR(I62="",J62="",L62=""),"Incomplete","Complete")</f>
        <v>Complete</v>
      </c>
      <c r="N62" t="str">
        <f>IF(M62="Incomplete","Not checked",IF(ROUND(I62*J62,2)=ROUND(L62,2),"Valid","Mismatch"))</f>
        <v>Valid</v>
      </c>
      <c r="O62">
        <f t="shared" si="1"/>
        <v>11.5</v>
      </c>
    </row>
    <row r="63" spans="1:15">
      <c r="A63">
        <v>8</v>
      </c>
      <c r="B63" t="str">
        <f t="shared" si="0"/>
        <v>2022-12</v>
      </c>
      <c r="C63" s="1">
        <v>44922</v>
      </c>
      <c r="D63" s="5">
        <v>0.47152777777777777</v>
      </c>
      <c r="E63">
        <v>148</v>
      </c>
      <c r="F63" t="s">
        <v>11</v>
      </c>
      <c r="G63">
        <v>30</v>
      </c>
      <c r="H63" t="s">
        <v>15</v>
      </c>
      <c r="I63">
        <v>4</v>
      </c>
      <c r="J63" s="6">
        <v>25</v>
      </c>
      <c r="K63">
        <v>11</v>
      </c>
      <c r="L63">
        <v>100</v>
      </c>
      <c r="M63" t="str">
        <f>IF(OR(I63="",J63="",L63=""),"Incomplete","Complete")</f>
        <v>Complete</v>
      </c>
      <c r="N63" t="str">
        <f>IF(M63="Incomplete","Not checked",IF(ROUND(I63*J63,2)=ROUND(L63,2),"Valid","Mismatch"))</f>
        <v>Valid</v>
      </c>
      <c r="O63">
        <f t="shared" si="1"/>
        <v>89</v>
      </c>
    </row>
    <row r="64" spans="1:15">
      <c r="A64">
        <v>41</v>
      </c>
      <c r="B64" t="str">
        <f t="shared" si="0"/>
        <v>2022-10</v>
      </c>
      <c r="C64" s="1">
        <v>44845</v>
      </c>
      <c r="D64" s="5">
        <v>0.44166666666666665</v>
      </c>
      <c r="E64">
        <v>88</v>
      </c>
      <c r="F64" t="s">
        <v>11</v>
      </c>
      <c r="G64">
        <v>34</v>
      </c>
      <c r="H64" t="s">
        <v>12</v>
      </c>
      <c r="I64">
        <v>2</v>
      </c>
      <c r="J64" s="6">
        <v>25</v>
      </c>
      <c r="K64">
        <v>13.25</v>
      </c>
      <c r="L64">
        <v>50</v>
      </c>
      <c r="M64" t="str">
        <f>IF(OR(I64="",J64="",L64=""),"Incomplete","Complete")</f>
        <v>Complete</v>
      </c>
      <c r="N64" t="str">
        <f>IF(M64="Incomplete","Not checked",IF(ROUND(I64*J64,2)=ROUND(L64,2),"Valid","Mismatch"))</f>
        <v>Valid</v>
      </c>
      <c r="O64">
        <f t="shared" si="1"/>
        <v>36.75</v>
      </c>
    </row>
    <row r="65" spans="1:15">
      <c r="A65">
        <v>454</v>
      </c>
      <c r="B65" t="str">
        <f t="shared" si="0"/>
        <v>2022-03</v>
      </c>
      <c r="C65" s="1">
        <v>44632</v>
      </c>
      <c r="D65" s="5">
        <v>0.30555555555555558</v>
      </c>
      <c r="E65">
        <v>13</v>
      </c>
      <c r="F65" t="s">
        <v>14</v>
      </c>
      <c r="G65">
        <v>46</v>
      </c>
      <c r="H65" t="s">
        <v>13</v>
      </c>
      <c r="I65">
        <v>1</v>
      </c>
      <c r="J65" s="6">
        <v>25</v>
      </c>
      <c r="K65">
        <v>13</v>
      </c>
      <c r="L65">
        <v>25</v>
      </c>
      <c r="M65" t="str">
        <f>IF(OR(I65="",J65="",L65=""),"Incomplete","Complete")</f>
        <v>Complete</v>
      </c>
      <c r="N65" t="str">
        <f>IF(M65="Incomplete","Not checked",IF(ROUND(I65*J65,2)=ROUND(L65,2),"Valid","Mismatch"))</f>
        <v>Valid</v>
      </c>
      <c r="O65">
        <f t="shared" si="1"/>
        <v>12</v>
      </c>
    </row>
    <row r="66" spans="1:15">
      <c r="A66">
        <v>780</v>
      </c>
      <c r="B66" t="str">
        <f t="shared" ref="B66:B129" si="2">TEXT(C66,"yyyy-mm")</f>
        <v>2022-07</v>
      </c>
      <c r="C66" s="1">
        <v>44748</v>
      </c>
      <c r="D66" s="5">
        <v>0.47916666666666669</v>
      </c>
      <c r="E66">
        <v>107</v>
      </c>
      <c r="F66" t="s">
        <v>11</v>
      </c>
      <c r="G66">
        <v>52</v>
      </c>
      <c r="H66" t="s">
        <v>15</v>
      </c>
      <c r="I66">
        <v>2</v>
      </c>
      <c r="J66" s="6">
        <v>25</v>
      </c>
      <c r="K66">
        <v>13.25</v>
      </c>
      <c r="L66">
        <v>50</v>
      </c>
      <c r="M66" t="str">
        <f>IF(OR(I66="",J66="",L66=""),"Incomplete","Complete")</f>
        <v>Complete</v>
      </c>
      <c r="N66" t="str">
        <f>IF(M66="Incomplete","Not checked",IF(ROUND(I66*J66,2)=ROUND(L66,2),"Valid","Mismatch"))</f>
        <v>Valid</v>
      </c>
      <c r="O66">
        <f t="shared" ref="O66:O129" si="3">IF(M66="Incomplete","",L66-K66)</f>
        <v>36.75</v>
      </c>
    </row>
    <row r="67" spans="1:15">
      <c r="A67">
        <v>920</v>
      </c>
      <c r="B67" t="str">
        <f t="shared" si="2"/>
        <v>2022-08</v>
      </c>
      <c r="C67" s="1">
        <v>44793</v>
      </c>
      <c r="D67" s="5">
        <v>0.43402777777777779</v>
      </c>
      <c r="E67">
        <v>99</v>
      </c>
      <c r="F67" t="s">
        <v>14</v>
      </c>
      <c r="G67">
        <v>28</v>
      </c>
      <c r="H67" t="s">
        <v>13</v>
      </c>
      <c r="I67">
        <v>3</v>
      </c>
      <c r="J67" s="6">
        <v>25</v>
      </c>
      <c r="K67">
        <v>6.75</v>
      </c>
      <c r="L67">
        <v>75</v>
      </c>
      <c r="M67" t="str">
        <f>IF(OR(I67="",J67="",L67=""),"Incomplete","Complete")</f>
        <v>Complete</v>
      </c>
      <c r="N67" t="str">
        <f>IF(M67="Incomplete","Not checked",IF(ROUND(I67*J67,2)=ROUND(L67,2),"Valid","Mismatch"))</f>
        <v>Valid</v>
      </c>
      <c r="O67">
        <f t="shared" si="3"/>
        <v>68.25</v>
      </c>
    </row>
    <row r="68" spans="1:15">
      <c r="A68">
        <v>1008</v>
      </c>
      <c r="B68" t="str">
        <f t="shared" si="2"/>
        <v>2022-01</v>
      </c>
      <c r="C68" s="1">
        <v>44571</v>
      </c>
      <c r="D68" s="5">
        <v>0.36875000000000002</v>
      </c>
      <c r="E68">
        <v>116</v>
      </c>
      <c r="F68" t="s">
        <v>11</v>
      </c>
      <c r="G68">
        <v>30</v>
      </c>
      <c r="H68" t="s">
        <v>15</v>
      </c>
      <c r="I68">
        <v>4</v>
      </c>
      <c r="J68" s="6">
        <v>25</v>
      </c>
      <c r="K68">
        <v>13</v>
      </c>
      <c r="L68">
        <v>100</v>
      </c>
      <c r="M68" t="str">
        <f>IF(OR(I68="",J68="",L68=""),"Incomplete","Complete")</f>
        <v>Complete</v>
      </c>
      <c r="N68" t="str">
        <f>IF(M68="Incomplete","Not checked",IF(ROUND(I68*J68,2)=ROUND(L68,2),"Valid","Mismatch"))</f>
        <v>Valid</v>
      </c>
      <c r="O68">
        <f t="shared" si="3"/>
        <v>87</v>
      </c>
    </row>
    <row r="69" spans="1:15">
      <c r="A69">
        <v>1041</v>
      </c>
      <c r="B69" t="str">
        <f t="shared" si="2"/>
        <v>2022-05</v>
      </c>
      <c r="C69" s="1">
        <v>44691</v>
      </c>
      <c r="D69" s="5">
        <v>0.31041666666666667</v>
      </c>
      <c r="E69">
        <v>74</v>
      </c>
      <c r="F69" t="s">
        <v>11</v>
      </c>
      <c r="G69">
        <v>34</v>
      </c>
      <c r="H69" t="s">
        <v>12</v>
      </c>
      <c r="I69">
        <v>2</v>
      </c>
      <c r="J69" s="6">
        <v>25</v>
      </c>
      <c r="K69">
        <v>11</v>
      </c>
      <c r="L69">
        <v>50</v>
      </c>
      <c r="M69" t="str">
        <f>IF(OR(I69="",J69="",L69=""),"Incomplete","Complete")</f>
        <v>Complete</v>
      </c>
      <c r="N69" t="str">
        <f>IF(M69="Incomplete","Not checked",IF(ROUND(I69*J69,2)=ROUND(L69,2),"Valid","Mismatch"))</f>
        <v>Valid</v>
      </c>
      <c r="O69">
        <f t="shared" si="3"/>
        <v>39</v>
      </c>
    </row>
    <row r="70" spans="1:15">
      <c r="A70">
        <v>1454</v>
      </c>
      <c r="B70" t="str">
        <f t="shared" si="2"/>
        <v>2022-06</v>
      </c>
      <c r="C70" s="1">
        <v>44737</v>
      </c>
      <c r="D70" s="5">
        <v>0.47083333333333333</v>
      </c>
      <c r="E70">
        <v>22</v>
      </c>
      <c r="F70" t="s">
        <v>14</v>
      </c>
      <c r="G70">
        <v>46</v>
      </c>
      <c r="H70" t="s">
        <v>13</v>
      </c>
      <c r="I70">
        <v>1</v>
      </c>
      <c r="J70" s="6">
        <v>25</v>
      </c>
      <c r="K70">
        <v>6.75</v>
      </c>
      <c r="L70">
        <v>25</v>
      </c>
      <c r="M70" t="str">
        <f>IF(OR(I70="",J70="",L70=""),"Incomplete","Complete")</f>
        <v>Complete</v>
      </c>
      <c r="N70" t="str">
        <f>IF(M70="Incomplete","Not checked",IF(ROUND(I70*J70,2)=ROUND(L70,2),"Valid","Mismatch"))</f>
        <v>Valid</v>
      </c>
      <c r="O70">
        <f t="shared" si="3"/>
        <v>18.25</v>
      </c>
    </row>
    <row r="71" spans="1:15">
      <c r="A71">
        <v>1780</v>
      </c>
      <c r="B71" t="str">
        <f t="shared" si="2"/>
        <v>2022-12</v>
      </c>
      <c r="C71" s="1">
        <v>44906</v>
      </c>
      <c r="D71" s="5">
        <v>0.41666666666666669</v>
      </c>
      <c r="E71">
        <v>32</v>
      </c>
      <c r="F71" t="s">
        <v>11</v>
      </c>
      <c r="G71">
        <v>52</v>
      </c>
      <c r="H71" t="s">
        <v>15</v>
      </c>
      <c r="I71">
        <v>2</v>
      </c>
      <c r="J71" s="6">
        <v>25</v>
      </c>
      <c r="K71">
        <v>10.5</v>
      </c>
      <c r="L71">
        <v>50</v>
      </c>
      <c r="M71" t="str">
        <f>IF(OR(I71="",J71="",L71=""),"Incomplete","Complete")</f>
        <v>Complete</v>
      </c>
      <c r="N71" t="str">
        <f>IF(M71="Incomplete","Not checked",IF(ROUND(I71*J71,2)=ROUND(L71,2),"Valid","Mismatch"))</f>
        <v>Valid</v>
      </c>
      <c r="O71">
        <f t="shared" si="3"/>
        <v>39.5</v>
      </c>
    </row>
    <row r="72" spans="1:15">
      <c r="A72">
        <v>1920</v>
      </c>
      <c r="B72" t="str">
        <f t="shared" si="2"/>
        <v>2022-10</v>
      </c>
      <c r="C72" s="1">
        <v>44858</v>
      </c>
      <c r="D72" s="5">
        <v>0.35625000000000001</v>
      </c>
      <c r="E72">
        <v>23</v>
      </c>
      <c r="F72" t="s">
        <v>14</v>
      </c>
      <c r="G72">
        <v>28</v>
      </c>
      <c r="H72" t="s">
        <v>13</v>
      </c>
      <c r="I72">
        <v>3</v>
      </c>
      <c r="J72" s="6">
        <v>25</v>
      </c>
      <c r="K72">
        <v>9.25</v>
      </c>
      <c r="L72">
        <v>75</v>
      </c>
      <c r="M72" t="str">
        <f>IF(OR(I72="",J72="",L72=""),"Incomplete","Complete")</f>
        <v>Complete</v>
      </c>
      <c r="N72" t="str">
        <f>IF(M72="Incomplete","Not checked",IF(ROUND(I72*J72,2)=ROUND(L72,2),"Valid","Mismatch"))</f>
        <v>Valid</v>
      </c>
      <c r="O72">
        <f t="shared" si="3"/>
        <v>65.75</v>
      </c>
    </row>
    <row r="73" spans="1:15">
      <c r="A73">
        <v>135</v>
      </c>
      <c r="B73" t="str">
        <f t="shared" si="2"/>
        <v>2022-04</v>
      </c>
      <c r="C73" s="1">
        <v>44669</v>
      </c>
      <c r="D73" s="5">
        <v>0.30694444444444446</v>
      </c>
      <c r="E73">
        <v>104</v>
      </c>
      <c r="F73" t="s">
        <v>11</v>
      </c>
      <c r="G73">
        <v>20</v>
      </c>
      <c r="H73" t="s">
        <v>12</v>
      </c>
      <c r="I73">
        <v>2</v>
      </c>
      <c r="J73" s="6">
        <v>25</v>
      </c>
      <c r="K73">
        <v>13</v>
      </c>
      <c r="L73">
        <v>50</v>
      </c>
      <c r="M73" t="str">
        <f>IF(OR(I73="",J73="",L73=""),"Incomplete","Complete")</f>
        <v>Complete</v>
      </c>
      <c r="N73" t="str">
        <f>IF(M73="Incomplete","Not checked",IF(ROUND(I73*J73,2)=ROUND(L73,2),"Valid","Mismatch"))</f>
        <v>Valid</v>
      </c>
      <c r="O73">
        <f t="shared" si="3"/>
        <v>37</v>
      </c>
    </row>
    <row r="74" spans="1:15">
      <c r="A74">
        <v>1135</v>
      </c>
      <c r="B74" t="str">
        <f t="shared" si="2"/>
        <v>2022-01</v>
      </c>
      <c r="C74" s="1">
        <v>44575</v>
      </c>
      <c r="D74" s="5">
        <v>0.34444444444444444</v>
      </c>
      <c r="E74">
        <v>124</v>
      </c>
      <c r="F74" t="s">
        <v>11</v>
      </c>
      <c r="G74">
        <v>20</v>
      </c>
      <c r="H74" t="s">
        <v>12</v>
      </c>
      <c r="I74">
        <v>2</v>
      </c>
      <c r="J74" s="6">
        <v>25</v>
      </c>
      <c r="K74">
        <v>12.5</v>
      </c>
      <c r="L74">
        <v>50</v>
      </c>
      <c r="M74" t="str">
        <f>IF(OR(I74="",J74="",L74=""),"Incomplete","Complete")</f>
        <v>Complete</v>
      </c>
      <c r="N74" t="str">
        <f>IF(M74="Incomplete","Not checked",IF(ROUND(I74*J74,2)=ROUND(L74,2),"Valid","Mismatch"))</f>
        <v>Valid</v>
      </c>
      <c r="O74">
        <f t="shared" si="3"/>
        <v>37.5</v>
      </c>
    </row>
    <row r="75" spans="1:15">
      <c r="A75">
        <v>185</v>
      </c>
      <c r="B75" t="str">
        <f t="shared" si="2"/>
        <v>2022-06</v>
      </c>
      <c r="C75" s="1">
        <v>44739</v>
      </c>
      <c r="D75" s="5">
        <v>0.40833333333333333</v>
      </c>
      <c r="E75">
        <v>57</v>
      </c>
      <c r="F75" t="s">
        <v>11</v>
      </c>
      <c r="G75">
        <v>24</v>
      </c>
      <c r="H75" t="s">
        <v>12</v>
      </c>
      <c r="I75">
        <v>1</v>
      </c>
      <c r="J75" s="6">
        <v>25</v>
      </c>
      <c r="K75">
        <v>7</v>
      </c>
      <c r="L75">
        <v>25</v>
      </c>
      <c r="M75" t="str">
        <f>IF(OR(I75="",J75="",L75=""),"Incomplete","Complete")</f>
        <v>Complete</v>
      </c>
      <c r="N75" t="str">
        <f>IF(M75="Incomplete","Not checked",IF(ROUND(I75*J75,2)=ROUND(L75,2),"Valid","Mismatch"))</f>
        <v>Valid</v>
      </c>
      <c r="O75">
        <f t="shared" si="3"/>
        <v>18</v>
      </c>
    </row>
    <row r="76" spans="1:15">
      <c r="A76">
        <v>1185</v>
      </c>
      <c r="B76" t="str">
        <f t="shared" si="2"/>
        <v>2022-10</v>
      </c>
      <c r="C76" s="1">
        <v>44838</v>
      </c>
      <c r="D76" s="5">
        <v>0.43611111111111112</v>
      </c>
      <c r="E76">
        <v>153</v>
      </c>
      <c r="F76" t="s">
        <v>11</v>
      </c>
      <c r="G76">
        <v>24</v>
      </c>
      <c r="H76" t="s">
        <v>12</v>
      </c>
      <c r="I76">
        <v>1</v>
      </c>
      <c r="J76" s="6">
        <v>25</v>
      </c>
      <c r="K76">
        <v>10.25</v>
      </c>
      <c r="L76">
        <v>25</v>
      </c>
      <c r="M76" t="str">
        <f>IF(OR(I76="",J76="",L76=""),"Incomplete","Complete")</f>
        <v>Complete</v>
      </c>
      <c r="N76" t="str">
        <f>IF(M76="Incomplete","Not checked",IF(ROUND(I76*J76,2)=ROUND(L76,2),"Valid","Mismatch"))</f>
        <v>Valid</v>
      </c>
      <c r="O76">
        <f t="shared" si="3"/>
        <v>14.75</v>
      </c>
    </row>
    <row r="77" spans="1:15">
      <c r="A77">
        <v>763</v>
      </c>
      <c r="B77" t="str">
        <f t="shared" si="2"/>
        <v>2022-04</v>
      </c>
      <c r="C77" s="1">
        <v>44674</v>
      </c>
      <c r="D77" s="5">
        <v>0.40486111111111112</v>
      </c>
      <c r="E77">
        <v>58</v>
      </c>
      <c r="F77" t="s">
        <v>11</v>
      </c>
      <c r="G77">
        <v>34</v>
      </c>
      <c r="H77" t="s">
        <v>12</v>
      </c>
      <c r="I77">
        <v>2</v>
      </c>
      <c r="J77" s="6">
        <v>25</v>
      </c>
      <c r="K77">
        <v>11.5</v>
      </c>
      <c r="L77">
        <v>50</v>
      </c>
      <c r="M77" t="str">
        <f>IF(OR(I77="",J77="",L77=""),"Incomplete","Complete")</f>
        <v>Complete</v>
      </c>
      <c r="N77" t="str">
        <f>IF(M77="Incomplete","Not checked",IF(ROUND(I77*J77,2)=ROUND(L77,2),"Valid","Mismatch"))</f>
        <v>Valid</v>
      </c>
      <c r="O77">
        <f t="shared" si="3"/>
        <v>38.5</v>
      </c>
    </row>
    <row r="78" spans="1:15">
      <c r="A78">
        <v>932</v>
      </c>
      <c r="B78" t="str">
        <f t="shared" si="2"/>
        <v>2022-10</v>
      </c>
      <c r="C78" s="1">
        <v>44842</v>
      </c>
      <c r="D78" s="5">
        <v>0.35625000000000001</v>
      </c>
      <c r="E78">
        <v>120</v>
      </c>
      <c r="F78" t="s">
        <v>14</v>
      </c>
      <c r="G78">
        <v>45</v>
      </c>
      <c r="H78" t="s">
        <v>13</v>
      </c>
      <c r="I78">
        <v>4</v>
      </c>
      <c r="J78" s="6">
        <v>25</v>
      </c>
      <c r="K78">
        <v>7.75</v>
      </c>
      <c r="L78">
        <v>100</v>
      </c>
      <c r="M78" t="str">
        <f>IF(OR(I78="",J78="",L78=""),"Incomplete","Complete")</f>
        <v>Complete</v>
      </c>
      <c r="N78" t="str">
        <f>IF(M78="Incomplete","Not checked",IF(ROUND(I78*J78,2)=ROUND(L78,2),"Valid","Mismatch"))</f>
        <v>Valid</v>
      </c>
      <c r="O78">
        <f t="shared" si="3"/>
        <v>92.25</v>
      </c>
    </row>
    <row r="79" spans="1:15">
      <c r="A79">
        <v>1763</v>
      </c>
      <c r="B79" t="str">
        <f t="shared" si="2"/>
        <v>2022-06</v>
      </c>
      <c r="C79" s="1">
        <v>44742</v>
      </c>
      <c r="D79" s="5">
        <v>0.48402777777777778</v>
      </c>
      <c r="E79">
        <v>93</v>
      </c>
      <c r="F79" t="s">
        <v>11</v>
      </c>
      <c r="G79">
        <v>34</v>
      </c>
      <c r="H79" t="s">
        <v>12</v>
      </c>
      <c r="I79">
        <v>2</v>
      </c>
      <c r="J79" s="6">
        <v>25</v>
      </c>
      <c r="K79">
        <v>13.5</v>
      </c>
      <c r="L79">
        <v>50</v>
      </c>
      <c r="M79" t="str">
        <f>IF(OR(I79="",J79="",L79=""),"Incomplete","Complete")</f>
        <v>Complete</v>
      </c>
      <c r="N79" t="str">
        <f>IF(M79="Incomplete","Not checked",IF(ROUND(I79*J79,2)=ROUND(L79,2),"Valid","Mismatch"))</f>
        <v>Valid</v>
      </c>
      <c r="O79">
        <f t="shared" si="3"/>
        <v>36.5</v>
      </c>
    </row>
    <row r="80" spans="1:15">
      <c r="A80">
        <v>1932</v>
      </c>
      <c r="B80" t="str">
        <f t="shared" si="2"/>
        <v>2022-11</v>
      </c>
      <c r="C80" s="1">
        <v>44873</v>
      </c>
      <c r="D80" s="5">
        <v>0.29652777777777778</v>
      </c>
      <c r="E80">
        <v>96</v>
      </c>
      <c r="F80" t="s">
        <v>14</v>
      </c>
      <c r="G80">
        <v>45</v>
      </c>
      <c r="H80" t="s">
        <v>13</v>
      </c>
      <c r="I80">
        <v>4</v>
      </c>
      <c r="J80" s="6">
        <v>25</v>
      </c>
      <c r="K80">
        <v>6.25</v>
      </c>
      <c r="L80">
        <v>100</v>
      </c>
      <c r="M80" t="str">
        <f>IF(OR(I80="",J80="",L80=""),"Incomplete","Complete")</f>
        <v>Complete</v>
      </c>
      <c r="N80" t="str">
        <f>IF(M80="Incomplete","Not checked",IF(ROUND(I80*J80,2)=ROUND(L80,2),"Valid","Mismatch"))</f>
        <v>Valid</v>
      </c>
      <c r="O80">
        <f t="shared" si="3"/>
        <v>93.75</v>
      </c>
    </row>
    <row r="81" spans="1:15">
      <c r="A81">
        <v>500</v>
      </c>
      <c r="B81" t="str">
        <f t="shared" si="2"/>
        <v>2022-10</v>
      </c>
      <c r="C81" s="1">
        <v>44848</v>
      </c>
      <c r="D81" s="5">
        <v>0.25763888888888886</v>
      </c>
      <c r="E81">
        <v>120</v>
      </c>
      <c r="F81" t="s">
        <v>14</v>
      </c>
      <c r="G81">
        <v>60</v>
      </c>
      <c r="H81" t="s">
        <v>13</v>
      </c>
      <c r="I81">
        <v>4</v>
      </c>
      <c r="J81" s="6">
        <v>25</v>
      </c>
      <c r="K81">
        <v>11.5</v>
      </c>
      <c r="L81">
        <v>100</v>
      </c>
      <c r="M81" t="str">
        <f>IF(OR(I81="",J81="",L81=""),"Incomplete","Complete")</f>
        <v>Complete</v>
      </c>
      <c r="N81" t="str">
        <f>IF(M81="Incomplete","Not checked",IF(ROUND(I81*J81,2)=ROUND(L81,2),"Valid","Mismatch"))</f>
        <v>Valid</v>
      </c>
      <c r="O81">
        <f t="shared" si="3"/>
        <v>88.5</v>
      </c>
    </row>
    <row r="82" spans="1:15">
      <c r="A82">
        <v>1500</v>
      </c>
      <c r="B82" t="str">
        <f t="shared" si="2"/>
        <v>2022-04</v>
      </c>
      <c r="C82" s="1">
        <v>44671</v>
      </c>
      <c r="D82" s="5">
        <v>0.35833333333333334</v>
      </c>
      <c r="E82">
        <v>53</v>
      </c>
      <c r="F82" t="s">
        <v>14</v>
      </c>
      <c r="G82">
        <v>60</v>
      </c>
      <c r="H82" t="s">
        <v>13</v>
      </c>
      <c r="I82">
        <v>4</v>
      </c>
      <c r="J82" s="6">
        <v>25</v>
      </c>
      <c r="K82">
        <v>8.5</v>
      </c>
      <c r="L82">
        <v>100</v>
      </c>
      <c r="M82" t="str">
        <f>IF(OR(I82="",J82="",L82=""),"Incomplete","Complete")</f>
        <v>Complete</v>
      </c>
      <c r="N82" t="str">
        <f>IF(M82="Incomplete","Not checked",IF(ROUND(I82*J82,2)=ROUND(L82,2),"Valid","Mismatch"))</f>
        <v>Valid</v>
      </c>
      <c r="O82">
        <f t="shared" si="3"/>
        <v>91.5</v>
      </c>
    </row>
    <row r="83" spans="1:15">
      <c r="A83">
        <v>339</v>
      </c>
      <c r="B83" t="str">
        <f t="shared" si="2"/>
        <v>2022-08</v>
      </c>
      <c r="C83" s="1">
        <v>44791</v>
      </c>
      <c r="D83" s="5">
        <v>0.43541666666666667</v>
      </c>
      <c r="E83">
        <v>33</v>
      </c>
      <c r="F83" t="s">
        <v>14</v>
      </c>
      <c r="G83">
        <v>22</v>
      </c>
      <c r="H83" t="s">
        <v>15</v>
      </c>
      <c r="I83">
        <v>2</v>
      </c>
      <c r="J83" s="6">
        <v>25</v>
      </c>
      <c r="K83">
        <v>10.25</v>
      </c>
      <c r="L83">
        <v>50</v>
      </c>
      <c r="M83" t="str">
        <f>IF(OR(I83="",J83="",L83=""),"Incomplete","Complete")</f>
        <v>Complete</v>
      </c>
      <c r="N83" t="str">
        <f>IF(M83="Incomplete","Not checked",IF(ROUND(I83*J83,2)=ROUND(L83,2),"Valid","Mismatch"))</f>
        <v>Valid</v>
      </c>
      <c r="O83">
        <f t="shared" si="3"/>
        <v>39.75</v>
      </c>
    </row>
    <row r="84" spans="1:15">
      <c r="A84">
        <v>888</v>
      </c>
      <c r="B84" t="str">
        <f t="shared" si="2"/>
        <v>2022-12</v>
      </c>
      <c r="C84" s="1">
        <v>44896</v>
      </c>
      <c r="D84" s="5">
        <v>0.25208333333333333</v>
      </c>
      <c r="E84">
        <v>63</v>
      </c>
      <c r="F84" t="s">
        <v>14</v>
      </c>
      <c r="G84">
        <v>52</v>
      </c>
      <c r="H84" t="s">
        <v>15</v>
      </c>
      <c r="I84">
        <v>4</v>
      </c>
      <c r="J84" s="6">
        <v>25</v>
      </c>
      <c r="K84">
        <v>12.75</v>
      </c>
      <c r="L84">
        <v>100</v>
      </c>
      <c r="M84" t="str">
        <f>IF(OR(I84="",J84="",L84=""),"Incomplete","Complete")</f>
        <v>Complete</v>
      </c>
      <c r="N84" t="str">
        <f>IF(M84="Incomplete","Not checked",IF(ROUND(I84*J84,2)=ROUND(L84,2),"Valid","Mismatch"))</f>
        <v>Valid</v>
      </c>
      <c r="O84">
        <f t="shared" si="3"/>
        <v>87.25</v>
      </c>
    </row>
    <row r="85" spans="1:15">
      <c r="A85">
        <v>1339</v>
      </c>
      <c r="B85" t="str">
        <f t="shared" si="2"/>
        <v>2022-11</v>
      </c>
      <c r="C85" s="1">
        <v>44875</v>
      </c>
      <c r="D85" s="5">
        <v>0.44027777777777777</v>
      </c>
      <c r="E85">
        <v>132</v>
      </c>
      <c r="F85" t="s">
        <v>14</v>
      </c>
      <c r="G85">
        <v>22</v>
      </c>
      <c r="H85" t="s">
        <v>15</v>
      </c>
      <c r="I85">
        <v>2</v>
      </c>
      <c r="J85" s="6">
        <v>25</v>
      </c>
      <c r="K85">
        <v>7.5</v>
      </c>
      <c r="L85">
        <v>50</v>
      </c>
      <c r="M85" t="str">
        <f>IF(OR(I85="",J85="",L85=""),"Incomplete","Complete")</f>
        <v>Complete</v>
      </c>
      <c r="N85" t="str">
        <f>IF(M85="Incomplete","Not checked",IF(ROUND(I85*J85,2)=ROUND(L85,2),"Valid","Mismatch"))</f>
        <v>Valid</v>
      </c>
      <c r="O85">
        <f t="shared" si="3"/>
        <v>42.5</v>
      </c>
    </row>
    <row r="86" spans="1:15">
      <c r="A86">
        <v>1888</v>
      </c>
      <c r="B86" t="str">
        <f t="shared" si="2"/>
        <v>2022-06</v>
      </c>
      <c r="C86" s="1">
        <v>44726</v>
      </c>
      <c r="D86" s="5">
        <v>0.34027777777777779</v>
      </c>
      <c r="E86">
        <v>49</v>
      </c>
      <c r="F86" t="s">
        <v>14</v>
      </c>
      <c r="G86">
        <v>52</v>
      </c>
      <c r="H86" t="s">
        <v>15</v>
      </c>
      <c r="I86">
        <v>4</v>
      </c>
      <c r="J86" s="6">
        <v>25</v>
      </c>
      <c r="K86">
        <v>12.5</v>
      </c>
      <c r="L86">
        <v>100</v>
      </c>
      <c r="M86" t="str">
        <f>IF(OR(I86="",J86="",L86=""),"Incomplete","Complete")</f>
        <v>Complete</v>
      </c>
      <c r="N86" t="str">
        <f>IF(M86="Incomplete","Not checked",IF(ROUND(I86*J86,2)=ROUND(L86,2),"Valid","Mismatch"))</f>
        <v>Valid</v>
      </c>
      <c r="O86">
        <f t="shared" si="3"/>
        <v>87.5</v>
      </c>
    </row>
    <row r="87" spans="1:15">
      <c r="A87">
        <v>750</v>
      </c>
      <c r="B87" t="str">
        <f t="shared" si="2"/>
        <v>2022-11</v>
      </c>
      <c r="C87" s="1">
        <v>44878</v>
      </c>
      <c r="D87" s="5">
        <v>0.31458333333333333</v>
      </c>
      <c r="E87">
        <v>69</v>
      </c>
      <c r="F87" t="s">
        <v>14</v>
      </c>
      <c r="G87">
        <v>35</v>
      </c>
      <c r="H87" t="s">
        <v>12</v>
      </c>
      <c r="I87">
        <v>3</v>
      </c>
      <c r="J87" s="6">
        <v>25</v>
      </c>
      <c r="K87">
        <v>8.75</v>
      </c>
      <c r="L87">
        <v>75</v>
      </c>
      <c r="M87" t="str">
        <f>IF(OR(I87="",J87="",L87=""),"Incomplete","Complete")</f>
        <v>Complete</v>
      </c>
      <c r="N87" t="str">
        <f>IF(M87="Incomplete","Not checked",IF(ROUND(I87*J87,2)=ROUND(L87,2),"Valid","Mismatch"))</f>
        <v>Valid</v>
      </c>
      <c r="O87">
        <f t="shared" si="3"/>
        <v>66.25</v>
      </c>
    </row>
    <row r="88" spans="1:15">
      <c r="A88">
        <v>1750</v>
      </c>
      <c r="B88" t="str">
        <f t="shared" si="2"/>
        <v>2022-01</v>
      </c>
      <c r="C88" s="1">
        <v>44581</v>
      </c>
      <c r="D88" s="5">
        <v>0.4236111111111111</v>
      </c>
      <c r="E88">
        <v>138</v>
      </c>
      <c r="F88" t="s">
        <v>14</v>
      </c>
      <c r="G88">
        <v>35</v>
      </c>
      <c r="H88" t="s">
        <v>12</v>
      </c>
      <c r="I88">
        <v>3</v>
      </c>
      <c r="J88" s="6">
        <v>25</v>
      </c>
      <c r="K88">
        <v>7.25</v>
      </c>
      <c r="L88">
        <v>75</v>
      </c>
      <c r="M88" t="str">
        <f>IF(OR(I88="",J88="",L88=""),"Incomplete","Complete")</f>
        <v>Complete</v>
      </c>
      <c r="N88" t="str">
        <f>IF(M88="Incomplete","Not checked",IF(ROUND(I88*J88,2)=ROUND(L88,2),"Valid","Mismatch"))</f>
        <v>Valid</v>
      </c>
      <c r="O88">
        <f t="shared" si="3"/>
        <v>67.75</v>
      </c>
    </row>
    <row r="89" spans="1:15">
      <c r="A89">
        <v>705</v>
      </c>
      <c r="B89" t="str">
        <f t="shared" si="2"/>
        <v>2022-09</v>
      </c>
      <c r="C89" s="1">
        <v>44834</v>
      </c>
      <c r="D89" s="5">
        <v>0.31111111111111112</v>
      </c>
      <c r="E89">
        <v>37</v>
      </c>
      <c r="F89" t="s">
        <v>11</v>
      </c>
      <c r="G89">
        <v>60</v>
      </c>
      <c r="H89" t="s">
        <v>15</v>
      </c>
      <c r="I89">
        <v>2</v>
      </c>
      <c r="J89" s="6">
        <v>25</v>
      </c>
      <c r="K89">
        <v>6.25</v>
      </c>
      <c r="L89">
        <v>50</v>
      </c>
      <c r="M89" t="str">
        <f>IF(OR(I89="",J89="",L89=""),"Incomplete","Complete")</f>
        <v>Complete</v>
      </c>
      <c r="N89" t="str">
        <f>IF(M89="Incomplete","Not checked",IF(ROUND(I89*J89,2)=ROUND(L89,2),"Valid","Mismatch"))</f>
        <v>Valid</v>
      </c>
      <c r="O89">
        <f t="shared" si="3"/>
        <v>43.75</v>
      </c>
    </row>
    <row r="90" spans="1:15">
      <c r="A90">
        <v>1705</v>
      </c>
      <c r="B90" t="str">
        <f t="shared" si="2"/>
        <v>2022-08</v>
      </c>
      <c r="C90" s="1">
        <v>44787</v>
      </c>
      <c r="D90" s="5">
        <v>0.35555555555555557</v>
      </c>
      <c r="E90">
        <v>94</v>
      </c>
      <c r="F90" t="s">
        <v>11</v>
      </c>
      <c r="G90">
        <v>60</v>
      </c>
      <c r="H90" t="s">
        <v>15</v>
      </c>
      <c r="I90">
        <v>2</v>
      </c>
      <c r="J90" s="6">
        <v>25</v>
      </c>
      <c r="K90">
        <v>8.75</v>
      </c>
      <c r="L90">
        <v>50</v>
      </c>
      <c r="M90" t="str">
        <f>IF(OR(I90="",J90="",L90=""),"Incomplete","Complete")</f>
        <v>Complete</v>
      </c>
      <c r="N90" t="str">
        <f>IF(M90="Incomplete","Not checked",IF(ROUND(I90*J90,2)=ROUND(L90,2),"Valid","Mismatch"))</f>
        <v>Valid</v>
      </c>
      <c r="O90">
        <f t="shared" si="3"/>
        <v>41.25</v>
      </c>
    </row>
    <row r="91" spans="1:15">
      <c r="A91">
        <v>423</v>
      </c>
      <c r="B91" t="str">
        <f t="shared" si="2"/>
        <v>2022-07</v>
      </c>
      <c r="C91" s="1">
        <v>44760</v>
      </c>
      <c r="D91" s="5">
        <v>0.25416666666666665</v>
      </c>
      <c r="E91">
        <v>41</v>
      </c>
      <c r="F91" t="s">
        <v>14</v>
      </c>
      <c r="G91">
        <v>27</v>
      </c>
      <c r="H91" t="s">
        <v>12</v>
      </c>
      <c r="I91">
        <v>1</v>
      </c>
      <c r="J91" s="6">
        <v>25</v>
      </c>
      <c r="K91">
        <v>11.75</v>
      </c>
      <c r="L91">
        <v>25</v>
      </c>
      <c r="M91" t="str">
        <f>IF(OR(I91="",J91="",L91=""),"Incomplete","Complete")</f>
        <v>Complete</v>
      </c>
      <c r="N91" t="str">
        <f>IF(M91="Incomplete","Not checked",IF(ROUND(I91*J91,2)=ROUND(L91,2),"Valid","Mismatch"))</f>
        <v>Valid</v>
      </c>
      <c r="O91">
        <f t="shared" si="3"/>
        <v>13.25</v>
      </c>
    </row>
    <row r="92" spans="1:15">
      <c r="A92">
        <v>1423</v>
      </c>
      <c r="B92" t="str">
        <f t="shared" si="2"/>
        <v>2022-06</v>
      </c>
      <c r="C92" s="1">
        <v>44727</v>
      </c>
      <c r="D92" s="5">
        <v>0.33055555555555555</v>
      </c>
      <c r="E92">
        <v>131</v>
      </c>
      <c r="F92" t="s">
        <v>14</v>
      </c>
      <c r="G92">
        <v>27</v>
      </c>
      <c r="H92" t="s">
        <v>12</v>
      </c>
      <c r="I92">
        <v>1</v>
      </c>
      <c r="J92" s="6">
        <v>25</v>
      </c>
      <c r="K92">
        <v>11</v>
      </c>
      <c r="L92">
        <v>25</v>
      </c>
      <c r="M92" t="str">
        <f>IF(OR(I92="",J92="",L92=""),"Incomplete","Complete")</f>
        <v>Complete</v>
      </c>
      <c r="N92" t="str">
        <f>IF(M92="Incomplete","Not checked",IF(ROUND(I92*J92,2)=ROUND(L92,2),"Valid","Mismatch"))</f>
        <v>Valid</v>
      </c>
      <c r="O92">
        <f t="shared" si="3"/>
        <v>14</v>
      </c>
    </row>
    <row r="93" spans="1:15">
      <c r="A93">
        <v>360</v>
      </c>
      <c r="B93" t="str">
        <f t="shared" si="2"/>
        <v>2022-09</v>
      </c>
      <c r="C93" s="1">
        <v>44813</v>
      </c>
      <c r="D93" s="5">
        <v>0.37777777777777777</v>
      </c>
      <c r="E93">
        <v>26</v>
      </c>
      <c r="F93" t="s">
        <v>11</v>
      </c>
      <c r="G93">
        <v>42</v>
      </c>
      <c r="H93" t="s">
        <v>12</v>
      </c>
      <c r="I93">
        <v>4</v>
      </c>
      <c r="J93" s="6">
        <v>25</v>
      </c>
      <c r="K93">
        <v>10.5</v>
      </c>
      <c r="L93">
        <v>100</v>
      </c>
      <c r="M93" t="str">
        <f>IF(OR(I93="",J93="",L93=""),"Incomplete","Complete")</f>
        <v>Complete</v>
      </c>
      <c r="N93" t="str">
        <f>IF(M93="Incomplete","Not checked",IF(ROUND(I93*J93,2)=ROUND(L93,2),"Valid","Mismatch"))</f>
        <v>Valid</v>
      </c>
      <c r="O93">
        <f t="shared" si="3"/>
        <v>89.5</v>
      </c>
    </row>
    <row r="94" spans="1:15">
      <c r="A94">
        <v>1360</v>
      </c>
      <c r="B94" t="str">
        <f t="shared" si="2"/>
        <v>2022-06</v>
      </c>
      <c r="C94" s="1">
        <v>44730</v>
      </c>
      <c r="D94" s="5">
        <v>0.39652777777777776</v>
      </c>
      <c r="E94">
        <v>93</v>
      </c>
      <c r="F94" t="s">
        <v>11</v>
      </c>
      <c r="G94">
        <v>42</v>
      </c>
      <c r="H94" t="s">
        <v>12</v>
      </c>
      <c r="I94">
        <v>4</v>
      </c>
      <c r="J94" s="6">
        <v>25</v>
      </c>
      <c r="K94">
        <v>6.25</v>
      </c>
      <c r="L94">
        <v>100</v>
      </c>
      <c r="M94" t="str">
        <f>IF(OR(I94="",J94="",L94=""),"Incomplete","Complete")</f>
        <v>Complete</v>
      </c>
      <c r="N94" t="str">
        <f>IF(M94="Incomplete","Not checked",IF(ROUND(I94*J94,2)=ROUND(L94,2),"Valid","Mismatch"))</f>
        <v>Valid</v>
      </c>
      <c r="O94">
        <f t="shared" si="3"/>
        <v>93.75</v>
      </c>
    </row>
    <row r="95" spans="1:15">
      <c r="A95">
        <v>397</v>
      </c>
      <c r="B95" t="str">
        <f t="shared" si="2"/>
        <v>2023-10</v>
      </c>
      <c r="C95" s="1">
        <v>45225</v>
      </c>
      <c r="D95" s="5">
        <v>0.33750000000000002</v>
      </c>
      <c r="E95">
        <v>59</v>
      </c>
      <c r="F95" t="s">
        <v>14</v>
      </c>
      <c r="G95">
        <v>30</v>
      </c>
      <c r="H95" t="s">
        <v>13</v>
      </c>
      <c r="I95">
        <v>1</v>
      </c>
      <c r="J95" s="6">
        <v>25</v>
      </c>
      <c r="K95">
        <v>10.5</v>
      </c>
      <c r="L95">
        <v>25</v>
      </c>
      <c r="M95" t="str">
        <f>IF(OR(I95="",J95="",L95=""),"Incomplete","Complete")</f>
        <v>Complete</v>
      </c>
      <c r="N95" t="str">
        <f>IF(M95="Incomplete","Not checked",IF(ROUND(I95*J95,2)=ROUND(L95,2),"Valid","Mismatch"))</f>
        <v>Valid</v>
      </c>
      <c r="O95">
        <f t="shared" si="3"/>
        <v>14.5</v>
      </c>
    </row>
    <row r="96" spans="1:15">
      <c r="A96">
        <v>1397</v>
      </c>
      <c r="B96" t="str">
        <f t="shared" si="2"/>
        <v>2023-01</v>
      </c>
      <c r="C96" s="1">
        <v>44927</v>
      </c>
      <c r="D96" s="5">
        <v>0.46180555555555558</v>
      </c>
      <c r="E96">
        <v>6</v>
      </c>
      <c r="F96" t="s">
        <v>14</v>
      </c>
      <c r="G96">
        <v>30</v>
      </c>
      <c r="H96" t="s">
        <v>13</v>
      </c>
      <c r="I96">
        <v>1</v>
      </c>
      <c r="J96" s="6">
        <v>25</v>
      </c>
      <c r="K96">
        <v>11.75</v>
      </c>
      <c r="L96">
        <v>25</v>
      </c>
      <c r="M96" t="str">
        <f>IF(OR(I96="",J96="",L96=""),"Incomplete","Complete")</f>
        <v>Complete</v>
      </c>
      <c r="N96" t="str">
        <f>IF(M96="Incomplete","Not checked",IF(ROUND(I96*J96,2)=ROUND(L96,2),"Valid","Mismatch"))</f>
        <v>Valid</v>
      </c>
      <c r="O96">
        <f t="shared" si="3"/>
        <v>13.25</v>
      </c>
    </row>
    <row r="97" spans="1:15">
      <c r="A97">
        <v>658</v>
      </c>
      <c r="B97" t="str">
        <f t="shared" si="2"/>
        <v>2023-10</v>
      </c>
      <c r="C97" s="1">
        <v>45229</v>
      </c>
      <c r="D97" s="5">
        <v>0.32430555555555557</v>
      </c>
      <c r="E97">
        <v>93</v>
      </c>
      <c r="F97" t="s">
        <v>11</v>
      </c>
      <c r="G97">
        <v>59</v>
      </c>
      <c r="H97" t="s">
        <v>12</v>
      </c>
      <c r="I97">
        <v>1</v>
      </c>
      <c r="J97" s="6">
        <v>25</v>
      </c>
      <c r="K97">
        <v>6.5</v>
      </c>
      <c r="L97">
        <v>25</v>
      </c>
      <c r="M97" t="str">
        <f>IF(OR(I97="",J97="",L97=""),"Incomplete","Complete")</f>
        <v>Complete</v>
      </c>
      <c r="N97" t="str">
        <f>IF(M97="Incomplete","Not checked",IF(ROUND(I97*J97,2)=ROUND(L97,2),"Valid","Mismatch"))</f>
        <v>Valid</v>
      </c>
      <c r="O97">
        <f t="shared" si="3"/>
        <v>18.5</v>
      </c>
    </row>
    <row r="98" spans="1:15">
      <c r="A98">
        <v>1658</v>
      </c>
      <c r="B98" t="str">
        <f t="shared" si="2"/>
        <v>2023-04</v>
      </c>
      <c r="C98" s="1">
        <v>45026</v>
      </c>
      <c r="D98" s="5">
        <v>0.25555555555555554</v>
      </c>
      <c r="E98">
        <v>148</v>
      </c>
      <c r="F98" t="s">
        <v>11</v>
      </c>
      <c r="G98">
        <v>59</v>
      </c>
      <c r="H98" t="s">
        <v>12</v>
      </c>
      <c r="I98">
        <v>1</v>
      </c>
      <c r="J98" s="6">
        <v>25</v>
      </c>
      <c r="K98">
        <v>12.25</v>
      </c>
      <c r="L98">
        <v>25</v>
      </c>
      <c r="M98" t="str">
        <f>IF(OR(I98="",J98="",L98=""),"Incomplete","Complete")</f>
        <v>Complete</v>
      </c>
      <c r="N98" t="str">
        <f>IF(M98="Incomplete","Not checked",IF(ROUND(I98*J98,2)=ROUND(L98,2),"Valid","Mismatch"))</f>
        <v>Valid</v>
      </c>
      <c r="O98">
        <f t="shared" si="3"/>
        <v>12.75</v>
      </c>
    </row>
    <row r="99" spans="1:15">
      <c r="A99">
        <v>7</v>
      </c>
      <c r="B99" t="str">
        <f t="shared" si="2"/>
        <v>2023-07</v>
      </c>
      <c r="C99" s="1">
        <v>45113</v>
      </c>
      <c r="D99" s="5">
        <v>0.26666666666666666</v>
      </c>
      <c r="E99">
        <v>38</v>
      </c>
      <c r="F99" t="s">
        <v>11</v>
      </c>
      <c r="G99">
        <v>46</v>
      </c>
      <c r="H99" t="s">
        <v>12</v>
      </c>
      <c r="I99">
        <v>2</v>
      </c>
      <c r="J99" s="6">
        <v>25</v>
      </c>
      <c r="K99">
        <v>13.25</v>
      </c>
      <c r="L99">
        <v>50</v>
      </c>
      <c r="M99" t="str">
        <f>IF(OR(I99="",J99="",L99=""),"Incomplete","Complete")</f>
        <v>Complete</v>
      </c>
      <c r="N99" t="str">
        <f>IF(M99="Incomplete","Not checked",IF(ROUND(I99*J99,2)=ROUND(L99,2),"Valid","Mismatch"))</f>
        <v>Valid</v>
      </c>
      <c r="O99">
        <f t="shared" si="3"/>
        <v>36.75</v>
      </c>
    </row>
    <row r="100" spans="1:15">
      <c r="A100">
        <v>278</v>
      </c>
      <c r="B100" t="str">
        <f t="shared" si="2"/>
        <v>2023-12</v>
      </c>
      <c r="C100" s="1">
        <v>45282</v>
      </c>
      <c r="D100" s="5">
        <v>0.48749999999999999</v>
      </c>
      <c r="E100">
        <v>71</v>
      </c>
      <c r="F100" t="s">
        <v>14</v>
      </c>
      <c r="G100">
        <v>37</v>
      </c>
      <c r="H100" t="s">
        <v>12</v>
      </c>
      <c r="I100">
        <v>4</v>
      </c>
      <c r="J100" s="6">
        <v>25</v>
      </c>
      <c r="K100">
        <v>13.5</v>
      </c>
      <c r="L100">
        <v>100</v>
      </c>
      <c r="M100" t="str">
        <f>IF(OR(I100="",J100="",L100=""),"Incomplete","Complete")</f>
        <v>Complete</v>
      </c>
      <c r="N100" t="str">
        <f>IF(M100="Incomplete","Not checked",IF(ROUND(I100*J100,2)=ROUND(L100,2),"Valid","Mismatch"))</f>
        <v>Valid</v>
      </c>
      <c r="O100">
        <f t="shared" si="3"/>
        <v>86.5</v>
      </c>
    </row>
    <row r="101" spans="1:15">
      <c r="A101">
        <v>1007</v>
      </c>
      <c r="B101" t="str">
        <f t="shared" si="2"/>
        <v>2023-06</v>
      </c>
      <c r="C101" s="1">
        <v>45086</v>
      </c>
      <c r="D101" s="5">
        <v>0.42291666666666666</v>
      </c>
      <c r="E101">
        <v>15</v>
      </c>
      <c r="F101" t="s">
        <v>11</v>
      </c>
      <c r="G101">
        <v>46</v>
      </c>
      <c r="H101" t="s">
        <v>12</v>
      </c>
      <c r="I101">
        <v>2</v>
      </c>
      <c r="J101" s="6">
        <v>25</v>
      </c>
      <c r="K101">
        <v>11.5</v>
      </c>
      <c r="L101">
        <v>50</v>
      </c>
      <c r="M101" t="str">
        <f>IF(OR(I101="",J101="",L101=""),"Incomplete","Complete")</f>
        <v>Complete</v>
      </c>
      <c r="N101" t="str">
        <f>IF(M101="Incomplete","Not checked",IF(ROUND(I101*J101,2)=ROUND(L101,2),"Valid","Mismatch"))</f>
        <v>Valid</v>
      </c>
      <c r="O101">
        <f t="shared" si="3"/>
        <v>38.5</v>
      </c>
    </row>
    <row r="102" spans="1:15">
      <c r="A102">
        <v>1278</v>
      </c>
      <c r="B102" t="str">
        <f t="shared" si="2"/>
        <v>2023-07</v>
      </c>
      <c r="C102" s="1">
        <v>45126</v>
      </c>
      <c r="D102" s="5">
        <v>0.26319444444444445</v>
      </c>
      <c r="E102">
        <v>28</v>
      </c>
      <c r="F102" t="s">
        <v>14</v>
      </c>
      <c r="G102">
        <v>37</v>
      </c>
      <c r="H102" t="s">
        <v>12</v>
      </c>
      <c r="I102">
        <v>4</v>
      </c>
      <c r="J102" s="6">
        <v>25</v>
      </c>
      <c r="K102">
        <v>6.75</v>
      </c>
      <c r="L102">
        <v>100</v>
      </c>
      <c r="M102" t="str">
        <f>IF(OR(I102="",J102="",L102=""),"Incomplete","Complete")</f>
        <v>Complete</v>
      </c>
      <c r="N102" t="str">
        <f>IF(M102="Incomplete","Not checked",IF(ROUND(I102*J102,2)=ROUND(L102,2),"Valid","Mismatch"))</f>
        <v>Valid</v>
      </c>
      <c r="O102">
        <f t="shared" si="3"/>
        <v>93.25</v>
      </c>
    </row>
    <row r="103" spans="1:15">
      <c r="A103">
        <v>442</v>
      </c>
      <c r="B103" t="str">
        <f t="shared" si="2"/>
        <v>2023-06</v>
      </c>
      <c r="C103" s="1">
        <v>45107</v>
      </c>
      <c r="D103" s="5">
        <v>0.46319444444444446</v>
      </c>
      <c r="E103">
        <v>24</v>
      </c>
      <c r="F103" t="s">
        <v>14</v>
      </c>
      <c r="G103">
        <v>60</v>
      </c>
      <c r="H103" t="s">
        <v>12</v>
      </c>
      <c r="I103">
        <v>4</v>
      </c>
      <c r="J103" s="6">
        <v>25</v>
      </c>
      <c r="K103">
        <v>13.25</v>
      </c>
      <c r="L103">
        <v>100</v>
      </c>
      <c r="M103" t="str">
        <f>IF(OR(I103="",J103="",L103=""),"Incomplete","Complete")</f>
        <v>Complete</v>
      </c>
      <c r="N103" t="str">
        <f>IF(M103="Incomplete","Not checked",IF(ROUND(I103*J103,2)=ROUND(L103,2),"Valid","Mismatch"))</f>
        <v>Valid</v>
      </c>
      <c r="O103">
        <f t="shared" si="3"/>
        <v>86.75</v>
      </c>
    </row>
    <row r="104" spans="1:15">
      <c r="A104">
        <v>607</v>
      </c>
      <c r="B104" t="str">
        <f t="shared" si="2"/>
        <v>2023-05</v>
      </c>
      <c r="C104" s="1">
        <v>45051</v>
      </c>
      <c r="D104" s="5">
        <v>0.39791666666666664</v>
      </c>
      <c r="E104">
        <v>109</v>
      </c>
      <c r="F104" t="s">
        <v>11</v>
      </c>
      <c r="G104">
        <v>54</v>
      </c>
      <c r="H104" t="s">
        <v>12</v>
      </c>
      <c r="I104">
        <v>3</v>
      </c>
      <c r="J104" s="6">
        <v>25</v>
      </c>
      <c r="K104">
        <v>13.25</v>
      </c>
      <c r="L104">
        <v>75</v>
      </c>
      <c r="M104" t="str">
        <f>IF(OR(I104="",J104="",L104=""),"Incomplete","Complete")</f>
        <v>Complete</v>
      </c>
      <c r="N104" t="str">
        <f>IF(M104="Incomplete","Not checked",IF(ROUND(I104*J104,2)=ROUND(L104,2),"Valid","Mismatch"))</f>
        <v>Valid</v>
      </c>
      <c r="O104">
        <f t="shared" si="3"/>
        <v>61.75</v>
      </c>
    </row>
    <row r="105" spans="1:15">
      <c r="A105">
        <v>1442</v>
      </c>
      <c r="B105" t="str">
        <f t="shared" si="2"/>
        <v>2023-02</v>
      </c>
      <c r="C105" s="1">
        <v>44973</v>
      </c>
      <c r="D105" s="5">
        <v>0.4597222222222222</v>
      </c>
      <c r="E105">
        <v>96</v>
      </c>
      <c r="F105" t="s">
        <v>14</v>
      </c>
      <c r="G105">
        <v>60</v>
      </c>
      <c r="H105" t="s">
        <v>12</v>
      </c>
      <c r="I105">
        <v>4</v>
      </c>
      <c r="J105" s="6">
        <v>25</v>
      </c>
      <c r="K105">
        <v>11.25</v>
      </c>
      <c r="L105">
        <v>100</v>
      </c>
      <c r="M105" t="str">
        <f>IF(OR(I105="",J105="",L105=""),"Incomplete","Complete")</f>
        <v>Complete</v>
      </c>
      <c r="N105" t="str">
        <f>IF(M105="Incomplete","Not checked",IF(ROUND(I105*J105,2)=ROUND(L105,2),"Valid","Mismatch"))</f>
        <v>Valid</v>
      </c>
      <c r="O105">
        <f t="shared" si="3"/>
        <v>88.75</v>
      </c>
    </row>
    <row r="106" spans="1:15">
      <c r="A106">
        <v>1607</v>
      </c>
      <c r="B106" t="str">
        <f t="shared" si="2"/>
        <v>2023-01</v>
      </c>
      <c r="C106" s="1">
        <v>44942</v>
      </c>
      <c r="D106" s="5">
        <v>0.42916666666666664</v>
      </c>
      <c r="E106">
        <v>53</v>
      </c>
      <c r="F106" t="s">
        <v>11</v>
      </c>
      <c r="G106">
        <v>54</v>
      </c>
      <c r="H106" t="s">
        <v>12</v>
      </c>
      <c r="I106">
        <v>3</v>
      </c>
      <c r="J106" s="6">
        <v>25</v>
      </c>
      <c r="K106">
        <v>7.75</v>
      </c>
      <c r="L106">
        <v>75</v>
      </c>
      <c r="M106" t="str">
        <f>IF(OR(I106="",J106="",L106=""),"Incomplete","Complete")</f>
        <v>Complete</v>
      </c>
      <c r="N106" t="str">
        <f>IF(M106="Incomplete","Not checked",IF(ROUND(I106*J106,2)=ROUND(L106,2),"Valid","Mismatch"))</f>
        <v>Valid</v>
      </c>
      <c r="O106">
        <f t="shared" si="3"/>
        <v>67.25</v>
      </c>
    </row>
    <row r="107" spans="1:15">
      <c r="A107">
        <v>941</v>
      </c>
      <c r="B107" t="str">
        <f t="shared" si="2"/>
        <v>2023-04</v>
      </c>
      <c r="C107" s="1">
        <v>45044</v>
      </c>
      <c r="D107" s="5">
        <v>0.4152777777777778</v>
      </c>
      <c r="E107">
        <v>39</v>
      </c>
      <c r="F107" t="s">
        <v>14</v>
      </c>
      <c r="G107">
        <v>57</v>
      </c>
      <c r="H107" t="s">
        <v>12</v>
      </c>
      <c r="I107">
        <v>2</v>
      </c>
      <c r="J107" s="6">
        <v>25</v>
      </c>
      <c r="K107">
        <v>6.5</v>
      </c>
      <c r="L107">
        <v>50</v>
      </c>
      <c r="M107" t="str">
        <f>IF(OR(I107="",J107="",L107=""),"Incomplete","Complete")</f>
        <v>Complete</v>
      </c>
      <c r="N107" t="str">
        <f>IF(M107="Incomplete","Not checked",IF(ROUND(I107*J107,2)=ROUND(L107,2),"Valid","Mismatch"))</f>
        <v>Valid</v>
      </c>
      <c r="O107">
        <f t="shared" si="3"/>
        <v>43.5</v>
      </c>
    </row>
    <row r="108" spans="1:15">
      <c r="A108">
        <v>1941</v>
      </c>
      <c r="B108" t="str">
        <f t="shared" si="2"/>
        <v>2023-01</v>
      </c>
      <c r="C108" s="1">
        <v>44932</v>
      </c>
      <c r="D108" s="5">
        <v>0.25972222222222224</v>
      </c>
      <c r="E108">
        <v>48</v>
      </c>
      <c r="F108" t="s">
        <v>14</v>
      </c>
      <c r="G108">
        <v>57</v>
      </c>
      <c r="H108" t="s">
        <v>12</v>
      </c>
      <c r="I108">
        <v>2</v>
      </c>
      <c r="J108" s="6">
        <v>25</v>
      </c>
      <c r="K108">
        <v>12</v>
      </c>
      <c r="L108">
        <v>50</v>
      </c>
      <c r="M108" t="str">
        <f>IF(OR(I108="",J108="",L108=""),"Incomplete","Complete")</f>
        <v>Complete</v>
      </c>
      <c r="N108" t="str">
        <f>IF(M108="Incomplete","Not checked",IF(ROUND(I108*J108,2)=ROUND(L108,2),"Valid","Mismatch"))</f>
        <v>Valid</v>
      </c>
      <c r="O108">
        <f t="shared" si="3"/>
        <v>38</v>
      </c>
    </row>
    <row r="109" spans="1:15">
      <c r="A109">
        <v>175</v>
      </c>
      <c r="B109" t="str">
        <f t="shared" si="2"/>
        <v>2023-01</v>
      </c>
      <c r="C109" s="1">
        <v>44951</v>
      </c>
      <c r="D109" s="5">
        <v>0.41805555555555557</v>
      </c>
      <c r="E109">
        <v>23</v>
      </c>
      <c r="F109" t="s">
        <v>14</v>
      </c>
      <c r="G109">
        <v>31</v>
      </c>
      <c r="H109" t="s">
        <v>15</v>
      </c>
      <c r="I109">
        <v>4</v>
      </c>
      <c r="J109" s="6">
        <v>25</v>
      </c>
      <c r="K109">
        <v>12.5</v>
      </c>
      <c r="L109">
        <v>100</v>
      </c>
      <c r="M109" t="str">
        <f>IF(OR(I109="",J109="",L109=""),"Incomplete","Complete")</f>
        <v>Complete</v>
      </c>
      <c r="N109" t="str">
        <f>IF(M109="Incomplete","Not checked",IF(ROUND(I109*J109,2)=ROUND(L109,2),"Valid","Mismatch"))</f>
        <v>Valid</v>
      </c>
      <c r="O109">
        <f t="shared" si="3"/>
        <v>87.5</v>
      </c>
    </row>
    <row r="110" spans="1:15">
      <c r="A110">
        <v>1175</v>
      </c>
      <c r="B110" t="str">
        <f t="shared" si="2"/>
        <v>2023-06</v>
      </c>
      <c r="C110" s="1">
        <v>45079</v>
      </c>
      <c r="D110" s="5">
        <v>0.27638888888888891</v>
      </c>
      <c r="E110">
        <v>103</v>
      </c>
      <c r="F110" t="s">
        <v>14</v>
      </c>
      <c r="G110">
        <v>31</v>
      </c>
      <c r="H110" t="s">
        <v>15</v>
      </c>
      <c r="I110">
        <v>4</v>
      </c>
      <c r="J110" s="6">
        <v>25</v>
      </c>
      <c r="K110">
        <v>11.5</v>
      </c>
      <c r="L110">
        <v>100</v>
      </c>
      <c r="M110" t="str">
        <f>IF(OR(I110="",J110="",L110=""),"Incomplete","Complete")</f>
        <v>Complete</v>
      </c>
      <c r="N110" t="str">
        <f>IF(M110="Incomplete","Not checked",IF(ROUND(I110*J110,2)=ROUND(L110,2),"Valid","Mismatch"))</f>
        <v>Valid</v>
      </c>
      <c r="O110">
        <f t="shared" si="3"/>
        <v>88.5</v>
      </c>
    </row>
    <row r="111" spans="1:15">
      <c r="A111">
        <v>764</v>
      </c>
      <c r="B111" t="str">
        <f t="shared" si="2"/>
        <v>2023-11</v>
      </c>
      <c r="C111" s="1">
        <v>45237</v>
      </c>
      <c r="D111" s="5">
        <v>0.36527777777777776</v>
      </c>
      <c r="E111">
        <v>47</v>
      </c>
      <c r="F111" t="s">
        <v>14</v>
      </c>
      <c r="G111">
        <v>40</v>
      </c>
      <c r="H111" t="s">
        <v>12</v>
      </c>
      <c r="I111">
        <v>1</v>
      </c>
      <c r="J111" s="6">
        <v>25</v>
      </c>
      <c r="K111">
        <v>11.25</v>
      </c>
      <c r="L111">
        <v>25</v>
      </c>
      <c r="M111" t="str">
        <f>IF(OR(I111="",J111="",L111=""),"Incomplete","Complete")</f>
        <v>Complete</v>
      </c>
      <c r="N111" t="str">
        <f>IF(M111="Incomplete","Not checked",IF(ROUND(I111*J111,2)=ROUND(L111,2),"Valid","Mismatch"))</f>
        <v>Valid</v>
      </c>
      <c r="O111">
        <f t="shared" si="3"/>
        <v>13.75</v>
      </c>
    </row>
    <row r="112" spans="1:15">
      <c r="A112">
        <v>1764</v>
      </c>
      <c r="B112" t="str">
        <f t="shared" si="2"/>
        <v>2023-11</v>
      </c>
      <c r="C112" s="1">
        <v>45232</v>
      </c>
      <c r="D112" s="5">
        <v>0.46111111111111114</v>
      </c>
      <c r="E112">
        <v>13</v>
      </c>
      <c r="F112" t="s">
        <v>14</v>
      </c>
      <c r="G112">
        <v>40</v>
      </c>
      <c r="H112" t="s">
        <v>12</v>
      </c>
      <c r="I112">
        <v>1</v>
      </c>
      <c r="J112" s="6">
        <v>25</v>
      </c>
      <c r="K112">
        <v>11.75</v>
      </c>
      <c r="L112">
        <v>25</v>
      </c>
      <c r="M112" t="str">
        <f>IF(OR(I112="",J112="",L112=""),"Incomplete","Complete")</f>
        <v>Complete</v>
      </c>
      <c r="N112" t="str">
        <f>IF(M112="Incomplete","Not checked",IF(ROUND(I112*J112,2)=ROUND(L112,2),"Valid","Mismatch"))</f>
        <v>Valid</v>
      </c>
      <c r="O112">
        <f t="shared" si="3"/>
        <v>13.25</v>
      </c>
    </row>
    <row r="113" spans="1:15">
      <c r="A113">
        <v>517</v>
      </c>
      <c r="B113" t="str">
        <f t="shared" si="2"/>
        <v>2023-08</v>
      </c>
      <c r="C113" s="1">
        <v>45158</v>
      </c>
      <c r="D113" s="5">
        <v>0.37083333333333335</v>
      </c>
      <c r="E113">
        <v>3</v>
      </c>
      <c r="F113" t="s">
        <v>14</v>
      </c>
      <c r="G113">
        <v>47</v>
      </c>
      <c r="H113" t="s">
        <v>12</v>
      </c>
      <c r="I113">
        <v>4</v>
      </c>
      <c r="J113" s="6">
        <v>25</v>
      </c>
      <c r="K113">
        <v>9.25</v>
      </c>
      <c r="L113">
        <v>100</v>
      </c>
      <c r="M113" t="str">
        <f>IF(OR(I113="",J113="",L113=""),"Incomplete","Complete")</f>
        <v>Complete</v>
      </c>
      <c r="N113" t="str">
        <f>IF(M113="Incomplete","Not checked",IF(ROUND(I113*J113,2)=ROUND(L113,2),"Valid","Mismatch"))</f>
        <v>Valid</v>
      </c>
      <c r="O113">
        <f t="shared" si="3"/>
        <v>90.75</v>
      </c>
    </row>
    <row r="114" spans="1:15">
      <c r="A114">
        <v>1517</v>
      </c>
      <c r="B114" t="str">
        <f t="shared" si="2"/>
        <v>2023-02</v>
      </c>
      <c r="C114" s="1">
        <v>44978</v>
      </c>
      <c r="D114" s="5">
        <v>0.36527777777777776</v>
      </c>
      <c r="E114">
        <v>2</v>
      </c>
      <c r="F114" t="s">
        <v>14</v>
      </c>
      <c r="G114">
        <v>47</v>
      </c>
      <c r="H114" t="s">
        <v>12</v>
      </c>
      <c r="I114">
        <v>4</v>
      </c>
      <c r="J114" s="6">
        <v>25</v>
      </c>
      <c r="K114">
        <v>6.75</v>
      </c>
      <c r="L114">
        <v>100</v>
      </c>
      <c r="M114" t="str">
        <f>IF(OR(I114="",J114="",L114=""),"Incomplete","Complete")</f>
        <v>Complete</v>
      </c>
      <c r="N114" t="str">
        <f>IF(M114="Incomplete","Not checked",IF(ROUND(I114*J114,2)=ROUND(L114,2),"Valid","Mismatch"))</f>
        <v>Valid</v>
      </c>
      <c r="O114">
        <f t="shared" si="3"/>
        <v>93.25</v>
      </c>
    </row>
    <row r="115" spans="1:15">
      <c r="A115">
        <v>486</v>
      </c>
      <c r="B115" t="str">
        <f t="shared" si="2"/>
        <v>2023-12</v>
      </c>
      <c r="C115" s="1">
        <v>45262</v>
      </c>
      <c r="D115" s="5">
        <v>0.40763888888888888</v>
      </c>
      <c r="E115">
        <v>4</v>
      </c>
      <c r="F115" t="s">
        <v>14</v>
      </c>
      <c r="G115">
        <v>35</v>
      </c>
      <c r="H115" t="s">
        <v>15</v>
      </c>
      <c r="I115">
        <v>1</v>
      </c>
      <c r="J115" s="6">
        <v>25</v>
      </c>
      <c r="K115">
        <v>6.5</v>
      </c>
      <c r="L115">
        <v>25</v>
      </c>
      <c r="M115" t="str">
        <f>IF(OR(I115="",J115="",L115=""),"Incomplete","Complete")</f>
        <v>Complete</v>
      </c>
      <c r="N115" t="str">
        <f>IF(M115="Incomplete","Not checked",IF(ROUND(I115*J115,2)=ROUND(L115,2),"Valid","Mismatch"))</f>
        <v>Valid</v>
      </c>
      <c r="O115">
        <f t="shared" si="3"/>
        <v>18.5</v>
      </c>
    </row>
    <row r="116" spans="1:15">
      <c r="A116">
        <v>1486</v>
      </c>
      <c r="B116" t="str">
        <f t="shared" si="2"/>
        <v>2023-11</v>
      </c>
      <c r="C116" s="1">
        <v>45252</v>
      </c>
      <c r="D116" s="5">
        <v>0.37361111111111112</v>
      </c>
      <c r="E116">
        <v>4</v>
      </c>
      <c r="F116" t="s">
        <v>14</v>
      </c>
      <c r="G116">
        <v>35</v>
      </c>
      <c r="H116" t="s">
        <v>15</v>
      </c>
      <c r="I116">
        <v>1</v>
      </c>
      <c r="J116" s="6">
        <v>25</v>
      </c>
      <c r="K116">
        <v>8.75</v>
      </c>
      <c r="L116">
        <v>25</v>
      </c>
      <c r="M116" t="str">
        <f>IF(OR(I116="",J116="",L116=""),"Incomplete","Complete")</f>
        <v>Complete</v>
      </c>
      <c r="N116" t="str">
        <f>IF(M116="Incomplete","Not checked",IF(ROUND(I116*J116,2)=ROUND(L116,2),"Valid","Mismatch"))</f>
        <v>Valid</v>
      </c>
      <c r="O116">
        <f t="shared" si="3"/>
        <v>16.25</v>
      </c>
    </row>
    <row r="117" spans="1:15">
      <c r="A117">
        <v>527</v>
      </c>
      <c r="B117" t="str">
        <f t="shared" si="2"/>
        <v>2023-04</v>
      </c>
      <c r="C117" s="1">
        <v>45037</v>
      </c>
      <c r="D117" s="5">
        <v>0.4826388888888889</v>
      </c>
      <c r="E117">
        <v>1</v>
      </c>
      <c r="F117" t="s">
        <v>11</v>
      </c>
      <c r="G117">
        <v>57</v>
      </c>
      <c r="H117" t="s">
        <v>12</v>
      </c>
      <c r="I117">
        <v>2</v>
      </c>
      <c r="J117" s="6">
        <v>25</v>
      </c>
      <c r="K117">
        <v>11.5</v>
      </c>
      <c r="L117">
        <v>50</v>
      </c>
      <c r="M117" t="str">
        <f>IF(OR(I117="",J117="",L117=""),"Incomplete","Complete")</f>
        <v>Complete</v>
      </c>
      <c r="N117" t="str">
        <f>IF(M117="Incomplete","Not checked",IF(ROUND(I117*J117,2)=ROUND(L117,2),"Valid","Mismatch"))</f>
        <v>Valid</v>
      </c>
      <c r="O117">
        <f t="shared" si="3"/>
        <v>38.5</v>
      </c>
    </row>
    <row r="118" spans="1:15">
      <c r="A118">
        <v>1527</v>
      </c>
      <c r="B118" t="str">
        <f t="shared" si="2"/>
        <v>2023-09</v>
      </c>
      <c r="C118" s="1">
        <v>45198</v>
      </c>
      <c r="D118" s="5">
        <v>0.35416666666666669</v>
      </c>
      <c r="E118">
        <v>1</v>
      </c>
      <c r="F118" t="s">
        <v>11</v>
      </c>
      <c r="G118">
        <v>57</v>
      </c>
      <c r="H118" t="s">
        <v>12</v>
      </c>
      <c r="I118">
        <v>2</v>
      </c>
      <c r="J118" s="6">
        <v>25</v>
      </c>
      <c r="K118">
        <v>11.75</v>
      </c>
      <c r="L118">
        <v>50</v>
      </c>
      <c r="M118" t="str">
        <f>IF(OR(I118="",J118="",L118=""),"Incomplete","Complete")</f>
        <v>Complete</v>
      </c>
      <c r="N118" t="str">
        <f>IF(M118="Incomplete","Not checked",IF(ROUND(I118*J118,2)=ROUND(L118,2),"Valid","Mismatch"))</f>
        <v>Valid</v>
      </c>
      <c r="O118">
        <f t="shared" si="3"/>
        <v>38.25</v>
      </c>
    </row>
    <row r="119" spans="1:15">
      <c r="A119">
        <v>774</v>
      </c>
      <c r="B119" t="str">
        <f t="shared" si="2"/>
        <v>2023-11</v>
      </c>
      <c r="C119" s="1">
        <v>45236</v>
      </c>
      <c r="D119" s="5">
        <v>0.37777777777777777</v>
      </c>
      <c r="E119">
        <v>2</v>
      </c>
      <c r="F119" t="s">
        <v>14</v>
      </c>
      <c r="G119">
        <v>40</v>
      </c>
      <c r="H119" t="s">
        <v>12</v>
      </c>
      <c r="I119">
        <v>2</v>
      </c>
      <c r="J119" s="6">
        <v>25</v>
      </c>
      <c r="K119">
        <v>6.5</v>
      </c>
      <c r="L119">
        <v>50</v>
      </c>
      <c r="M119" t="str">
        <f>IF(OR(I119="",J119="",L119=""),"Incomplete","Complete")</f>
        <v>Complete</v>
      </c>
      <c r="N119" t="str">
        <f>IF(M119="Incomplete","Not checked",IF(ROUND(I119*J119,2)=ROUND(L119,2),"Valid","Mismatch"))</f>
        <v>Valid</v>
      </c>
      <c r="O119">
        <f t="shared" si="3"/>
        <v>43.5</v>
      </c>
    </row>
    <row r="120" spans="1:15">
      <c r="A120">
        <v>1774</v>
      </c>
      <c r="B120" t="str">
        <f t="shared" si="2"/>
        <v>2023-03</v>
      </c>
      <c r="C120" s="1">
        <v>44994</v>
      </c>
      <c r="D120" s="5">
        <v>0.28333333333333333</v>
      </c>
      <c r="E120">
        <v>2</v>
      </c>
      <c r="F120" t="s">
        <v>14</v>
      </c>
      <c r="G120">
        <v>40</v>
      </c>
      <c r="H120" t="s">
        <v>12</v>
      </c>
      <c r="I120">
        <v>2</v>
      </c>
      <c r="J120" s="6">
        <v>25</v>
      </c>
      <c r="K120">
        <v>8</v>
      </c>
      <c r="L120">
        <v>50</v>
      </c>
      <c r="M120" t="str">
        <f>IF(OR(I120="",J120="",L120=""),"Incomplete","Complete")</f>
        <v>Complete</v>
      </c>
      <c r="N120" t="str">
        <f>IF(M120="Incomplete","Not checked",IF(ROUND(I120*J120,2)=ROUND(L120,2),"Valid","Mismatch"))</f>
        <v>Valid</v>
      </c>
      <c r="O120">
        <f t="shared" si="3"/>
        <v>42</v>
      </c>
    </row>
    <row r="121" spans="1:15">
      <c r="A121">
        <v>967</v>
      </c>
      <c r="B121" t="str">
        <f t="shared" si="2"/>
        <v>2023-08</v>
      </c>
      <c r="C121" s="1">
        <v>45142</v>
      </c>
      <c r="D121" s="5">
        <v>0.42569444444444443</v>
      </c>
      <c r="E121">
        <v>4</v>
      </c>
      <c r="F121" t="s">
        <v>11</v>
      </c>
      <c r="G121">
        <v>62</v>
      </c>
      <c r="H121" t="s">
        <v>13</v>
      </c>
      <c r="I121">
        <v>1</v>
      </c>
      <c r="J121" s="6">
        <v>25</v>
      </c>
      <c r="K121">
        <v>13.25</v>
      </c>
      <c r="L121">
        <v>25</v>
      </c>
      <c r="M121" t="str">
        <f>IF(OR(I121="",J121="",L121=""),"Incomplete","Complete")</f>
        <v>Complete</v>
      </c>
      <c r="N121" t="str">
        <f>IF(M121="Incomplete","Not checked",IF(ROUND(I121*J121,2)=ROUND(L121,2),"Valid","Mismatch"))</f>
        <v>Valid</v>
      </c>
      <c r="O121">
        <f t="shared" si="3"/>
        <v>11.75</v>
      </c>
    </row>
    <row r="122" spans="1:15">
      <c r="A122">
        <v>1967</v>
      </c>
      <c r="B122" t="str">
        <f t="shared" si="2"/>
        <v>2023-02</v>
      </c>
      <c r="C122" s="1">
        <v>44980</v>
      </c>
      <c r="D122" s="5">
        <v>0.3527777777777778</v>
      </c>
      <c r="E122">
        <v>4</v>
      </c>
      <c r="F122" t="s">
        <v>11</v>
      </c>
      <c r="G122">
        <v>62</v>
      </c>
      <c r="H122" t="s">
        <v>13</v>
      </c>
      <c r="I122">
        <v>1</v>
      </c>
      <c r="J122" s="6">
        <v>25</v>
      </c>
      <c r="K122">
        <v>12.25</v>
      </c>
      <c r="L122">
        <v>25</v>
      </c>
      <c r="M122" t="str">
        <f>IF(OR(I122="",J122="",L122=""),"Incomplete","Complete")</f>
        <v>Complete</v>
      </c>
      <c r="N122" t="str">
        <f>IF(M122="Incomplete","Not checked",IF(ROUND(I122*J122,2)=ROUND(L122,2),"Valid","Mismatch"))</f>
        <v>Valid</v>
      </c>
      <c r="O122">
        <f t="shared" si="3"/>
        <v>12.75</v>
      </c>
    </row>
    <row r="123" spans="1:15">
      <c r="A123">
        <v>406</v>
      </c>
      <c r="B123" t="str">
        <f t="shared" si="2"/>
        <v>2023-04</v>
      </c>
      <c r="C123" s="1">
        <v>45017</v>
      </c>
      <c r="D123" s="5">
        <v>0.49305555555555558</v>
      </c>
      <c r="E123">
        <v>3</v>
      </c>
      <c r="F123" t="s">
        <v>14</v>
      </c>
      <c r="G123">
        <v>22</v>
      </c>
      <c r="H123" t="s">
        <v>13</v>
      </c>
      <c r="I123">
        <v>4</v>
      </c>
      <c r="J123" s="6">
        <v>25</v>
      </c>
      <c r="K123">
        <v>11</v>
      </c>
      <c r="L123">
        <v>100</v>
      </c>
      <c r="M123" t="str">
        <f>IF(OR(I123="",J123="",L123=""),"Incomplete","Complete")</f>
        <v>Complete</v>
      </c>
      <c r="N123" t="str">
        <f>IF(M123="Incomplete","Not checked",IF(ROUND(I123*J123,2)=ROUND(L123,2),"Valid","Mismatch"))</f>
        <v>Valid</v>
      </c>
      <c r="O123">
        <f t="shared" si="3"/>
        <v>89</v>
      </c>
    </row>
    <row r="124" spans="1:15">
      <c r="A124">
        <v>450</v>
      </c>
      <c r="B124" t="str">
        <f t="shared" si="2"/>
        <v>2023-12</v>
      </c>
      <c r="C124" s="1">
        <v>45261</v>
      </c>
      <c r="D124" s="5">
        <v>0.27430555555555558</v>
      </c>
      <c r="E124">
        <v>2</v>
      </c>
      <c r="F124" t="s">
        <v>14</v>
      </c>
      <c r="G124">
        <v>59</v>
      </c>
      <c r="H124" t="s">
        <v>13</v>
      </c>
      <c r="I124">
        <v>2</v>
      </c>
      <c r="J124" s="6">
        <v>25</v>
      </c>
      <c r="K124">
        <v>11</v>
      </c>
      <c r="L124">
        <v>50</v>
      </c>
      <c r="M124" t="str">
        <f>IF(OR(I124="",J124="",L124=""),"Incomplete","Complete")</f>
        <v>Complete</v>
      </c>
      <c r="N124" t="str">
        <f>IF(M124="Incomplete","Not checked",IF(ROUND(I124*J124,2)=ROUND(L124,2),"Valid","Mismatch"))</f>
        <v>Valid</v>
      </c>
      <c r="O124">
        <f t="shared" si="3"/>
        <v>39</v>
      </c>
    </row>
    <row r="125" spans="1:15">
      <c r="A125">
        <v>562</v>
      </c>
      <c r="B125" t="str">
        <f t="shared" si="2"/>
        <v>2023-11</v>
      </c>
      <c r="C125" s="1">
        <v>45239</v>
      </c>
      <c r="D125" s="5">
        <v>0.39305555555555555</v>
      </c>
      <c r="E125">
        <v>3</v>
      </c>
      <c r="F125" t="s">
        <v>11</v>
      </c>
      <c r="G125">
        <v>54</v>
      </c>
      <c r="H125" t="s">
        <v>15</v>
      </c>
      <c r="I125">
        <v>2</v>
      </c>
      <c r="J125" s="6">
        <v>25</v>
      </c>
      <c r="K125">
        <v>7.25</v>
      </c>
      <c r="L125">
        <v>50</v>
      </c>
      <c r="M125" t="str">
        <f>IF(OR(I125="",J125="",L125=""),"Incomplete","Complete")</f>
        <v>Complete</v>
      </c>
      <c r="N125" t="str">
        <f>IF(M125="Incomplete","Not checked",IF(ROUND(I125*J125,2)=ROUND(L125,2),"Valid","Mismatch"))</f>
        <v>Valid</v>
      </c>
      <c r="O125">
        <f t="shared" si="3"/>
        <v>42.75</v>
      </c>
    </row>
    <row r="126" spans="1:15">
      <c r="A126">
        <v>1406</v>
      </c>
      <c r="B126" t="str">
        <f t="shared" si="2"/>
        <v>2023-06</v>
      </c>
      <c r="C126" s="1">
        <v>45099</v>
      </c>
      <c r="D126" s="5">
        <v>0.36458333333333331</v>
      </c>
      <c r="E126">
        <v>2</v>
      </c>
      <c r="F126" t="s">
        <v>14</v>
      </c>
      <c r="G126">
        <v>22</v>
      </c>
      <c r="H126" t="s">
        <v>13</v>
      </c>
      <c r="I126">
        <v>4</v>
      </c>
      <c r="J126" s="6">
        <v>25</v>
      </c>
      <c r="K126">
        <v>10</v>
      </c>
      <c r="L126">
        <v>100</v>
      </c>
      <c r="M126" t="str">
        <f>IF(OR(I126="",J126="",L126=""),"Incomplete","Complete")</f>
        <v>Complete</v>
      </c>
      <c r="N126" t="str">
        <f>IF(M126="Incomplete","Not checked",IF(ROUND(I126*J126,2)=ROUND(L126,2),"Valid","Mismatch"))</f>
        <v>Valid</v>
      </c>
      <c r="O126">
        <f t="shared" si="3"/>
        <v>90</v>
      </c>
    </row>
    <row r="127" spans="1:15">
      <c r="A127">
        <v>1450</v>
      </c>
      <c r="B127" t="str">
        <f t="shared" si="2"/>
        <v>2023-07</v>
      </c>
      <c r="C127" s="1">
        <v>45123</v>
      </c>
      <c r="D127" s="5">
        <v>0.36944444444444446</v>
      </c>
      <c r="E127">
        <v>1</v>
      </c>
      <c r="F127" t="s">
        <v>14</v>
      </c>
      <c r="G127">
        <v>59</v>
      </c>
      <c r="H127" t="s">
        <v>13</v>
      </c>
      <c r="I127">
        <v>2</v>
      </c>
      <c r="J127" s="6">
        <v>25</v>
      </c>
      <c r="K127">
        <v>10.25</v>
      </c>
      <c r="L127">
        <v>50</v>
      </c>
      <c r="M127" t="str">
        <f>IF(OR(I127="",J127="",L127=""),"Incomplete","Complete")</f>
        <v>Complete</v>
      </c>
      <c r="N127" t="str">
        <f>IF(M127="Incomplete","Not checked",IF(ROUND(I127*J127,2)=ROUND(L127,2),"Valid","Mismatch"))</f>
        <v>Valid</v>
      </c>
      <c r="O127">
        <f t="shared" si="3"/>
        <v>39.75</v>
      </c>
    </row>
    <row r="128" spans="1:15">
      <c r="A128">
        <v>1562</v>
      </c>
      <c r="B128" t="str">
        <f t="shared" si="2"/>
        <v>2023-11</v>
      </c>
      <c r="C128" s="1">
        <v>45256</v>
      </c>
      <c r="D128" s="5">
        <v>0.43125000000000002</v>
      </c>
      <c r="E128">
        <v>5</v>
      </c>
      <c r="F128" t="s">
        <v>11</v>
      </c>
      <c r="G128">
        <v>54</v>
      </c>
      <c r="H128" t="s">
        <v>15</v>
      </c>
      <c r="I128">
        <v>2</v>
      </c>
      <c r="J128" s="6">
        <v>25</v>
      </c>
      <c r="K128">
        <v>12.75</v>
      </c>
      <c r="L128">
        <v>50</v>
      </c>
      <c r="M128" t="str">
        <f>IF(OR(I128="",J128="",L128=""),"Incomplete","Complete")</f>
        <v>Complete</v>
      </c>
      <c r="N128" t="str">
        <f>IF(M128="Incomplete","Not checked",IF(ROUND(I128*J128,2)=ROUND(L128,2),"Valid","Mismatch"))</f>
        <v>Valid</v>
      </c>
      <c r="O128">
        <f t="shared" si="3"/>
        <v>37.25</v>
      </c>
    </row>
    <row r="129" spans="1:15">
      <c r="A129">
        <v>108</v>
      </c>
      <c r="B129" t="str">
        <f t="shared" si="2"/>
        <v>2023-01</v>
      </c>
      <c r="C129" s="1">
        <v>44950</v>
      </c>
      <c r="D129" s="5">
        <v>0.40138888888888891</v>
      </c>
      <c r="E129">
        <v>5</v>
      </c>
      <c r="F129" t="s">
        <v>14</v>
      </c>
      <c r="G129">
        <v>27</v>
      </c>
      <c r="H129" t="s">
        <v>13</v>
      </c>
      <c r="I129">
        <v>3</v>
      </c>
      <c r="J129" s="6">
        <v>25</v>
      </c>
      <c r="K129">
        <v>13.5</v>
      </c>
      <c r="L129">
        <v>75</v>
      </c>
      <c r="M129" t="str">
        <f>IF(OR(I129="",J129="",L129=""),"Incomplete","Complete")</f>
        <v>Complete</v>
      </c>
      <c r="N129" t="str">
        <f>IF(M129="Incomplete","Not checked",IF(ROUND(I129*J129,2)=ROUND(L129,2),"Valid","Mismatch"))</f>
        <v>Valid</v>
      </c>
      <c r="O129">
        <f t="shared" si="3"/>
        <v>61.5</v>
      </c>
    </row>
    <row r="130" spans="1:15">
      <c r="A130">
        <v>207</v>
      </c>
      <c r="B130" t="str">
        <f t="shared" ref="B130:B193" si="4">TEXT(C130,"yyyy-mm")</f>
        <v>2023-08</v>
      </c>
      <c r="C130" s="1">
        <v>45144</v>
      </c>
      <c r="D130" s="5">
        <v>0.35694444444444445</v>
      </c>
      <c r="E130">
        <v>3</v>
      </c>
      <c r="F130" t="s">
        <v>14</v>
      </c>
      <c r="G130">
        <v>42</v>
      </c>
      <c r="H130" t="s">
        <v>13</v>
      </c>
      <c r="I130">
        <v>2</v>
      </c>
      <c r="J130" s="6">
        <v>25</v>
      </c>
      <c r="K130">
        <v>10.25</v>
      </c>
      <c r="L130">
        <v>50</v>
      </c>
      <c r="M130" t="str">
        <f>IF(OR(I130="",J130="",L130=""),"Incomplete","Complete")</f>
        <v>Complete</v>
      </c>
      <c r="N130" t="str">
        <f>IF(M130="Incomplete","Not checked",IF(ROUND(I130*J130,2)=ROUND(L130,2),"Valid","Mismatch"))</f>
        <v>Valid</v>
      </c>
      <c r="O130">
        <f t="shared" ref="O130:O193" si="5">IF(M130="Incomplete","",L130-K130)</f>
        <v>39.75</v>
      </c>
    </row>
    <row r="131" spans="1:15">
      <c r="A131">
        <v>1108</v>
      </c>
      <c r="B131" t="str">
        <f t="shared" si="4"/>
        <v>2023-07</v>
      </c>
      <c r="C131" s="1">
        <v>45115</v>
      </c>
      <c r="D131" s="5">
        <v>0.43541666666666667</v>
      </c>
      <c r="E131">
        <v>1</v>
      </c>
      <c r="F131" t="s">
        <v>14</v>
      </c>
      <c r="G131">
        <v>27</v>
      </c>
      <c r="H131" t="s">
        <v>13</v>
      </c>
      <c r="I131">
        <v>3</v>
      </c>
      <c r="J131" s="6">
        <v>25</v>
      </c>
      <c r="K131">
        <v>10</v>
      </c>
      <c r="L131">
        <v>75</v>
      </c>
      <c r="M131" t="str">
        <f>IF(OR(I131="",J131="",L131=""),"Incomplete","Complete")</f>
        <v>Complete</v>
      </c>
      <c r="N131" t="str">
        <f>IF(M131="Incomplete","Not checked",IF(ROUND(I131*J131,2)=ROUND(L131,2),"Valid","Mismatch"))</f>
        <v>Valid</v>
      </c>
      <c r="O131">
        <f t="shared" si="5"/>
        <v>65</v>
      </c>
    </row>
    <row r="132" spans="1:15">
      <c r="A132">
        <v>1207</v>
      </c>
      <c r="B132" t="str">
        <f t="shared" si="4"/>
        <v>2023-06</v>
      </c>
      <c r="C132" s="1">
        <v>45107</v>
      </c>
      <c r="D132" s="5">
        <v>0.90833333333333333</v>
      </c>
      <c r="E132">
        <v>3</v>
      </c>
      <c r="F132" t="s">
        <v>14</v>
      </c>
      <c r="G132">
        <v>42</v>
      </c>
      <c r="H132" t="s">
        <v>13</v>
      </c>
      <c r="I132">
        <v>2</v>
      </c>
      <c r="J132" s="6">
        <v>25</v>
      </c>
      <c r="K132">
        <v>10</v>
      </c>
      <c r="L132">
        <v>50</v>
      </c>
      <c r="M132" t="str">
        <f>IF(OR(I132="",J132="",L132=""),"Incomplete","Complete")</f>
        <v>Complete</v>
      </c>
      <c r="N132" t="str">
        <f>IF(M132="Incomplete","Not checked",IF(ROUND(I132*J132,2)=ROUND(L132,2),"Valid","Mismatch"))</f>
        <v>Valid</v>
      </c>
      <c r="O132">
        <f t="shared" si="5"/>
        <v>40</v>
      </c>
    </row>
    <row r="133" spans="1:15">
      <c r="A133">
        <v>246</v>
      </c>
      <c r="B133" t="str">
        <f t="shared" si="4"/>
        <v>2023-12</v>
      </c>
      <c r="C133" s="1">
        <v>45267</v>
      </c>
      <c r="D133" s="5">
        <v>0.83680555555555558</v>
      </c>
      <c r="E133">
        <v>4</v>
      </c>
      <c r="F133" t="s">
        <v>14</v>
      </c>
      <c r="G133">
        <v>48</v>
      </c>
      <c r="H133" t="s">
        <v>15</v>
      </c>
      <c r="I133">
        <v>2</v>
      </c>
      <c r="J133" s="6">
        <v>25</v>
      </c>
      <c r="K133">
        <v>13.25</v>
      </c>
      <c r="L133">
        <v>50</v>
      </c>
      <c r="M133" t="str">
        <f>IF(OR(I133="",J133="",L133=""),"Incomplete","Complete")</f>
        <v>Complete</v>
      </c>
      <c r="N133" t="str">
        <f>IF(M133="Incomplete","Not checked",IF(ROUND(I133*J133,2)=ROUND(L133,2),"Valid","Mismatch"))</f>
        <v>Valid</v>
      </c>
      <c r="O133">
        <f t="shared" si="5"/>
        <v>36.75</v>
      </c>
    </row>
    <row r="134" spans="1:15">
      <c r="A134">
        <v>374</v>
      </c>
      <c r="B134" t="str">
        <f t="shared" si="4"/>
        <v>2023-10</v>
      </c>
      <c r="C134" s="1">
        <v>45226</v>
      </c>
      <c r="D134" s="5">
        <v>0.73958333333333337</v>
      </c>
      <c r="E134">
        <v>4</v>
      </c>
      <c r="F134" t="s">
        <v>14</v>
      </c>
      <c r="G134">
        <v>59</v>
      </c>
      <c r="H134" t="s">
        <v>13</v>
      </c>
      <c r="I134">
        <v>3</v>
      </c>
      <c r="J134" s="6">
        <v>25</v>
      </c>
      <c r="K134">
        <v>7.75</v>
      </c>
      <c r="L134">
        <v>75</v>
      </c>
      <c r="M134" t="str">
        <f>IF(OR(I134="",J134="",L134=""),"Incomplete","Complete")</f>
        <v>Complete</v>
      </c>
      <c r="N134" t="str">
        <f>IF(M134="Incomplete","Not checked",IF(ROUND(I134*J134,2)=ROUND(L134,2),"Valid","Mismatch"))</f>
        <v>Valid</v>
      </c>
      <c r="O134">
        <f t="shared" si="5"/>
        <v>67.25</v>
      </c>
    </row>
    <row r="135" spans="1:15">
      <c r="A135">
        <v>1246</v>
      </c>
      <c r="B135" t="str">
        <f t="shared" si="4"/>
        <v>2023-04</v>
      </c>
      <c r="C135" s="1">
        <v>45042</v>
      </c>
      <c r="D135" s="5">
        <v>0.95416666666666672</v>
      </c>
      <c r="E135">
        <v>3</v>
      </c>
      <c r="F135" t="s">
        <v>14</v>
      </c>
      <c r="G135">
        <v>48</v>
      </c>
      <c r="H135" t="s">
        <v>15</v>
      </c>
      <c r="I135">
        <v>2</v>
      </c>
      <c r="J135" s="6">
        <v>25</v>
      </c>
      <c r="K135">
        <v>11.5</v>
      </c>
      <c r="L135">
        <v>50</v>
      </c>
      <c r="M135" t="str">
        <f>IF(OR(I135="",J135="",L135=""),"Incomplete","Complete")</f>
        <v>Complete</v>
      </c>
      <c r="N135" t="str">
        <f>IF(M135="Incomplete","Not checked",IF(ROUND(I135*J135,2)=ROUND(L135,2),"Valid","Mismatch"))</f>
        <v>Valid</v>
      </c>
      <c r="O135">
        <f t="shared" si="5"/>
        <v>38.5</v>
      </c>
    </row>
    <row r="136" spans="1:15">
      <c r="A136">
        <v>1374</v>
      </c>
      <c r="B136" t="str">
        <f t="shared" si="4"/>
        <v>2023-03</v>
      </c>
      <c r="C136" s="1">
        <v>45008</v>
      </c>
      <c r="D136" s="5">
        <v>0.91874999999999996</v>
      </c>
      <c r="E136">
        <v>3</v>
      </c>
      <c r="F136" t="s">
        <v>14</v>
      </c>
      <c r="G136">
        <v>59</v>
      </c>
      <c r="H136" t="s">
        <v>13</v>
      </c>
      <c r="I136">
        <v>3</v>
      </c>
      <c r="J136" s="6">
        <v>25</v>
      </c>
      <c r="K136">
        <v>8.25</v>
      </c>
      <c r="L136">
        <v>75</v>
      </c>
      <c r="M136" t="str">
        <f>IF(OR(I136="",J136="",L136=""),"Incomplete","Complete")</f>
        <v>Complete</v>
      </c>
      <c r="N136" t="str">
        <f>IF(M136="Incomplete","Not checked",IF(ROUND(I136*J136,2)=ROUND(L136,2),"Valid","Mismatch"))</f>
        <v>Valid</v>
      </c>
      <c r="O136">
        <f t="shared" si="5"/>
        <v>66.75</v>
      </c>
    </row>
    <row r="137" spans="1:15">
      <c r="A137">
        <v>17</v>
      </c>
      <c r="B137" t="str">
        <f t="shared" si="4"/>
        <v>2023-02</v>
      </c>
      <c r="C137" s="1">
        <v>44982</v>
      </c>
      <c r="D137" s="5">
        <v>0.88055555555555554</v>
      </c>
      <c r="E137">
        <v>3</v>
      </c>
      <c r="F137" t="s">
        <v>14</v>
      </c>
      <c r="G137">
        <v>27</v>
      </c>
      <c r="H137" t="s">
        <v>12</v>
      </c>
      <c r="I137">
        <v>4</v>
      </c>
      <c r="J137" s="6">
        <v>25</v>
      </c>
      <c r="K137">
        <v>13</v>
      </c>
      <c r="L137">
        <v>100</v>
      </c>
      <c r="M137" t="str">
        <f>IF(OR(I137="",J137="",L137=""),"Incomplete","Complete")</f>
        <v>Complete</v>
      </c>
      <c r="N137" t="str">
        <f>IF(M137="Incomplete","Not checked",IF(ROUND(I137*J137,2)=ROUND(L137,2),"Valid","Mismatch"))</f>
        <v>Valid</v>
      </c>
      <c r="O137">
        <f t="shared" si="5"/>
        <v>87</v>
      </c>
    </row>
    <row r="138" spans="1:15">
      <c r="A138">
        <v>316</v>
      </c>
      <c r="B138" t="str">
        <f t="shared" si="4"/>
        <v>2023-02</v>
      </c>
      <c r="C138" s="1">
        <v>44958</v>
      </c>
      <c r="D138" s="5">
        <v>0.72569444444444442</v>
      </c>
      <c r="E138">
        <v>3</v>
      </c>
      <c r="F138" t="s">
        <v>14</v>
      </c>
      <c r="G138">
        <v>48</v>
      </c>
      <c r="H138" t="s">
        <v>12</v>
      </c>
      <c r="I138">
        <v>2</v>
      </c>
      <c r="J138" s="6">
        <v>25</v>
      </c>
      <c r="K138">
        <v>13.75</v>
      </c>
      <c r="L138">
        <v>50</v>
      </c>
      <c r="M138" t="str">
        <f>IF(OR(I138="",J138="",L138=""),"Incomplete","Complete")</f>
        <v>Complete</v>
      </c>
      <c r="N138" t="str">
        <f>IF(M138="Incomplete","Not checked",IF(ROUND(I138*J138,2)=ROUND(L138,2),"Valid","Mismatch"))</f>
        <v>Valid</v>
      </c>
      <c r="O138">
        <f t="shared" si="5"/>
        <v>36.25</v>
      </c>
    </row>
    <row r="139" spans="1:15">
      <c r="A139">
        <v>755</v>
      </c>
      <c r="B139" t="str">
        <f t="shared" si="4"/>
        <v>2023-11</v>
      </c>
      <c r="C139" s="1">
        <v>45257</v>
      </c>
      <c r="D139" s="5">
        <v>0.83819444444444446</v>
      </c>
      <c r="E139">
        <v>1</v>
      </c>
      <c r="F139" t="s">
        <v>14</v>
      </c>
      <c r="G139">
        <v>58</v>
      </c>
      <c r="H139" t="s">
        <v>12</v>
      </c>
      <c r="I139">
        <v>3</v>
      </c>
      <c r="J139" s="6">
        <v>25</v>
      </c>
      <c r="K139">
        <v>6.75</v>
      </c>
      <c r="L139">
        <v>75</v>
      </c>
      <c r="M139" t="str">
        <f>IF(OR(I139="",J139="",L139=""),"Incomplete","Complete")</f>
        <v>Complete</v>
      </c>
      <c r="N139" t="str">
        <f>IF(M139="Incomplete","Not checked",IF(ROUND(I139*J139,2)=ROUND(L139,2),"Valid","Mismatch"))</f>
        <v>Valid</v>
      </c>
      <c r="O139">
        <f t="shared" si="5"/>
        <v>68.25</v>
      </c>
    </row>
    <row r="140" spans="1:15">
      <c r="A140">
        <v>1017</v>
      </c>
      <c r="B140" t="str">
        <f t="shared" si="4"/>
        <v>2023-09</v>
      </c>
      <c r="C140" s="1">
        <v>45174</v>
      </c>
      <c r="D140" s="5">
        <v>0.77847222222222223</v>
      </c>
      <c r="E140">
        <v>2</v>
      </c>
      <c r="F140" t="s">
        <v>14</v>
      </c>
      <c r="G140">
        <v>27</v>
      </c>
      <c r="H140" t="s">
        <v>12</v>
      </c>
      <c r="I140">
        <v>4</v>
      </c>
      <c r="J140" s="6">
        <v>25</v>
      </c>
      <c r="K140">
        <v>12</v>
      </c>
      <c r="L140">
        <v>100</v>
      </c>
      <c r="M140" t="str">
        <f>IF(OR(I140="",J140="",L140=""),"Incomplete","Complete")</f>
        <v>Complete</v>
      </c>
      <c r="N140" t="str">
        <f>IF(M140="Incomplete","Not checked",IF(ROUND(I140*J140,2)=ROUND(L140,2),"Valid","Mismatch"))</f>
        <v>Valid</v>
      </c>
      <c r="O140">
        <f t="shared" si="5"/>
        <v>88</v>
      </c>
    </row>
    <row r="141" spans="1:15">
      <c r="A141">
        <v>1316</v>
      </c>
      <c r="B141" t="str">
        <f t="shared" si="4"/>
        <v>2023-07</v>
      </c>
      <c r="C141" s="1">
        <v>45128</v>
      </c>
      <c r="D141" s="5">
        <v>0.71597222222222223</v>
      </c>
      <c r="E141">
        <v>1</v>
      </c>
      <c r="F141" t="s">
        <v>14</v>
      </c>
      <c r="G141">
        <v>48</v>
      </c>
      <c r="H141" t="s">
        <v>12</v>
      </c>
      <c r="I141">
        <v>2</v>
      </c>
      <c r="J141" s="6">
        <v>25</v>
      </c>
      <c r="K141">
        <v>11.75</v>
      </c>
      <c r="L141">
        <v>50</v>
      </c>
      <c r="M141" t="str">
        <f>IF(OR(I141="",J141="",L141=""),"Incomplete","Complete")</f>
        <v>Complete</v>
      </c>
      <c r="N141" t="str">
        <f>IF(M141="Incomplete","Not checked",IF(ROUND(I141*J141,2)=ROUND(L141,2),"Valid","Mismatch"))</f>
        <v>Valid</v>
      </c>
      <c r="O141">
        <f t="shared" si="5"/>
        <v>38.25</v>
      </c>
    </row>
    <row r="142" spans="1:15">
      <c r="A142">
        <v>1755</v>
      </c>
      <c r="B142" t="str">
        <f t="shared" si="4"/>
        <v>2023-05</v>
      </c>
      <c r="C142" s="1">
        <v>45069</v>
      </c>
      <c r="D142" s="5">
        <v>0.90763888888888888</v>
      </c>
      <c r="E142">
        <v>2</v>
      </c>
      <c r="F142" t="s">
        <v>14</v>
      </c>
      <c r="G142">
        <v>58</v>
      </c>
      <c r="H142" t="s">
        <v>12</v>
      </c>
      <c r="I142">
        <v>3</v>
      </c>
      <c r="J142" s="6">
        <v>25</v>
      </c>
      <c r="K142">
        <v>8</v>
      </c>
      <c r="L142">
        <v>75</v>
      </c>
      <c r="M142" t="str">
        <f>IF(OR(I142="",J142="",L142=""),"Incomplete","Complete")</f>
        <v>Complete</v>
      </c>
      <c r="N142" t="str">
        <f>IF(M142="Incomplete","Not checked",IF(ROUND(I142*J142,2)=ROUND(L142,2),"Valid","Mismatch"))</f>
        <v>Valid</v>
      </c>
      <c r="O142">
        <f t="shared" si="5"/>
        <v>67</v>
      </c>
    </row>
    <row r="143" spans="1:15">
      <c r="A143">
        <v>230</v>
      </c>
      <c r="B143" t="str">
        <f t="shared" si="4"/>
        <v>2023-03</v>
      </c>
      <c r="C143" s="1">
        <v>45011</v>
      </c>
      <c r="D143" s="5">
        <v>0.73888888888888893</v>
      </c>
      <c r="E143">
        <v>5</v>
      </c>
      <c r="F143" t="s">
        <v>11</v>
      </c>
      <c r="G143">
        <v>54</v>
      </c>
      <c r="H143" t="s">
        <v>13</v>
      </c>
      <c r="I143">
        <v>1</v>
      </c>
      <c r="J143" s="6">
        <v>25</v>
      </c>
      <c r="K143">
        <v>12.5</v>
      </c>
      <c r="L143">
        <v>25</v>
      </c>
      <c r="M143" t="str">
        <f>IF(OR(I143="",J143="",L143=""),"Incomplete","Complete")</f>
        <v>Complete</v>
      </c>
      <c r="N143" t="str">
        <f>IF(M143="Incomplete","Not checked",IF(ROUND(I143*J143,2)=ROUND(L143,2),"Valid","Mismatch"))</f>
        <v>Valid</v>
      </c>
      <c r="O143">
        <f t="shared" si="5"/>
        <v>12.5</v>
      </c>
    </row>
    <row r="144" spans="1:15">
      <c r="A144">
        <v>1230</v>
      </c>
      <c r="B144" t="str">
        <f t="shared" si="4"/>
        <v>2023-12</v>
      </c>
      <c r="C144" s="1">
        <v>45264</v>
      </c>
      <c r="D144" s="5">
        <v>0.89166666666666672</v>
      </c>
      <c r="E144">
        <v>1</v>
      </c>
      <c r="F144" t="s">
        <v>11</v>
      </c>
      <c r="G144">
        <v>54</v>
      </c>
      <c r="H144" t="s">
        <v>13</v>
      </c>
      <c r="I144">
        <v>1</v>
      </c>
      <c r="J144" s="6">
        <v>25</v>
      </c>
      <c r="K144">
        <v>13.25</v>
      </c>
      <c r="L144">
        <v>25</v>
      </c>
      <c r="M144" t="str">
        <f>IF(OR(I144="",J144="",L144=""),"Incomplete","Complete")</f>
        <v>Complete</v>
      </c>
      <c r="N144" t="str">
        <f>IF(M144="Incomplete","Not checked",IF(ROUND(I144*J144,2)=ROUND(L144,2),"Valid","Mismatch"))</f>
        <v>Valid</v>
      </c>
      <c r="O144">
        <f t="shared" si="5"/>
        <v>11.75</v>
      </c>
    </row>
    <row r="145" spans="1:15">
      <c r="A145">
        <v>863</v>
      </c>
      <c r="B145" t="str">
        <f t="shared" si="4"/>
        <v>2023-11</v>
      </c>
      <c r="C145" s="1">
        <v>45242</v>
      </c>
      <c r="D145" s="5">
        <v>0.94444444444444442</v>
      </c>
      <c r="E145">
        <v>4</v>
      </c>
      <c r="F145" t="s">
        <v>14</v>
      </c>
      <c r="G145">
        <v>30</v>
      </c>
      <c r="H145" t="s">
        <v>15</v>
      </c>
      <c r="I145">
        <v>2</v>
      </c>
      <c r="J145" s="6">
        <v>25</v>
      </c>
      <c r="K145">
        <v>11.25</v>
      </c>
      <c r="L145">
        <v>50</v>
      </c>
      <c r="M145" t="str">
        <f>IF(OR(I145="",J145="",L145=""),"Incomplete","Complete")</f>
        <v>Complete</v>
      </c>
      <c r="N145" t="str">
        <f>IF(M145="Incomplete","Not checked",IF(ROUND(I145*J145,2)=ROUND(L145,2),"Valid","Mismatch"))</f>
        <v>Valid</v>
      </c>
      <c r="O145">
        <f t="shared" si="5"/>
        <v>38.75</v>
      </c>
    </row>
    <row r="146" spans="1:15">
      <c r="A146">
        <v>1863</v>
      </c>
      <c r="B146" t="str">
        <f t="shared" si="4"/>
        <v>2023-05</v>
      </c>
      <c r="C146" s="1">
        <v>45072</v>
      </c>
      <c r="D146" s="5">
        <v>0.93958333333333333</v>
      </c>
      <c r="E146">
        <v>4</v>
      </c>
      <c r="F146" t="s">
        <v>14</v>
      </c>
      <c r="G146">
        <v>30</v>
      </c>
      <c r="H146" t="s">
        <v>15</v>
      </c>
      <c r="I146">
        <v>2</v>
      </c>
      <c r="J146" s="6">
        <v>25</v>
      </c>
      <c r="K146">
        <v>10</v>
      </c>
      <c r="L146">
        <v>50</v>
      </c>
      <c r="M146" t="str">
        <f>IF(OR(I146="",J146="",L146=""),"Incomplete","Complete")</f>
        <v>Complete</v>
      </c>
      <c r="N146" t="str">
        <f>IF(M146="Incomplete","Not checked",IF(ROUND(I146*J146,2)=ROUND(L146,2),"Valid","Mismatch"))</f>
        <v>Valid</v>
      </c>
      <c r="O146">
        <f t="shared" si="5"/>
        <v>40</v>
      </c>
    </row>
    <row r="147" spans="1:15">
      <c r="A147">
        <v>102</v>
      </c>
      <c r="B147" t="str">
        <f t="shared" si="4"/>
        <v>2023-04</v>
      </c>
      <c r="C147" s="1">
        <v>45033</v>
      </c>
      <c r="D147" s="5">
        <v>0.89861111111111114</v>
      </c>
      <c r="E147">
        <v>5</v>
      </c>
      <c r="F147" t="s">
        <v>14</v>
      </c>
      <c r="G147">
        <v>47</v>
      </c>
      <c r="H147" t="s">
        <v>13</v>
      </c>
      <c r="I147">
        <v>2</v>
      </c>
      <c r="J147" s="6">
        <v>25</v>
      </c>
      <c r="K147">
        <v>7.25</v>
      </c>
      <c r="L147">
        <v>50</v>
      </c>
      <c r="M147" t="str">
        <f>IF(OR(I147="",J147="",L147=""),"Incomplete","Complete")</f>
        <v>Complete</v>
      </c>
      <c r="N147" t="str">
        <f>IF(M147="Incomplete","Not checked",IF(ROUND(I147*J147,2)=ROUND(L147,2),"Valid","Mismatch"))</f>
        <v>Valid</v>
      </c>
      <c r="O147">
        <f t="shared" si="5"/>
        <v>42.75</v>
      </c>
    </row>
    <row r="148" spans="1:15">
      <c r="A148">
        <v>236</v>
      </c>
      <c r="B148" t="str">
        <f t="shared" si="4"/>
        <v>2023-04</v>
      </c>
      <c r="C148" s="1">
        <v>45017</v>
      </c>
      <c r="D148" s="5">
        <v>0.9291666666666667</v>
      </c>
      <c r="E148">
        <v>5</v>
      </c>
      <c r="F148" t="s">
        <v>14</v>
      </c>
      <c r="G148">
        <v>54</v>
      </c>
      <c r="H148" t="s">
        <v>12</v>
      </c>
      <c r="I148">
        <v>1</v>
      </c>
      <c r="J148" s="6">
        <v>25</v>
      </c>
      <c r="K148">
        <v>6.5</v>
      </c>
      <c r="L148">
        <v>25</v>
      </c>
      <c r="M148" t="str">
        <f>IF(OR(I148="",J148="",L148=""),"Incomplete","Complete")</f>
        <v>Complete</v>
      </c>
      <c r="N148" t="str">
        <f>IF(M148="Incomplete","Not checked",IF(ROUND(I148*J148,2)=ROUND(L148,2),"Valid","Mismatch"))</f>
        <v>Valid</v>
      </c>
      <c r="O148">
        <f t="shared" si="5"/>
        <v>18.5</v>
      </c>
    </row>
    <row r="149" spans="1:15">
      <c r="A149">
        <v>1102</v>
      </c>
      <c r="B149" t="str">
        <f t="shared" si="4"/>
        <v>2023-08</v>
      </c>
      <c r="C149" s="1">
        <v>45159</v>
      </c>
      <c r="D149" s="5">
        <v>0.75277777777777777</v>
      </c>
      <c r="E149">
        <v>5</v>
      </c>
      <c r="F149" t="s">
        <v>14</v>
      </c>
      <c r="G149">
        <v>47</v>
      </c>
      <c r="H149" t="s">
        <v>13</v>
      </c>
      <c r="I149">
        <v>2</v>
      </c>
      <c r="J149" s="6">
        <v>25</v>
      </c>
      <c r="K149">
        <v>6.5</v>
      </c>
      <c r="L149">
        <v>50</v>
      </c>
      <c r="M149" t="str">
        <f>IF(OR(I149="",J149="",L149=""),"Incomplete","Complete")</f>
        <v>Complete</v>
      </c>
      <c r="N149" t="str">
        <f>IF(M149="Incomplete","Not checked",IF(ROUND(I149*J149,2)=ROUND(L149,2),"Valid","Mismatch"))</f>
        <v>Valid</v>
      </c>
      <c r="O149">
        <f t="shared" si="5"/>
        <v>43.5</v>
      </c>
    </row>
    <row r="150" spans="1:15">
      <c r="A150">
        <v>1236</v>
      </c>
      <c r="B150" t="str">
        <f t="shared" si="4"/>
        <v>2023-08</v>
      </c>
      <c r="C150" s="1">
        <v>45147</v>
      </c>
      <c r="D150" s="5">
        <v>0.7631944444444444</v>
      </c>
      <c r="E150">
        <v>4</v>
      </c>
      <c r="F150" t="s">
        <v>14</v>
      </c>
      <c r="G150">
        <v>54</v>
      </c>
      <c r="H150" t="s">
        <v>12</v>
      </c>
      <c r="I150">
        <v>1</v>
      </c>
      <c r="J150" s="6">
        <v>25</v>
      </c>
      <c r="K150">
        <v>8.75</v>
      </c>
      <c r="L150">
        <v>25</v>
      </c>
      <c r="M150" t="str">
        <f>IF(OR(I150="",J150="",L150=""),"Incomplete","Complete")</f>
        <v>Complete</v>
      </c>
      <c r="N150" t="str">
        <f>IF(M150="Incomplete","Not checked",IF(ROUND(I150*J150,2)=ROUND(L150,2),"Valid","Mismatch"))</f>
        <v>Valid</v>
      </c>
      <c r="O150">
        <f t="shared" si="5"/>
        <v>16.25</v>
      </c>
    </row>
    <row r="151" spans="1:15">
      <c r="A151">
        <v>18</v>
      </c>
      <c r="B151" t="str">
        <f t="shared" si="4"/>
        <v>2023-09</v>
      </c>
      <c r="C151" s="1">
        <v>45175</v>
      </c>
      <c r="D151" s="5">
        <v>0.80069444444444449</v>
      </c>
      <c r="E151">
        <v>5</v>
      </c>
      <c r="F151" t="s">
        <v>14</v>
      </c>
      <c r="G151">
        <v>47</v>
      </c>
      <c r="H151" t="s">
        <v>15</v>
      </c>
      <c r="I151">
        <v>2</v>
      </c>
      <c r="J151" s="6">
        <v>25</v>
      </c>
      <c r="K151">
        <v>12.5</v>
      </c>
      <c r="L151">
        <v>50</v>
      </c>
      <c r="M151" t="str">
        <f>IF(OR(I151="",J151="",L151=""),"Incomplete","Complete")</f>
        <v>Complete</v>
      </c>
      <c r="N151" t="str">
        <f>IF(M151="Incomplete","Not checked",IF(ROUND(I151*J151,2)=ROUND(L151,2),"Valid","Mismatch"))</f>
        <v>Valid</v>
      </c>
      <c r="O151">
        <f t="shared" si="5"/>
        <v>37.5</v>
      </c>
    </row>
    <row r="152" spans="1:15">
      <c r="A152">
        <v>69</v>
      </c>
      <c r="B152" t="str">
        <f t="shared" si="4"/>
        <v>2023-11</v>
      </c>
      <c r="C152" s="1">
        <v>45244</v>
      </c>
      <c r="D152" s="5">
        <v>0.94722222222222219</v>
      </c>
      <c r="E152">
        <v>1</v>
      </c>
      <c r="F152" t="s">
        <v>14</v>
      </c>
      <c r="G152">
        <v>56</v>
      </c>
      <c r="H152" t="s">
        <v>13</v>
      </c>
      <c r="I152">
        <v>3</v>
      </c>
      <c r="J152" s="6">
        <v>25</v>
      </c>
      <c r="K152">
        <v>8.5</v>
      </c>
      <c r="L152">
        <v>75</v>
      </c>
      <c r="M152" t="str">
        <f>IF(OR(I152="",J152="",L152=""),"Incomplete","Complete")</f>
        <v>Complete</v>
      </c>
      <c r="N152" t="str">
        <f>IF(M152="Incomplete","Not checked",IF(ROUND(I152*J152,2)=ROUND(L152,2),"Valid","Mismatch"))</f>
        <v>Valid</v>
      </c>
      <c r="O152">
        <f t="shared" si="5"/>
        <v>66.5</v>
      </c>
    </row>
    <row r="153" spans="1:15">
      <c r="A153">
        <v>1018</v>
      </c>
      <c r="B153" t="str">
        <f t="shared" si="4"/>
        <v>2023-07</v>
      </c>
      <c r="C153" s="1">
        <v>45113</v>
      </c>
      <c r="D153" s="5">
        <v>0.80069444444444449</v>
      </c>
      <c r="E153">
        <v>4</v>
      </c>
      <c r="F153" t="s">
        <v>14</v>
      </c>
      <c r="G153">
        <v>47</v>
      </c>
      <c r="H153" t="s">
        <v>15</v>
      </c>
      <c r="I153">
        <v>2</v>
      </c>
      <c r="J153" s="6">
        <v>25</v>
      </c>
      <c r="K153">
        <v>13</v>
      </c>
      <c r="L153">
        <v>50</v>
      </c>
      <c r="M153" t="str">
        <f>IF(OR(I153="",J153="",L153=""),"Incomplete","Complete")</f>
        <v>Complete</v>
      </c>
      <c r="N153" t="str">
        <f>IF(M153="Incomplete","Not checked",IF(ROUND(I153*J153,2)=ROUND(L153,2),"Valid","Mismatch"))</f>
        <v>Valid</v>
      </c>
      <c r="O153">
        <f t="shared" si="5"/>
        <v>37</v>
      </c>
    </row>
    <row r="154" spans="1:15">
      <c r="A154">
        <v>1069</v>
      </c>
      <c r="B154" t="str">
        <f t="shared" si="4"/>
        <v>2023-10</v>
      </c>
      <c r="C154" s="1">
        <v>45212</v>
      </c>
      <c r="D154" s="5">
        <v>0.79513888888888884</v>
      </c>
      <c r="E154">
        <v>2</v>
      </c>
      <c r="F154" t="s">
        <v>14</v>
      </c>
      <c r="G154">
        <v>56</v>
      </c>
      <c r="H154" t="s">
        <v>13</v>
      </c>
      <c r="I154">
        <v>3</v>
      </c>
      <c r="J154" s="6">
        <v>25</v>
      </c>
      <c r="K154">
        <v>6.75</v>
      </c>
      <c r="L154">
        <v>75</v>
      </c>
      <c r="M154" t="str">
        <f>IF(OR(I154="",J154="",L154=""),"Incomplete","Complete")</f>
        <v>Complete</v>
      </c>
      <c r="N154" t="str">
        <f>IF(M154="Incomplete","Not checked",IF(ROUND(I154*J154,2)=ROUND(L154,2),"Valid","Mismatch"))</f>
        <v>Valid</v>
      </c>
      <c r="O154">
        <f t="shared" si="5"/>
        <v>68.25</v>
      </c>
    </row>
    <row r="155" spans="1:15">
      <c r="A155">
        <v>585</v>
      </c>
      <c r="B155" t="str">
        <f t="shared" si="4"/>
        <v>2023-06</v>
      </c>
      <c r="C155" s="1">
        <v>45083</v>
      </c>
      <c r="D155" s="5">
        <v>0.90902777777777777</v>
      </c>
      <c r="E155">
        <v>3</v>
      </c>
      <c r="F155" t="s">
        <v>14</v>
      </c>
      <c r="G155">
        <v>24</v>
      </c>
      <c r="H155" t="s">
        <v>12</v>
      </c>
      <c r="I155">
        <v>1</v>
      </c>
      <c r="J155" s="6">
        <v>25</v>
      </c>
      <c r="K155">
        <v>13.75</v>
      </c>
      <c r="L155">
        <v>25</v>
      </c>
      <c r="M155" t="str">
        <f>IF(OR(I155="",J155="",L155=""),"Incomplete","Complete")</f>
        <v>Complete</v>
      </c>
      <c r="N155" t="str">
        <f>IF(M155="Incomplete","Not checked",IF(ROUND(I155*J155,2)=ROUND(L155,2),"Valid","Mismatch"))</f>
        <v>Valid</v>
      </c>
      <c r="O155">
        <f t="shared" si="5"/>
        <v>11.25</v>
      </c>
    </row>
    <row r="156" spans="1:15">
      <c r="A156">
        <v>1585</v>
      </c>
      <c r="B156" t="str">
        <f t="shared" si="4"/>
        <v>2023-10</v>
      </c>
      <c r="C156" s="1">
        <v>45204</v>
      </c>
      <c r="D156" s="5">
        <v>0.83333333333333337</v>
      </c>
      <c r="E156">
        <v>2</v>
      </c>
      <c r="F156" t="s">
        <v>14</v>
      </c>
      <c r="G156">
        <v>24</v>
      </c>
      <c r="H156" t="s">
        <v>12</v>
      </c>
      <c r="I156">
        <v>1</v>
      </c>
      <c r="J156" s="6">
        <v>25</v>
      </c>
      <c r="K156">
        <v>7.25</v>
      </c>
      <c r="L156">
        <v>25</v>
      </c>
      <c r="M156" t="str">
        <f>IF(OR(I156="",J156="",L156=""),"Incomplete","Complete")</f>
        <v>Complete</v>
      </c>
      <c r="N156" t="str">
        <f>IF(M156="Incomplete","Not checked",IF(ROUND(I156*J156,2)=ROUND(L156,2),"Valid","Mismatch"))</f>
        <v>Valid</v>
      </c>
      <c r="O156">
        <f t="shared" si="5"/>
        <v>17.75</v>
      </c>
    </row>
    <row r="157" spans="1:15">
      <c r="A157">
        <v>242</v>
      </c>
      <c r="B157" t="str">
        <f t="shared" si="4"/>
        <v>2023-10</v>
      </c>
      <c r="C157" s="1">
        <v>45200</v>
      </c>
      <c r="D157" s="5">
        <v>0.76944444444444449</v>
      </c>
      <c r="E157">
        <v>1</v>
      </c>
      <c r="F157" t="s">
        <v>11</v>
      </c>
      <c r="G157">
        <v>21</v>
      </c>
      <c r="H157" t="s">
        <v>12</v>
      </c>
      <c r="I157">
        <v>1</v>
      </c>
      <c r="J157" s="6">
        <v>25</v>
      </c>
      <c r="K157">
        <v>8</v>
      </c>
      <c r="L157">
        <v>25</v>
      </c>
      <c r="M157" t="str">
        <f>IF(OR(I157="",J157="",L157=""),"Incomplete","Complete")</f>
        <v>Complete</v>
      </c>
      <c r="N157" t="str">
        <f>IF(M157="Incomplete","Not checked",IF(ROUND(I157*J157,2)=ROUND(L157,2),"Valid","Mismatch"))</f>
        <v>Valid</v>
      </c>
      <c r="O157">
        <f t="shared" si="5"/>
        <v>17</v>
      </c>
    </row>
    <row r="158" spans="1:15">
      <c r="A158">
        <v>1242</v>
      </c>
      <c r="B158" t="str">
        <f t="shared" si="4"/>
        <v>2023-11</v>
      </c>
      <c r="C158" s="1">
        <v>45257</v>
      </c>
      <c r="D158" s="5">
        <v>0.77222222222222225</v>
      </c>
      <c r="E158">
        <v>5</v>
      </c>
      <c r="F158" t="s">
        <v>11</v>
      </c>
      <c r="G158">
        <v>21</v>
      </c>
      <c r="H158" t="s">
        <v>12</v>
      </c>
      <c r="I158">
        <v>1</v>
      </c>
      <c r="J158" s="6">
        <v>25</v>
      </c>
      <c r="K158">
        <v>11.25</v>
      </c>
      <c r="L158">
        <v>25</v>
      </c>
      <c r="M158" t="str">
        <f>IF(OR(I158="",J158="",L158=""),"Incomplete","Complete")</f>
        <v>Complete</v>
      </c>
      <c r="N158" t="str">
        <f>IF(M158="Incomplete","Not checked",IF(ROUND(I158*J158,2)=ROUND(L158,2),"Valid","Mismatch"))</f>
        <v>Valid</v>
      </c>
      <c r="O158">
        <f t="shared" si="5"/>
        <v>13.75</v>
      </c>
    </row>
    <row r="159" spans="1:15">
      <c r="A159">
        <v>188</v>
      </c>
      <c r="B159" t="str">
        <f t="shared" si="4"/>
        <v>2023-08</v>
      </c>
      <c r="C159" s="1">
        <v>45169</v>
      </c>
      <c r="D159" s="5">
        <v>0.78472222222222221</v>
      </c>
      <c r="E159">
        <v>3</v>
      </c>
      <c r="F159" t="s">
        <v>11</v>
      </c>
      <c r="G159">
        <v>40</v>
      </c>
      <c r="H159" t="s">
        <v>12</v>
      </c>
      <c r="I159">
        <v>3</v>
      </c>
      <c r="J159" s="6">
        <v>25</v>
      </c>
      <c r="K159">
        <v>8.5</v>
      </c>
      <c r="L159">
        <v>75</v>
      </c>
      <c r="M159" t="str">
        <f>IF(OR(I159="",J159="",L159=""),"Incomplete","Complete")</f>
        <v>Complete</v>
      </c>
      <c r="N159" t="str">
        <f>IF(M159="Incomplete","Not checked",IF(ROUND(I159*J159,2)=ROUND(L159,2),"Valid","Mismatch"))</f>
        <v>Valid</v>
      </c>
      <c r="O159">
        <f t="shared" si="5"/>
        <v>66.5</v>
      </c>
    </row>
    <row r="160" spans="1:15">
      <c r="A160">
        <v>357</v>
      </c>
      <c r="B160" t="str">
        <f t="shared" si="4"/>
        <v>2023-05</v>
      </c>
      <c r="C160" s="1">
        <v>45064</v>
      </c>
      <c r="D160" s="5">
        <v>0.7895833333333333</v>
      </c>
      <c r="E160">
        <v>4</v>
      </c>
      <c r="F160" t="s">
        <v>14</v>
      </c>
      <c r="G160">
        <v>40</v>
      </c>
      <c r="H160" t="s">
        <v>15</v>
      </c>
      <c r="I160">
        <v>3</v>
      </c>
      <c r="J160" s="6">
        <v>25</v>
      </c>
      <c r="K160">
        <v>7.5</v>
      </c>
      <c r="L160">
        <v>75</v>
      </c>
      <c r="M160" t="str">
        <f>IF(OR(I160="",J160="",L160=""),"Incomplete","Complete")</f>
        <v>Complete</v>
      </c>
      <c r="N160" t="str">
        <f>IF(M160="Incomplete","Not checked",IF(ROUND(I160*J160,2)=ROUND(L160,2),"Valid","Mismatch"))</f>
        <v>Valid</v>
      </c>
      <c r="O160">
        <f t="shared" si="5"/>
        <v>67.5</v>
      </c>
    </row>
    <row r="161" spans="1:15">
      <c r="A161">
        <v>1188</v>
      </c>
      <c r="B161" t="str">
        <f t="shared" si="4"/>
        <v>2023-06</v>
      </c>
      <c r="C161" s="1">
        <v>45081</v>
      </c>
      <c r="D161" s="5">
        <v>0.94652777777777775</v>
      </c>
      <c r="E161">
        <v>2</v>
      </c>
      <c r="F161" t="s">
        <v>11</v>
      </c>
      <c r="G161">
        <v>40</v>
      </c>
      <c r="H161" t="s">
        <v>12</v>
      </c>
      <c r="I161">
        <v>3</v>
      </c>
      <c r="J161" s="6">
        <v>25</v>
      </c>
      <c r="K161">
        <v>10.75</v>
      </c>
      <c r="L161">
        <v>75</v>
      </c>
      <c r="M161" t="str">
        <f>IF(OR(I161="",J161="",L161=""),"Incomplete","Complete")</f>
        <v>Complete</v>
      </c>
      <c r="N161" t="str">
        <f>IF(M161="Incomplete","Not checked",IF(ROUND(I161*J161,2)=ROUND(L161,2),"Valid","Mismatch"))</f>
        <v>Valid</v>
      </c>
      <c r="O161">
        <f t="shared" si="5"/>
        <v>64.25</v>
      </c>
    </row>
    <row r="162" spans="1:15">
      <c r="A162">
        <v>1357</v>
      </c>
      <c r="B162" t="str">
        <f t="shared" si="4"/>
        <v>2023-03</v>
      </c>
      <c r="C162" s="1">
        <v>45005</v>
      </c>
      <c r="D162" s="5">
        <v>0.80138888888888893</v>
      </c>
      <c r="E162">
        <v>3</v>
      </c>
      <c r="F162" t="s">
        <v>14</v>
      </c>
      <c r="G162">
        <v>40</v>
      </c>
      <c r="H162" t="s">
        <v>15</v>
      </c>
      <c r="I162">
        <v>3</v>
      </c>
      <c r="J162" s="6">
        <v>25</v>
      </c>
      <c r="K162">
        <v>11.5</v>
      </c>
      <c r="L162">
        <v>75</v>
      </c>
      <c r="M162" t="str">
        <f>IF(OR(I162="",J162="",L162=""),"Incomplete","Complete")</f>
        <v>Complete</v>
      </c>
      <c r="N162" t="str">
        <f>IF(M162="Incomplete","Not checked",IF(ROUND(I162*J162,2)=ROUND(L162,2),"Valid","Mismatch"))</f>
        <v>Valid</v>
      </c>
      <c r="O162">
        <f t="shared" si="5"/>
        <v>63.5</v>
      </c>
    </row>
    <row r="163" spans="1:15">
      <c r="A163">
        <v>849</v>
      </c>
      <c r="B163" t="str">
        <f t="shared" si="4"/>
        <v>2023-06</v>
      </c>
      <c r="C163" s="1">
        <v>45102</v>
      </c>
      <c r="D163" s="5">
        <v>0.81458333333333333</v>
      </c>
      <c r="E163">
        <v>5</v>
      </c>
      <c r="F163" t="s">
        <v>11</v>
      </c>
      <c r="G163">
        <v>32</v>
      </c>
      <c r="H163" t="s">
        <v>12</v>
      </c>
      <c r="I163">
        <v>2</v>
      </c>
      <c r="J163" s="6">
        <v>25</v>
      </c>
      <c r="K163">
        <v>12.5</v>
      </c>
      <c r="L163">
        <v>50</v>
      </c>
      <c r="M163" t="str">
        <f>IF(OR(I163="",J163="",L163=""),"Incomplete","Complete")</f>
        <v>Complete</v>
      </c>
      <c r="N163" t="str">
        <f>IF(M163="Incomplete","Not checked",IF(ROUND(I163*J163,2)=ROUND(L163,2),"Valid","Mismatch"))</f>
        <v>Valid</v>
      </c>
      <c r="O163">
        <f t="shared" si="5"/>
        <v>37.5</v>
      </c>
    </row>
    <row r="164" spans="1:15">
      <c r="A164">
        <v>1849</v>
      </c>
      <c r="B164" t="str">
        <f t="shared" si="4"/>
        <v>2023-07</v>
      </c>
      <c r="C164" s="1">
        <v>45128</v>
      </c>
      <c r="D164" s="5">
        <v>0.9458333333333333</v>
      </c>
      <c r="E164">
        <v>1</v>
      </c>
      <c r="F164" t="s">
        <v>11</v>
      </c>
      <c r="G164">
        <v>32</v>
      </c>
      <c r="H164" t="s">
        <v>12</v>
      </c>
      <c r="I164">
        <v>2</v>
      </c>
      <c r="J164" s="6">
        <v>25</v>
      </c>
      <c r="K164">
        <v>12</v>
      </c>
      <c r="L164">
        <v>50</v>
      </c>
      <c r="M164" t="str">
        <f>IF(OR(I164="",J164="",L164=""),"Incomplete","Complete")</f>
        <v>Complete</v>
      </c>
      <c r="N164" t="str">
        <f>IF(M164="Incomplete","Not checked",IF(ROUND(I164*J164,2)=ROUND(L164,2),"Valid","Mismatch"))</f>
        <v>Valid</v>
      </c>
      <c r="O164">
        <f t="shared" si="5"/>
        <v>38</v>
      </c>
    </row>
    <row r="165" spans="1:15">
      <c r="A165">
        <v>744</v>
      </c>
      <c r="B165" t="str">
        <f t="shared" si="4"/>
        <v>2023-05</v>
      </c>
      <c r="C165" s="1">
        <v>45069</v>
      </c>
      <c r="D165" s="5">
        <v>0.75138888888888888</v>
      </c>
      <c r="E165">
        <v>1</v>
      </c>
      <c r="F165" t="s">
        <v>11</v>
      </c>
      <c r="G165">
        <v>40</v>
      </c>
      <c r="H165" t="s">
        <v>15</v>
      </c>
      <c r="I165">
        <v>1</v>
      </c>
      <c r="J165" s="6">
        <v>25</v>
      </c>
      <c r="K165">
        <v>6.5</v>
      </c>
      <c r="L165">
        <v>25</v>
      </c>
      <c r="M165" t="str">
        <f>IF(OR(I165="",J165="",L165=""),"Incomplete","Complete")</f>
        <v>Complete</v>
      </c>
      <c r="N165" t="str">
        <f>IF(M165="Incomplete","Not checked",IF(ROUND(I165*J165,2)=ROUND(L165,2),"Valid","Mismatch"))</f>
        <v>Valid</v>
      </c>
      <c r="O165">
        <f t="shared" si="5"/>
        <v>18.5</v>
      </c>
    </row>
    <row r="166" spans="1:15">
      <c r="A166">
        <v>1744</v>
      </c>
      <c r="B166" t="str">
        <f t="shared" si="4"/>
        <v>2023-07</v>
      </c>
      <c r="C166" s="1">
        <v>45114</v>
      </c>
      <c r="D166" s="5">
        <v>0.90902777777777777</v>
      </c>
      <c r="E166">
        <v>4</v>
      </c>
      <c r="F166" t="s">
        <v>11</v>
      </c>
      <c r="G166">
        <v>40</v>
      </c>
      <c r="H166" t="s">
        <v>15</v>
      </c>
      <c r="I166">
        <v>1</v>
      </c>
      <c r="J166" s="6">
        <v>25</v>
      </c>
      <c r="K166">
        <v>8.75</v>
      </c>
      <c r="L166">
        <v>25</v>
      </c>
      <c r="M166" t="str">
        <f>IF(OR(I166="",J166="",L166=""),"Incomplete","Complete")</f>
        <v>Complete</v>
      </c>
      <c r="N166" t="str">
        <f>IF(M166="Incomplete","Not checked",IF(ROUND(I166*J166,2)=ROUND(L166,2),"Valid","Mismatch"))</f>
        <v>Valid</v>
      </c>
      <c r="O166">
        <f t="shared" si="5"/>
        <v>16.25</v>
      </c>
    </row>
    <row r="167" spans="1:15">
      <c r="A167">
        <v>469</v>
      </c>
      <c r="B167" t="str">
        <f t="shared" si="4"/>
        <v>2023-03</v>
      </c>
      <c r="C167" s="1">
        <v>45006</v>
      </c>
      <c r="D167" s="5">
        <v>0.80833333333333335</v>
      </c>
      <c r="E167">
        <v>4</v>
      </c>
      <c r="F167" t="s">
        <v>11</v>
      </c>
      <c r="G167">
        <v>18</v>
      </c>
      <c r="H167" t="s">
        <v>13</v>
      </c>
      <c r="I167">
        <v>3</v>
      </c>
      <c r="J167" s="6">
        <v>25</v>
      </c>
      <c r="K167">
        <v>8.75</v>
      </c>
      <c r="L167">
        <v>75</v>
      </c>
      <c r="M167" t="str">
        <f>IF(OR(I167="",J167="",L167=""),"Incomplete","Complete")</f>
        <v>Complete</v>
      </c>
      <c r="N167" t="str">
        <f>IF(M167="Incomplete","Not checked",IF(ROUND(I167*J167,2)=ROUND(L167,2),"Valid","Mismatch"))</f>
        <v>Valid</v>
      </c>
      <c r="O167">
        <f t="shared" si="5"/>
        <v>66.25</v>
      </c>
    </row>
    <row r="168" spans="1:15">
      <c r="A168">
        <v>620</v>
      </c>
      <c r="B168" t="str">
        <f t="shared" si="4"/>
        <v>2023-11</v>
      </c>
      <c r="C168" s="1">
        <v>45236</v>
      </c>
      <c r="D168" s="5">
        <v>0.87430555555555556</v>
      </c>
      <c r="E168">
        <v>4</v>
      </c>
      <c r="F168" t="s">
        <v>11</v>
      </c>
      <c r="G168">
        <v>63</v>
      </c>
      <c r="H168" t="s">
        <v>15</v>
      </c>
      <c r="I168">
        <v>3</v>
      </c>
      <c r="J168" s="6">
        <v>25</v>
      </c>
      <c r="K168">
        <v>7</v>
      </c>
      <c r="L168">
        <v>75</v>
      </c>
      <c r="M168" t="str">
        <f>IF(OR(I168="",J168="",L168=""),"Incomplete","Complete")</f>
        <v>Complete</v>
      </c>
      <c r="N168" t="str">
        <f>IF(M168="Incomplete","Not checked",IF(ROUND(I168*J168,2)=ROUND(L168,2),"Valid","Mismatch"))</f>
        <v>Valid</v>
      </c>
      <c r="O168">
        <f t="shared" si="5"/>
        <v>68</v>
      </c>
    </row>
    <row r="169" spans="1:15">
      <c r="A169">
        <v>1469</v>
      </c>
      <c r="B169" t="str">
        <f t="shared" si="4"/>
        <v>2023-12</v>
      </c>
      <c r="C169" s="1">
        <v>45268</v>
      </c>
      <c r="D169" s="5">
        <v>0.72361111111111109</v>
      </c>
      <c r="E169">
        <v>3</v>
      </c>
      <c r="F169" t="s">
        <v>11</v>
      </c>
      <c r="G169">
        <v>18</v>
      </c>
      <c r="H169" t="s">
        <v>13</v>
      </c>
      <c r="I169">
        <v>3</v>
      </c>
      <c r="J169" s="6">
        <v>25</v>
      </c>
      <c r="K169">
        <v>12.5</v>
      </c>
      <c r="L169">
        <v>75</v>
      </c>
      <c r="M169" t="str">
        <f>IF(OR(I169="",J169="",L169=""),"Incomplete","Complete")</f>
        <v>Complete</v>
      </c>
      <c r="N169" t="str">
        <f>IF(M169="Incomplete","Not checked",IF(ROUND(I169*J169,2)=ROUND(L169,2),"Valid","Mismatch"))</f>
        <v>Valid</v>
      </c>
      <c r="O169">
        <f t="shared" si="5"/>
        <v>62.5</v>
      </c>
    </row>
    <row r="170" spans="1:15">
      <c r="A170">
        <v>1620</v>
      </c>
      <c r="B170" t="str">
        <f t="shared" si="4"/>
        <v>2023-02</v>
      </c>
      <c r="C170" s="1">
        <v>44960</v>
      </c>
      <c r="D170" s="5">
        <v>0.95</v>
      </c>
      <c r="E170">
        <v>5</v>
      </c>
      <c r="F170" t="s">
        <v>11</v>
      </c>
      <c r="G170">
        <v>63</v>
      </c>
      <c r="H170" t="s">
        <v>15</v>
      </c>
      <c r="I170">
        <v>3</v>
      </c>
      <c r="J170" s="6">
        <v>25</v>
      </c>
      <c r="K170">
        <v>7.75</v>
      </c>
      <c r="L170">
        <v>75</v>
      </c>
      <c r="M170" t="str">
        <f>IF(OR(I170="",J170="",L170=""),"Incomplete","Complete")</f>
        <v>Complete</v>
      </c>
      <c r="N170" t="str">
        <f>IF(M170="Incomplete","Not checked",IF(ROUND(I170*J170,2)=ROUND(L170,2),"Valid","Mismatch"))</f>
        <v>Valid</v>
      </c>
      <c r="O170">
        <f t="shared" si="5"/>
        <v>67.25</v>
      </c>
    </row>
    <row r="171" spans="1:15">
      <c r="A171">
        <v>414</v>
      </c>
      <c r="B171" t="str">
        <f t="shared" si="4"/>
        <v>2023-05</v>
      </c>
      <c r="C171" s="1">
        <v>45056</v>
      </c>
      <c r="D171" s="5">
        <v>0.81944444444444442</v>
      </c>
      <c r="E171">
        <v>1</v>
      </c>
      <c r="F171" t="s">
        <v>11</v>
      </c>
      <c r="G171">
        <v>48</v>
      </c>
      <c r="H171" t="s">
        <v>13</v>
      </c>
      <c r="I171">
        <v>4</v>
      </c>
      <c r="J171" s="6">
        <v>25</v>
      </c>
      <c r="K171">
        <v>9.75</v>
      </c>
      <c r="L171">
        <v>100</v>
      </c>
      <c r="M171" t="str">
        <f>IF(OR(I171="",J171="",L171=""),"Incomplete","Complete")</f>
        <v>Complete</v>
      </c>
      <c r="N171" t="str">
        <f>IF(M171="Incomplete","Not checked",IF(ROUND(I171*J171,2)=ROUND(L171,2),"Valid","Mismatch"))</f>
        <v>Valid</v>
      </c>
      <c r="O171">
        <f t="shared" si="5"/>
        <v>90.25</v>
      </c>
    </row>
    <row r="172" spans="1:15">
      <c r="A172">
        <v>1414</v>
      </c>
      <c r="B172" t="str">
        <f t="shared" si="4"/>
        <v>2023-11</v>
      </c>
      <c r="C172" s="1">
        <v>45252</v>
      </c>
      <c r="D172" s="5">
        <v>0.89444444444444449</v>
      </c>
      <c r="E172">
        <v>4</v>
      </c>
      <c r="F172" t="s">
        <v>11</v>
      </c>
      <c r="G172">
        <v>48</v>
      </c>
      <c r="H172" t="s">
        <v>13</v>
      </c>
      <c r="I172">
        <v>4</v>
      </c>
      <c r="J172" s="6">
        <v>25</v>
      </c>
      <c r="K172">
        <v>11.25</v>
      </c>
      <c r="L172">
        <v>100</v>
      </c>
      <c r="M172" t="str">
        <f>IF(OR(I172="",J172="",L172=""),"Incomplete","Complete")</f>
        <v>Complete</v>
      </c>
      <c r="N172" t="str">
        <f>IF(M172="Incomplete","Not checked",IF(ROUND(I172*J172,2)=ROUND(L172,2),"Valid","Mismatch"))</f>
        <v>Valid</v>
      </c>
      <c r="O172">
        <f t="shared" si="5"/>
        <v>88.75</v>
      </c>
    </row>
    <row r="173" spans="1:15">
      <c r="A173">
        <v>758</v>
      </c>
      <c r="B173" t="str">
        <f t="shared" si="4"/>
        <v>2023-04</v>
      </c>
      <c r="C173" s="1">
        <v>45039</v>
      </c>
      <c r="D173" s="5">
        <v>0.77083333333333337</v>
      </c>
      <c r="E173">
        <v>1</v>
      </c>
      <c r="F173" t="s">
        <v>11</v>
      </c>
      <c r="G173">
        <v>64</v>
      </c>
      <c r="H173" t="s">
        <v>12</v>
      </c>
      <c r="I173">
        <v>4</v>
      </c>
      <c r="J173" s="6">
        <v>25</v>
      </c>
      <c r="K173">
        <v>6.75</v>
      </c>
      <c r="L173">
        <v>100</v>
      </c>
      <c r="M173" t="str">
        <f>IF(OR(I173="",J173="",L173=""),"Incomplete","Complete")</f>
        <v>Complete</v>
      </c>
      <c r="N173" t="str">
        <f>IF(M173="Incomplete","Not checked",IF(ROUND(I173*J173,2)=ROUND(L173,2),"Valid","Mismatch"))</f>
        <v>Valid</v>
      </c>
      <c r="O173">
        <f t="shared" si="5"/>
        <v>93.25</v>
      </c>
    </row>
    <row r="174" spans="1:15">
      <c r="A174">
        <v>1758</v>
      </c>
      <c r="B174" t="str">
        <f t="shared" si="4"/>
        <v>2023-07</v>
      </c>
      <c r="C174" s="1">
        <v>45129</v>
      </c>
      <c r="D174" s="5">
        <v>0.7631944444444444</v>
      </c>
      <c r="E174">
        <v>3</v>
      </c>
      <c r="F174" t="s">
        <v>11</v>
      </c>
      <c r="G174">
        <v>64</v>
      </c>
      <c r="H174" t="s">
        <v>12</v>
      </c>
      <c r="I174">
        <v>4</v>
      </c>
      <c r="J174" s="6">
        <v>25</v>
      </c>
      <c r="K174">
        <v>7.5</v>
      </c>
      <c r="L174">
        <v>100</v>
      </c>
      <c r="M174" t="str">
        <f>IF(OR(I174="",J174="",L174=""),"Incomplete","Complete")</f>
        <v>Complete</v>
      </c>
      <c r="N174" t="str">
        <f>IF(M174="Incomplete","Not checked",IF(ROUND(I174*J174,2)=ROUND(L174,2),"Valid","Mismatch"))</f>
        <v>Valid</v>
      </c>
      <c r="O174">
        <f t="shared" si="5"/>
        <v>92.5</v>
      </c>
    </row>
    <row r="175" spans="1:15">
      <c r="A175">
        <v>811</v>
      </c>
      <c r="B175" t="str">
        <f t="shared" si="4"/>
        <v>2023-04</v>
      </c>
      <c r="C175" s="1">
        <v>45031</v>
      </c>
      <c r="D175" s="5">
        <v>0.77361111111111114</v>
      </c>
      <c r="E175">
        <v>2</v>
      </c>
      <c r="F175" t="s">
        <v>11</v>
      </c>
      <c r="G175">
        <v>61</v>
      </c>
      <c r="H175" t="s">
        <v>13</v>
      </c>
      <c r="I175">
        <v>2</v>
      </c>
      <c r="J175" s="6">
        <v>25</v>
      </c>
      <c r="K175">
        <v>6.75</v>
      </c>
      <c r="L175">
        <v>50</v>
      </c>
      <c r="M175" t="str">
        <f>IF(OR(I175="",J175="",L175=""),"Incomplete","Complete")</f>
        <v>Complete</v>
      </c>
      <c r="N175" t="str">
        <f>IF(M175="Incomplete","Not checked",IF(ROUND(I175*J175,2)=ROUND(L175,2),"Valid","Mismatch"))</f>
        <v>Valid</v>
      </c>
      <c r="O175">
        <f t="shared" si="5"/>
        <v>43.25</v>
      </c>
    </row>
    <row r="176" spans="1:15">
      <c r="A176">
        <v>1811</v>
      </c>
      <c r="B176" t="str">
        <f t="shared" si="4"/>
        <v>2023-12</v>
      </c>
      <c r="C176" s="1">
        <v>45269</v>
      </c>
      <c r="D176" s="5">
        <v>0.91527777777777775</v>
      </c>
      <c r="E176">
        <v>5</v>
      </c>
      <c r="F176" t="s">
        <v>11</v>
      </c>
      <c r="G176">
        <v>61</v>
      </c>
      <c r="H176" t="s">
        <v>13</v>
      </c>
      <c r="I176">
        <v>2</v>
      </c>
      <c r="J176" s="6">
        <v>25</v>
      </c>
      <c r="K176">
        <v>8.5</v>
      </c>
      <c r="L176">
        <v>50</v>
      </c>
      <c r="M176" t="str">
        <f>IF(OR(I176="",J176="",L176=""),"Incomplete","Complete")</f>
        <v>Complete</v>
      </c>
      <c r="N176" t="str">
        <f>IF(M176="Incomplete","Not checked",IF(ROUND(I176*J176,2)=ROUND(L176,2),"Valid","Mismatch"))</f>
        <v>Valid</v>
      </c>
      <c r="O176">
        <f t="shared" si="5"/>
        <v>41.5</v>
      </c>
    </row>
    <row r="177" spans="1:15">
      <c r="A177">
        <v>653</v>
      </c>
      <c r="B177" t="str">
        <f t="shared" si="4"/>
        <v>2023-11</v>
      </c>
      <c r="C177" s="1">
        <v>45255</v>
      </c>
      <c r="D177" s="5">
        <v>0.95347222222222228</v>
      </c>
      <c r="E177">
        <v>3</v>
      </c>
      <c r="F177" t="s">
        <v>11</v>
      </c>
      <c r="G177">
        <v>54</v>
      </c>
      <c r="H177" t="s">
        <v>12</v>
      </c>
      <c r="I177">
        <v>3</v>
      </c>
      <c r="J177" s="6">
        <v>25</v>
      </c>
      <c r="K177">
        <v>9.25</v>
      </c>
      <c r="L177">
        <v>75</v>
      </c>
      <c r="M177" t="str">
        <f>IF(OR(I177="",J177="",L177=""),"Incomplete","Complete")</f>
        <v>Complete</v>
      </c>
      <c r="N177" t="str">
        <f>IF(M177="Incomplete","Not checked",IF(ROUND(I177*J177,2)=ROUND(L177,2),"Valid","Mismatch"))</f>
        <v>Valid</v>
      </c>
      <c r="O177">
        <f t="shared" si="5"/>
        <v>65.75</v>
      </c>
    </row>
    <row r="178" spans="1:15">
      <c r="A178">
        <v>694</v>
      </c>
      <c r="B178" t="str">
        <f t="shared" si="4"/>
        <v>2023-06</v>
      </c>
      <c r="C178" s="1">
        <v>45107</v>
      </c>
      <c r="D178" s="5">
        <v>0.74097222222222225</v>
      </c>
      <c r="E178">
        <v>3</v>
      </c>
      <c r="F178" t="s">
        <v>14</v>
      </c>
      <c r="G178">
        <v>39</v>
      </c>
      <c r="H178" t="s">
        <v>15</v>
      </c>
      <c r="I178">
        <v>2</v>
      </c>
      <c r="J178" s="6">
        <v>25</v>
      </c>
      <c r="K178">
        <v>10</v>
      </c>
      <c r="L178">
        <v>50</v>
      </c>
      <c r="M178" t="str">
        <f>IF(OR(I178="",J178="",L178=""),"Incomplete","Complete")</f>
        <v>Complete</v>
      </c>
      <c r="N178" t="str">
        <f>IF(M178="Incomplete","Not checked",IF(ROUND(I178*J178,2)=ROUND(L178,2),"Valid","Mismatch"))</f>
        <v>Valid</v>
      </c>
      <c r="O178">
        <f t="shared" si="5"/>
        <v>40</v>
      </c>
    </row>
    <row r="179" spans="1:15">
      <c r="A179">
        <v>1653</v>
      </c>
      <c r="B179" t="str">
        <f t="shared" si="4"/>
        <v>2023-07</v>
      </c>
      <c r="C179" s="1">
        <v>45130</v>
      </c>
      <c r="D179" s="5">
        <v>0.81527777777777777</v>
      </c>
      <c r="E179">
        <v>2</v>
      </c>
      <c r="F179" t="s">
        <v>11</v>
      </c>
      <c r="G179">
        <v>54</v>
      </c>
      <c r="H179" t="s">
        <v>12</v>
      </c>
      <c r="I179">
        <v>3</v>
      </c>
      <c r="J179" s="6">
        <v>25</v>
      </c>
      <c r="K179">
        <v>12.75</v>
      </c>
      <c r="L179">
        <v>75</v>
      </c>
      <c r="M179" t="str">
        <f>IF(OR(I179="",J179="",L179=""),"Incomplete","Complete")</f>
        <v>Complete</v>
      </c>
      <c r="N179" t="str">
        <f>IF(M179="Incomplete","Not checked",IF(ROUND(I179*J179,2)=ROUND(L179,2),"Valid","Mismatch"))</f>
        <v>Valid</v>
      </c>
      <c r="O179">
        <f t="shared" si="5"/>
        <v>62.25</v>
      </c>
    </row>
    <row r="180" spans="1:15">
      <c r="A180">
        <v>1694</v>
      </c>
      <c r="B180" t="str">
        <f t="shared" si="4"/>
        <v>2023-01</v>
      </c>
      <c r="C180" s="1">
        <v>44936</v>
      </c>
      <c r="D180" s="5">
        <v>0.80694444444444446</v>
      </c>
      <c r="E180">
        <v>4</v>
      </c>
      <c r="F180" t="s">
        <v>14</v>
      </c>
      <c r="G180">
        <v>39</v>
      </c>
      <c r="H180" t="s">
        <v>15</v>
      </c>
      <c r="I180">
        <v>2</v>
      </c>
      <c r="J180" s="6">
        <v>25</v>
      </c>
      <c r="K180">
        <v>9.75</v>
      </c>
      <c r="L180">
        <v>50</v>
      </c>
      <c r="M180" t="str">
        <f>IF(OR(I180="",J180="",L180=""),"Incomplete","Complete")</f>
        <v>Complete</v>
      </c>
      <c r="N180" t="str">
        <f>IF(M180="Incomplete","Not checked",IF(ROUND(I180*J180,2)=ROUND(L180,2),"Valid","Mismatch"))</f>
        <v>Valid</v>
      </c>
      <c r="O180">
        <f t="shared" si="5"/>
        <v>40.25</v>
      </c>
    </row>
    <row r="181" spans="1:15">
      <c r="A181">
        <v>642</v>
      </c>
      <c r="B181" t="str">
        <f t="shared" si="4"/>
        <v>2023-05</v>
      </c>
      <c r="C181" s="1">
        <v>45050</v>
      </c>
      <c r="D181" s="5">
        <v>0.90277777777777779</v>
      </c>
      <c r="E181">
        <v>1</v>
      </c>
      <c r="F181" t="s">
        <v>14</v>
      </c>
      <c r="G181">
        <v>54</v>
      </c>
      <c r="H181" t="s">
        <v>12</v>
      </c>
      <c r="I181">
        <v>4</v>
      </c>
      <c r="J181" s="6">
        <v>25</v>
      </c>
      <c r="K181">
        <v>12</v>
      </c>
      <c r="L181">
        <v>100</v>
      </c>
      <c r="M181" t="str">
        <f>IF(OR(I181="",J181="",L181=""),"Incomplete","Complete")</f>
        <v>Complete</v>
      </c>
      <c r="N181" t="str">
        <f>IF(M181="Incomplete","Not checked",IF(ROUND(I181*J181,2)=ROUND(L181,2),"Valid","Mismatch"))</f>
        <v>Valid</v>
      </c>
      <c r="O181">
        <f t="shared" si="5"/>
        <v>88</v>
      </c>
    </row>
    <row r="182" spans="1:15">
      <c r="A182">
        <v>1642</v>
      </c>
      <c r="B182" t="str">
        <f t="shared" si="4"/>
        <v>2023-12</v>
      </c>
      <c r="C182" s="1">
        <v>45287</v>
      </c>
      <c r="D182" s="5">
        <v>0.77083333333333337</v>
      </c>
      <c r="E182">
        <v>4</v>
      </c>
      <c r="F182" t="s">
        <v>14</v>
      </c>
      <c r="G182">
        <v>54</v>
      </c>
      <c r="H182" t="s">
        <v>12</v>
      </c>
      <c r="I182">
        <v>4</v>
      </c>
      <c r="J182" s="6">
        <v>25</v>
      </c>
      <c r="K182">
        <v>11.5</v>
      </c>
      <c r="L182">
        <v>100</v>
      </c>
      <c r="M182" t="str">
        <f>IF(OR(I182="",J182="",L182=""),"Incomplete","Complete")</f>
        <v>Complete</v>
      </c>
      <c r="N182" t="str">
        <f>IF(M182="Incomplete","Not checked",IF(ROUND(I182*J182,2)=ROUND(L182,2),"Valid","Mismatch"))</f>
        <v>Valid</v>
      </c>
      <c r="O182">
        <f t="shared" si="5"/>
        <v>88.5</v>
      </c>
    </row>
    <row r="183" spans="1:15">
      <c r="A183">
        <v>37</v>
      </c>
      <c r="B183" t="str">
        <f t="shared" si="4"/>
        <v>2023-05</v>
      </c>
      <c r="C183" s="1">
        <v>45072</v>
      </c>
      <c r="D183" s="5">
        <v>0.9458333333333333</v>
      </c>
      <c r="E183">
        <v>2</v>
      </c>
      <c r="F183" t="s">
        <v>14</v>
      </c>
      <c r="G183">
        <v>18</v>
      </c>
      <c r="H183" t="s">
        <v>13</v>
      </c>
      <c r="I183">
        <v>3</v>
      </c>
      <c r="J183" s="6">
        <v>25</v>
      </c>
      <c r="K183">
        <v>8.75</v>
      </c>
      <c r="L183">
        <v>75</v>
      </c>
      <c r="M183" t="str">
        <f>IF(OR(I183="",J183="",L183=""),"Incomplete","Complete")</f>
        <v>Complete</v>
      </c>
      <c r="N183" t="str">
        <f>IF(M183="Incomplete","Not checked",IF(ROUND(I183*J183,2)=ROUND(L183,2),"Valid","Mismatch"))</f>
        <v>Valid</v>
      </c>
      <c r="O183">
        <f t="shared" si="5"/>
        <v>66.25</v>
      </c>
    </row>
    <row r="184" spans="1:15">
      <c r="A184">
        <v>1037</v>
      </c>
      <c r="B184" t="str">
        <f t="shared" si="4"/>
        <v>2023-10</v>
      </c>
      <c r="C184" s="1">
        <v>45216</v>
      </c>
      <c r="D184" s="5">
        <v>0.73472222222222228</v>
      </c>
      <c r="E184">
        <v>2</v>
      </c>
      <c r="F184" t="s">
        <v>14</v>
      </c>
      <c r="G184">
        <v>18</v>
      </c>
      <c r="H184" t="s">
        <v>13</v>
      </c>
      <c r="I184">
        <v>3</v>
      </c>
      <c r="J184" s="6">
        <v>25</v>
      </c>
      <c r="K184">
        <v>11.5</v>
      </c>
      <c r="L184">
        <v>75</v>
      </c>
      <c r="M184" t="str">
        <f>IF(OR(I184="",J184="",L184=""),"Incomplete","Complete")</f>
        <v>Complete</v>
      </c>
      <c r="N184" t="str">
        <f>IF(M184="Incomplete","Not checked",IF(ROUND(I184*J184,2)=ROUND(L184,2),"Valid","Mismatch"))</f>
        <v>Valid</v>
      </c>
      <c r="O184">
        <f t="shared" si="5"/>
        <v>63.5</v>
      </c>
    </row>
    <row r="185" spans="1:15">
      <c r="A185">
        <v>840</v>
      </c>
      <c r="B185" t="str">
        <f t="shared" si="4"/>
        <v>2023-07</v>
      </c>
      <c r="C185" s="1">
        <v>45108</v>
      </c>
      <c r="D185" s="5">
        <v>0.79097222222222219</v>
      </c>
      <c r="E185">
        <v>60</v>
      </c>
      <c r="F185" t="s">
        <v>11</v>
      </c>
      <c r="G185">
        <v>62</v>
      </c>
      <c r="H185" t="s">
        <v>12</v>
      </c>
      <c r="I185">
        <v>2</v>
      </c>
      <c r="J185" s="6">
        <v>25</v>
      </c>
      <c r="K185">
        <v>11.75</v>
      </c>
      <c r="L185">
        <v>50</v>
      </c>
      <c r="M185" t="str">
        <f>IF(OR(I185="",J185="",L185=""),"Incomplete","Complete")</f>
        <v>Complete</v>
      </c>
      <c r="N185" t="str">
        <f>IF(M185="Incomplete","Not checked",IF(ROUND(I185*J185,2)=ROUND(L185,2),"Valid","Mismatch"))</f>
        <v>Valid</v>
      </c>
      <c r="O185">
        <f t="shared" si="5"/>
        <v>38.25</v>
      </c>
    </row>
    <row r="186" spans="1:15">
      <c r="A186">
        <v>1840</v>
      </c>
      <c r="B186" t="str">
        <f t="shared" si="4"/>
        <v>2023-05</v>
      </c>
      <c r="C186" s="1">
        <v>45058</v>
      </c>
      <c r="D186" s="5">
        <v>0.84861111111111109</v>
      </c>
      <c r="E186">
        <v>138</v>
      </c>
      <c r="F186" t="s">
        <v>11</v>
      </c>
      <c r="G186">
        <v>62</v>
      </c>
      <c r="H186" t="s">
        <v>12</v>
      </c>
      <c r="I186">
        <v>2</v>
      </c>
      <c r="J186" s="6">
        <v>25</v>
      </c>
      <c r="K186">
        <v>11</v>
      </c>
      <c r="L186">
        <v>50</v>
      </c>
      <c r="M186" t="str">
        <f>IF(OR(I186="",J186="",L186=""),"Incomplete","Complete")</f>
        <v>Complete</v>
      </c>
      <c r="N186" t="str">
        <f>IF(M186="Incomplete","Not checked",IF(ROUND(I186*J186,2)=ROUND(L186,2),"Valid","Mismatch"))</f>
        <v>Valid</v>
      </c>
      <c r="O186">
        <f t="shared" si="5"/>
        <v>39</v>
      </c>
    </row>
    <row r="187" spans="1:15">
      <c r="A187">
        <v>307</v>
      </c>
      <c r="B187" t="str">
        <f t="shared" si="4"/>
        <v>2022-11</v>
      </c>
      <c r="C187" s="1">
        <v>44876</v>
      </c>
      <c r="D187" s="5">
        <v>0.95416666666666672</v>
      </c>
      <c r="E187">
        <v>32</v>
      </c>
      <c r="F187" t="s">
        <v>14</v>
      </c>
      <c r="G187">
        <v>26</v>
      </c>
      <c r="H187" t="s">
        <v>15</v>
      </c>
      <c r="I187">
        <v>2</v>
      </c>
      <c r="J187" s="6">
        <v>25</v>
      </c>
      <c r="K187">
        <v>8.5</v>
      </c>
      <c r="L187">
        <v>50</v>
      </c>
      <c r="M187" t="str">
        <f>IF(OR(I187="",J187="",L187=""),"Incomplete","Complete")</f>
        <v>Complete</v>
      </c>
      <c r="N187" t="str">
        <f>IF(M187="Incomplete","Not checked",IF(ROUND(I187*J187,2)=ROUND(L187,2),"Valid","Mismatch"))</f>
        <v>Valid</v>
      </c>
      <c r="O187">
        <f t="shared" si="5"/>
        <v>41.5</v>
      </c>
    </row>
    <row r="188" spans="1:15">
      <c r="A188">
        <v>1307</v>
      </c>
      <c r="B188" t="str">
        <f t="shared" si="4"/>
        <v>2022-01</v>
      </c>
      <c r="C188" s="1">
        <v>44590</v>
      </c>
      <c r="D188" s="5">
        <v>0.9243055555555556</v>
      </c>
      <c r="E188">
        <v>68</v>
      </c>
      <c r="F188" t="s">
        <v>14</v>
      </c>
      <c r="G188">
        <v>26</v>
      </c>
      <c r="H188" t="s">
        <v>15</v>
      </c>
      <c r="I188">
        <v>2</v>
      </c>
      <c r="J188" s="6">
        <v>25</v>
      </c>
      <c r="K188">
        <v>11.75</v>
      </c>
      <c r="L188">
        <v>50</v>
      </c>
      <c r="M188" t="str">
        <f>IF(OR(I188="",J188="",L188=""),"Incomplete","Complete")</f>
        <v>Complete</v>
      </c>
      <c r="N188" t="str">
        <f>IF(M188="Incomplete","Not checked",IF(ROUND(I188*J188,2)=ROUND(L188,2),"Valid","Mismatch"))</f>
        <v>Valid</v>
      </c>
      <c r="O188">
        <f t="shared" si="5"/>
        <v>38.25</v>
      </c>
    </row>
    <row r="189" spans="1:15">
      <c r="A189">
        <v>988</v>
      </c>
      <c r="B189" t="str">
        <f t="shared" si="4"/>
        <v>2022-08</v>
      </c>
      <c r="C189" s="1">
        <v>44778</v>
      </c>
      <c r="D189" s="5">
        <v>0.77847222222222223</v>
      </c>
      <c r="E189">
        <v>85</v>
      </c>
      <c r="F189" t="s">
        <v>14</v>
      </c>
      <c r="G189">
        <v>63</v>
      </c>
      <c r="H189" t="s">
        <v>12</v>
      </c>
      <c r="I189">
        <v>3</v>
      </c>
      <c r="J189" s="6">
        <v>25</v>
      </c>
      <c r="K189">
        <v>8</v>
      </c>
      <c r="L189">
        <v>75</v>
      </c>
      <c r="M189" t="str">
        <f>IF(OR(I189="",J189="",L189=""),"Incomplete","Complete")</f>
        <v>Complete</v>
      </c>
      <c r="N189" t="str">
        <f>IF(M189="Incomplete","Not checked",IF(ROUND(I189*J189,2)=ROUND(L189,2),"Valid","Mismatch"))</f>
        <v>Valid</v>
      </c>
      <c r="O189">
        <f t="shared" si="5"/>
        <v>67</v>
      </c>
    </row>
    <row r="190" spans="1:15">
      <c r="A190">
        <v>1988</v>
      </c>
      <c r="B190" t="str">
        <f t="shared" si="4"/>
        <v>2023-11</v>
      </c>
      <c r="C190" s="1">
        <v>45260</v>
      </c>
      <c r="D190" s="5">
        <v>0.78263888888888888</v>
      </c>
      <c r="E190">
        <v>144</v>
      </c>
      <c r="F190" t="s">
        <v>14</v>
      </c>
      <c r="G190">
        <v>63</v>
      </c>
      <c r="H190" t="s">
        <v>12</v>
      </c>
      <c r="I190">
        <v>3</v>
      </c>
      <c r="J190" s="6">
        <v>25</v>
      </c>
      <c r="K190">
        <v>7.25</v>
      </c>
      <c r="L190">
        <v>75</v>
      </c>
      <c r="M190" t="str">
        <f>IF(OR(I190="",J190="",L190=""),"Incomplete","Complete")</f>
        <v>Complete</v>
      </c>
      <c r="N190" t="str">
        <f>IF(M190="Incomplete","Not checked",IF(ROUND(I190*J190,2)=ROUND(L190,2),"Valid","Mismatch"))</f>
        <v>Valid</v>
      </c>
      <c r="O190">
        <f t="shared" si="5"/>
        <v>67.75</v>
      </c>
    </row>
    <row r="191" spans="1:15">
      <c r="A191">
        <v>985</v>
      </c>
      <c r="B191" t="str">
        <f t="shared" si="4"/>
        <v>2023-06</v>
      </c>
      <c r="C191" s="1">
        <v>45090</v>
      </c>
      <c r="D191" s="5">
        <v>0.93958333333333333</v>
      </c>
      <c r="E191">
        <v>113</v>
      </c>
      <c r="F191" t="s">
        <v>14</v>
      </c>
      <c r="G191">
        <v>19</v>
      </c>
      <c r="H191" t="s">
        <v>15</v>
      </c>
      <c r="I191">
        <v>2</v>
      </c>
      <c r="J191" s="6">
        <v>25</v>
      </c>
      <c r="K191">
        <v>9</v>
      </c>
      <c r="L191">
        <v>50</v>
      </c>
      <c r="M191" t="str">
        <f>IF(OR(I191="",J191="",L191=""),"Incomplete","Complete")</f>
        <v>Complete</v>
      </c>
      <c r="N191" t="str">
        <f>IF(M191="Incomplete","Not checked",IF(ROUND(I191*J191,2)=ROUND(L191,2),"Valid","Mismatch"))</f>
        <v>Valid</v>
      </c>
      <c r="O191">
        <f t="shared" si="5"/>
        <v>41</v>
      </c>
    </row>
    <row r="192" spans="1:15">
      <c r="A192">
        <v>1985</v>
      </c>
      <c r="B192" t="str">
        <f t="shared" si="4"/>
        <v>2023-03</v>
      </c>
      <c r="C192" s="1">
        <v>45016</v>
      </c>
      <c r="D192" s="5">
        <v>0.84375</v>
      </c>
      <c r="E192">
        <v>113</v>
      </c>
      <c r="F192" t="s">
        <v>14</v>
      </c>
      <c r="G192">
        <v>19</v>
      </c>
      <c r="H192" t="s">
        <v>15</v>
      </c>
      <c r="I192">
        <v>2</v>
      </c>
      <c r="J192" s="6">
        <v>25</v>
      </c>
      <c r="K192">
        <v>9.75</v>
      </c>
      <c r="L192">
        <v>50</v>
      </c>
      <c r="M192" t="str">
        <f>IF(OR(I192="",J192="",L192=""),"Incomplete","Complete")</f>
        <v>Complete</v>
      </c>
      <c r="N192" t="str">
        <f>IF(M192="Incomplete","Not checked",IF(ROUND(I192*J192,2)=ROUND(L192,2),"Valid","Mismatch"))</f>
        <v>Valid</v>
      </c>
      <c r="O192">
        <f t="shared" si="5"/>
        <v>40.25</v>
      </c>
    </row>
    <row r="193" spans="1:15">
      <c r="A193">
        <v>545</v>
      </c>
      <c r="B193" t="str">
        <f t="shared" si="4"/>
        <v>2023-12</v>
      </c>
      <c r="C193" s="1">
        <v>45279</v>
      </c>
      <c r="D193" s="5">
        <v>0.72083333333333333</v>
      </c>
      <c r="E193">
        <v>61</v>
      </c>
      <c r="F193" t="s">
        <v>11</v>
      </c>
      <c r="G193">
        <v>27</v>
      </c>
      <c r="H193" t="s">
        <v>12</v>
      </c>
      <c r="I193">
        <v>2</v>
      </c>
      <c r="J193" s="6">
        <v>25</v>
      </c>
      <c r="K193">
        <v>8.25</v>
      </c>
      <c r="L193">
        <v>50</v>
      </c>
      <c r="M193" t="str">
        <f>IF(OR(I193="",J193="",L193=""),"Incomplete","Complete")</f>
        <v>Complete</v>
      </c>
      <c r="N193" t="str">
        <f>IF(M193="Incomplete","Not checked",IF(ROUND(I193*J193,2)=ROUND(L193,2),"Valid","Mismatch"))</f>
        <v>Valid</v>
      </c>
      <c r="O193">
        <f t="shared" si="5"/>
        <v>41.75</v>
      </c>
    </row>
    <row r="194" spans="1:15">
      <c r="A194">
        <v>1545</v>
      </c>
      <c r="B194" t="str">
        <f t="shared" ref="B194:B257" si="6">TEXT(C194,"yyyy-mm")</f>
        <v>2023-07</v>
      </c>
      <c r="C194" s="1">
        <v>45122</v>
      </c>
      <c r="D194" s="5">
        <v>0.76458333333333328</v>
      </c>
      <c r="E194">
        <v>16</v>
      </c>
      <c r="F194" t="s">
        <v>11</v>
      </c>
      <c r="G194">
        <v>27</v>
      </c>
      <c r="H194" t="s">
        <v>12</v>
      </c>
      <c r="I194">
        <v>2</v>
      </c>
      <c r="J194" s="6">
        <v>25</v>
      </c>
      <c r="K194">
        <v>8.25</v>
      </c>
      <c r="L194">
        <v>50</v>
      </c>
      <c r="M194" t="str">
        <f>IF(OR(I194="",J194="",L194=""),"Incomplete","Complete")</f>
        <v>Complete</v>
      </c>
      <c r="N194" t="str">
        <f>IF(M194="Incomplete","Not checked",IF(ROUND(I194*J194,2)=ROUND(L194,2),"Valid","Mismatch"))</f>
        <v>Valid</v>
      </c>
      <c r="O194">
        <f t="shared" ref="O194:O257" si="7">IF(M194="Incomplete","",L194-K194)</f>
        <v>41.75</v>
      </c>
    </row>
    <row r="195" spans="1:15">
      <c r="A195">
        <v>170</v>
      </c>
      <c r="B195" t="str">
        <f t="shared" si="6"/>
        <v>2023-09</v>
      </c>
      <c r="C195" s="1">
        <v>45190</v>
      </c>
      <c r="D195" s="5">
        <v>0.86527777777777781</v>
      </c>
      <c r="E195">
        <v>125</v>
      </c>
      <c r="F195" t="s">
        <v>14</v>
      </c>
      <c r="G195">
        <v>25</v>
      </c>
      <c r="H195" t="s">
        <v>12</v>
      </c>
      <c r="I195">
        <v>2</v>
      </c>
      <c r="J195" s="6">
        <v>25</v>
      </c>
      <c r="K195">
        <v>12.5</v>
      </c>
      <c r="L195">
        <v>50</v>
      </c>
      <c r="M195" t="str">
        <f>IF(OR(I195="",J195="",L195=""),"Incomplete","Complete")</f>
        <v>Complete</v>
      </c>
      <c r="N195" t="str">
        <f>IF(M195="Incomplete","Not checked",IF(ROUND(I195*J195,2)=ROUND(L195,2),"Valid","Mismatch"))</f>
        <v>Valid</v>
      </c>
      <c r="O195">
        <f t="shared" si="7"/>
        <v>37.5</v>
      </c>
    </row>
    <row r="196" spans="1:15">
      <c r="A196">
        <v>685</v>
      </c>
      <c r="B196" t="str">
        <f t="shared" si="6"/>
        <v>2023-07</v>
      </c>
      <c r="C196" s="1">
        <v>45111</v>
      </c>
      <c r="D196" s="5">
        <v>0.92708333333333337</v>
      </c>
      <c r="E196">
        <v>90</v>
      </c>
      <c r="F196" t="s">
        <v>11</v>
      </c>
      <c r="G196">
        <v>57</v>
      </c>
      <c r="H196" t="s">
        <v>15</v>
      </c>
      <c r="I196">
        <v>2</v>
      </c>
      <c r="J196" s="6">
        <v>25</v>
      </c>
      <c r="K196">
        <v>7.75</v>
      </c>
      <c r="L196">
        <v>50</v>
      </c>
      <c r="M196" t="str">
        <f>IF(OR(I196="",J196="",L196=""),"Incomplete","Complete")</f>
        <v>Complete</v>
      </c>
      <c r="N196" t="str">
        <f>IF(M196="Incomplete","Not checked",IF(ROUND(I196*J196,2)=ROUND(L196,2),"Valid","Mismatch"))</f>
        <v>Valid</v>
      </c>
      <c r="O196">
        <f t="shared" si="7"/>
        <v>42.25</v>
      </c>
    </row>
    <row r="197" spans="1:15">
      <c r="A197">
        <v>958</v>
      </c>
      <c r="B197" t="str">
        <f t="shared" si="6"/>
        <v>2022-01</v>
      </c>
      <c r="C197" s="1">
        <v>44562</v>
      </c>
      <c r="D197" s="5">
        <v>0.88472222222222219</v>
      </c>
      <c r="E197">
        <v>116</v>
      </c>
      <c r="F197" t="s">
        <v>11</v>
      </c>
      <c r="G197">
        <v>62</v>
      </c>
      <c r="H197" t="s">
        <v>15</v>
      </c>
      <c r="I197">
        <v>2</v>
      </c>
      <c r="J197" s="6">
        <v>25</v>
      </c>
      <c r="K197">
        <v>11</v>
      </c>
      <c r="L197">
        <v>50</v>
      </c>
      <c r="M197" t="str">
        <f>IF(OR(I197="",J197="",L197=""),"Incomplete","Complete")</f>
        <v>Complete</v>
      </c>
      <c r="N197" t="str">
        <f>IF(M197="Incomplete","Not checked",IF(ROUND(I197*J197,2)=ROUND(L197,2),"Valid","Mismatch"))</f>
        <v>Valid</v>
      </c>
      <c r="O197">
        <f t="shared" si="7"/>
        <v>39</v>
      </c>
    </row>
    <row r="198" spans="1:15">
      <c r="A198">
        <v>1170</v>
      </c>
      <c r="B198" t="str">
        <f t="shared" si="6"/>
        <v>2023-01</v>
      </c>
      <c r="C198" s="1">
        <v>44932</v>
      </c>
      <c r="D198" s="5">
        <v>0.71736111111111112</v>
      </c>
      <c r="E198">
        <v>96</v>
      </c>
      <c r="F198" t="s">
        <v>14</v>
      </c>
      <c r="G198">
        <v>25</v>
      </c>
      <c r="H198" t="s">
        <v>12</v>
      </c>
      <c r="I198">
        <v>2</v>
      </c>
      <c r="J198" s="6">
        <v>25</v>
      </c>
      <c r="K198">
        <v>8</v>
      </c>
      <c r="L198">
        <v>50</v>
      </c>
      <c r="M198" t="str">
        <f>IF(OR(I198="",J198="",L198=""),"Incomplete","Complete")</f>
        <v>Complete</v>
      </c>
      <c r="N198" t="str">
        <f>IF(M198="Incomplete","Not checked",IF(ROUND(I198*J198,2)=ROUND(L198,2),"Valid","Mismatch"))</f>
        <v>Valid</v>
      </c>
      <c r="O198">
        <f t="shared" si="7"/>
        <v>42</v>
      </c>
    </row>
    <row r="199" spans="1:15">
      <c r="A199">
        <v>1685</v>
      </c>
      <c r="B199" t="str">
        <f t="shared" si="6"/>
        <v>2022-04</v>
      </c>
      <c r="C199" s="1">
        <v>44671</v>
      </c>
      <c r="D199" s="5">
        <v>0.85555555555555551</v>
      </c>
      <c r="E199">
        <v>76</v>
      </c>
      <c r="F199" t="s">
        <v>11</v>
      </c>
      <c r="G199">
        <v>57</v>
      </c>
      <c r="H199" t="s">
        <v>15</v>
      </c>
      <c r="I199">
        <v>2</v>
      </c>
      <c r="J199" s="6">
        <v>25</v>
      </c>
      <c r="K199">
        <v>8.75</v>
      </c>
      <c r="L199">
        <v>50</v>
      </c>
      <c r="M199" t="str">
        <f>IF(OR(I199="",J199="",L199=""),"Incomplete","Complete")</f>
        <v>Complete</v>
      </c>
      <c r="N199" t="str">
        <f>IF(M199="Incomplete","Not checked",IF(ROUND(I199*J199,2)=ROUND(L199,2),"Valid","Mismatch"))</f>
        <v>Valid</v>
      </c>
      <c r="O199">
        <f t="shared" si="7"/>
        <v>41.25</v>
      </c>
    </row>
    <row r="200" spans="1:15">
      <c r="A200">
        <v>1958</v>
      </c>
      <c r="B200" t="str">
        <f t="shared" si="6"/>
        <v>2022-11</v>
      </c>
      <c r="C200" s="1">
        <v>44892</v>
      </c>
      <c r="D200" s="5">
        <v>0.80486111111111114</v>
      </c>
      <c r="E200">
        <v>125</v>
      </c>
      <c r="F200" t="s">
        <v>11</v>
      </c>
      <c r="G200">
        <v>62</v>
      </c>
      <c r="H200" t="s">
        <v>15</v>
      </c>
      <c r="I200">
        <v>2</v>
      </c>
      <c r="J200" s="6">
        <v>25</v>
      </c>
      <c r="K200">
        <v>11.75</v>
      </c>
      <c r="L200">
        <v>50</v>
      </c>
      <c r="M200" t="str">
        <f>IF(OR(I200="",J200="",L200=""),"Incomplete","Complete")</f>
        <v>Complete</v>
      </c>
      <c r="N200" t="str">
        <f>IF(M200="Incomplete","Not checked",IF(ROUND(I200*J200,2)=ROUND(L200,2),"Valid","Mismatch"))</f>
        <v>Valid</v>
      </c>
      <c r="O200">
        <f t="shared" si="7"/>
        <v>38.25</v>
      </c>
    </row>
    <row r="201" spans="1:15">
      <c r="A201">
        <v>363</v>
      </c>
      <c r="B201" t="str">
        <f t="shared" si="6"/>
        <v>2022-05</v>
      </c>
      <c r="C201" s="1">
        <v>44704</v>
      </c>
      <c r="D201" s="5">
        <v>0.95208333333333328</v>
      </c>
      <c r="E201">
        <v>92</v>
      </c>
      <c r="F201" t="s">
        <v>11</v>
      </c>
      <c r="G201">
        <v>64</v>
      </c>
      <c r="H201" t="s">
        <v>13</v>
      </c>
      <c r="I201">
        <v>1</v>
      </c>
      <c r="J201" s="6">
        <v>25</v>
      </c>
      <c r="K201">
        <v>13.5</v>
      </c>
      <c r="L201">
        <v>25</v>
      </c>
      <c r="M201" t="str">
        <f>IF(OR(I201="",J201="",L201=""),"Incomplete","Complete")</f>
        <v>Complete</v>
      </c>
      <c r="N201" t="str">
        <f>IF(M201="Incomplete","Not checked",IF(ROUND(I201*J201,2)=ROUND(L201,2),"Valid","Mismatch"))</f>
        <v>Valid</v>
      </c>
      <c r="O201">
        <f t="shared" si="7"/>
        <v>11.5</v>
      </c>
    </row>
    <row r="202" spans="1:15">
      <c r="A202">
        <v>1363</v>
      </c>
      <c r="B202" t="str">
        <f t="shared" si="6"/>
        <v>2023-07</v>
      </c>
      <c r="C202" s="1">
        <v>45111</v>
      </c>
      <c r="D202" s="5">
        <v>0.8520833333333333</v>
      </c>
      <c r="E202">
        <v>33</v>
      </c>
      <c r="F202" t="s">
        <v>11</v>
      </c>
      <c r="G202">
        <v>64</v>
      </c>
      <c r="H202" t="s">
        <v>13</v>
      </c>
      <c r="I202">
        <v>1</v>
      </c>
      <c r="J202" s="6">
        <v>25</v>
      </c>
      <c r="K202">
        <v>7.75</v>
      </c>
      <c r="L202">
        <v>25</v>
      </c>
      <c r="M202" t="str">
        <f>IF(OR(I202="",J202="",L202=""),"Incomplete","Complete")</f>
        <v>Complete</v>
      </c>
      <c r="N202" t="str">
        <f>IF(M202="Incomplete","Not checked",IF(ROUND(I202*J202,2)=ROUND(L202,2),"Valid","Mismatch"))</f>
        <v>Valid</v>
      </c>
      <c r="O202">
        <f t="shared" si="7"/>
        <v>17.25</v>
      </c>
    </row>
    <row r="203" spans="1:15">
      <c r="A203">
        <v>944</v>
      </c>
      <c r="B203" t="str">
        <f t="shared" si="6"/>
        <v>2022-08</v>
      </c>
      <c r="C203" s="1">
        <v>44796</v>
      </c>
      <c r="D203" s="5">
        <v>0.84861111111111109</v>
      </c>
      <c r="E203">
        <v>136</v>
      </c>
      <c r="F203" t="s">
        <v>11</v>
      </c>
      <c r="G203">
        <v>44</v>
      </c>
      <c r="H203" t="s">
        <v>12</v>
      </c>
      <c r="I203">
        <v>2</v>
      </c>
      <c r="J203" s="6">
        <v>25</v>
      </c>
      <c r="K203">
        <v>12</v>
      </c>
      <c r="L203">
        <v>50</v>
      </c>
      <c r="M203" t="str">
        <f>IF(OR(I203="",J203="",L203=""),"Incomplete","Complete")</f>
        <v>Complete</v>
      </c>
      <c r="N203" t="str">
        <f>IF(M203="Incomplete","Not checked",IF(ROUND(I203*J203,2)=ROUND(L203,2),"Valid","Mismatch"))</f>
        <v>Valid</v>
      </c>
      <c r="O203">
        <f t="shared" si="7"/>
        <v>38</v>
      </c>
    </row>
    <row r="204" spans="1:15">
      <c r="A204">
        <v>1944</v>
      </c>
      <c r="B204" t="str">
        <f t="shared" si="6"/>
        <v>2023-07</v>
      </c>
      <c r="C204" s="1">
        <v>45125</v>
      </c>
      <c r="D204" s="5">
        <v>0.88055555555555554</v>
      </c>
      <c r="E204">
        <v>63</v>
      </c>
      <c r="F204" t="s">
        <v>11</v>
      </c>
      <c r="G204">
        <v>44</v>
      </c>
      <c r="H204" t="s">
        <v>12</v>
      </c>
      <c r="I204">
        <v>2</v>
      </c>
      <c r="J204" s="6">
        <v>25</v>
      </c>
      <c r="K204">
        <v>6.5</v>
      </c>
      <c r="L204">
        <v>50</v>
      </c>
      <c r="M204" t="str">
        <f>IF(OR(I204="",J204="",L204=""),"Incomplete","Complete")</f>
        <v>Complete</v>
      </c>
      <c r="N204" t="str">
        <f>IF(M204="Incomplete","Not checked",IF(ROUND(I204*J204,2)=ROUND(L204,2),"Valid","Mismatch"))</f>
        <v>Valid</v>
      </c>
      <c r="O204">
        <f t="shared" si="7"/>
        <v>43.5</v>
      </c>
    </row>
    <row r="205" spans="1:15">
      <c r="A205">
        <v>882</v>
      </c>
      <c r="B205" t="str">
        <f t="shared" si="6"/>
        <v>2023-10</v>
      </c>
      <c r="C205" s="1">
        <v>45221</v>
      </c>
      <c r="D205" s="5">
        <v>0.90347222222222223</v>
      </c>
      <c r="E205">
        <v>144</v>
      </c>
      <c r="F205" t="s">
        <v>14</v>
      </c>
      <c r="G205">
        <v>64</v>
      </c>
      <c r="H205" t="s">
        <v>15</v>
      </c>
      <c r="I205">
        <v>2</v>
      </c>
      <c r="J205" s="6">
        <v>25</v>
      </c>
      <c r="K205">
        <v>13.25</v>
      </c>
      <c r="L205">
        <v>50</v>
      </c>
      <c r="M205" t="str">
        <f>IF(OR(I205="",J205="",L205=""),"Incomplete","Complete")</f>
        <v>Complete</v>
      </c>
      <c r="N205" t="str">
        <f>IF(M205="Incomplete","Not checked",IF(ROUND(I205*J205,2)=ROUND(L205,2),"Valid","Mismatch"))</f>
        <v>Valid</v>
      </c>
      <c r="O205">
        <f t="shared" si="7"/>
        <v>36.75</v>
      </c>
    </row>
    <row r="206" spans="1:15">
      <c r="A206">
        <v>1882</v>
      </c>
      <c r="B206" t="str">
        <f t="shared" si="6"/>
        <v>2023-06</v>
      </c>
      <c r="C206" s="1">
        <v>45098</v>
      </c>
      <c r="D206" s="5">
        <v>0.87222222222222223</v>
      </c>
      <c r="E206">
        <v>15</v>
      </c>
      <c r="F206" t="s">
        <v>14</v>
      </c>
      <c r="G206">
        <v>64</v>
      </c>
      <c r="H206" t="s">
        <v>15</v>
      </c>
      <c r="I206">
        <v>2</v>
      </c>
      <c r="J206" s="6">
        <v>25</v>
      </c>
      <c r="K206">
        <v>9</v>
      </c>
      <c r="L206">
        <v>50</v>
      </c>
      <c r="M206" t="str">
        <f>IF(OR(I206="",J206="",L206=""),"Incomplete","Complete")</f>
        <v>Complete</v>
      </c>
      <c r="N206" t="str">
        <f>IF(M206="Incomplete","Not checked",IF(ROUND(I206*J206,2)=ROUND(L206,2),"Valid","Mismatch"))</f>
        <v>Valid</v>
      </c>
      <c r="O206">
        <f t="shared" si="7"/>
        <v>41</v>
      </c>
    </row>
    <row r="207" spans="1:15">
      <c r="A207">
        <v>321</v>
      </c>
      <c r="B207" t="str">
        <f t="shared" si="6"/>
        <v>2023-09</v>
      </c>
      <c r="C207" s="1">
        <v>45193</v>
      </c>
      <c r="D207" s="5">
        <v>0.82847222222222228</v>
      </c>
      <c r="E207">
        <v>30</v>
      </c>
      <c r="F207" t="s">
        <v>14</v>
      </c>
      <c r="G207">
        <v>26</v>
      </c>
      <c r="H207" t="s">
        <v>15</v>
      </c>
      <c r="I207">
        <v>2</v>
      </c>
      <c r="J207" s="6">
        <v>25</v>
      </c>
      <c r="K207">
        <v>9.5</v>
      </c>
      <c r="L207">
        <v>50</v>
      </c>
      <c r="M207" t="str">
        <f>IF(OR(I207="",J207="",L207=""),"Incomplete","Complete")</f>
        <v>Complete</v>
      </c>
      <c r="N207" t="str">
        <f>IF(M207="Incomplete","Not checked",IF(ROUND(I207*J207,2)=ROUND(L207,2),"Valid","Mismatch"))</f>
        <v>Valid</v>
      </c>
      <c r="O207">
        <f t="shared" si="7"/>
        <v>40.5</v>
      </c>
    </row>
    <row r="208" spans="1:15">
      <c r="A208">
        <v>1321</v>
      </c>
      <c r="B208" t="str">
        <f t="shared" si="6"/>
        <v>2023-04</v>
      </c>
      <c r="C208" s="1">
        <v>45039</v>
      </c>
      <c r="D208" s="5">
        <v>0.95416666666666672</v>
      </c>
      <c r="E208">
        <v>155</v>
      </c>
      <c r="F208" t="s">
        <v>14</v>
      </c>
      <c r="G208">
        <v>26</v>
      </c>
      <c r="H208" t="s">
        <v>15</v>
      </c>
      <c r="I208">
        <v>2</v>
      </c>
      <c r="J208" s="6">
        <v>25</v>
      </c>
      <c r="K208">
        <v>10.5</v>
      </c>
      <c r="L208">
        <v>50</v>
      </c>
      <c r="M208" t="str">
        <f>IF(OR(I208="",J208="",L208=""),"Incomplete","Complete")</f>
        <v>Complete</v>
      </c>
      <c r="N208" t="str">
        <f>IF(M208="Incomplete","Not checked",IF(ROUND(I208*J208,2)=ROUND(L208,2),"Valid","Mismatch"))</f>
        <v>Valid</v>
      </c>
      <c r="O208">
        <f t="shared" si="7"/>
        <v>39.5</v>
      </c>
    </row>
    <row r="209" spans="1:15">
      <c r="A209">
        <v>887</v>
      </c>
      <c r="B209" t="str">
        <f t="shared" si="6"/>
        <v>2022-02</v>
      </c>
      <c r="C209" s="1">
        <v>44616</v>
      </c>
      <c r="D209" s="5">
        <v>0.80555555555555558</v>
      </c>
      <c r="E209">
        <v>44</v>
      </c>
      <c r="F209" t="s">
        <v>11</v>
      </c>
      <c r="G209">
        <v>59</v>
      </c>
      <c r="H209" t="s">
        <v>12</v>
      </c>
      <c r="I209">
        <v>4</v>
      </c>
      <c r="J209" s="6">
        <v>25</v>
      </c>
      <c r="K209">
        <v>10</v>
      </c>
      <c r="L209">
        <v>100</v>
      </c>
      <c r="M209" t="str">
        <f>IF(OR(I209="",J209="",L209=""),"Incomplete","Complete")</f>
        <v>Complete</v>
      </c>
      <c r="N209" t="str">
        <f>IF(M209="Incomplete","Not checked",IF(ROUND(I209*J209,2)=ROUND(L209,2),"Valid","Mismatch"))</f>
        <v>Valid</v>
      </c>
      <c r="O209">
        <f t="shared" si="7"/>
        <v>90</v>
      </c>
    </row>
    <row r="210" spans="1:15">
      <c r="A210">
        <v>1887</v>
      </c>
      <c r="B210" t="str">
        <f t="shared" si="6"/>
        <v>2023-12</v>
      </c>
      <c r="C210" s="1">
        <v>45271</v>
      </c>
      <c r="D210" s="5">
        <v>0.81527777777777777</v>
      </c>
      <c r="E210">
        <v>113</v>
      </c>
      <c r="F210" t="s">
        <v>11</v>
      </c>
      <c r="G210">
        <v>59</v>
      </c>
      <c r="H210" t="s">
        <v>12</v>
      </c>
      <c r="I210">
        <v>4</v>
      </c>
      <c r="J210" s="6">
        <v>25</v>
      </c>
      <c r="K210">
        <v>10</v>
      </c>
      <c r="L210">
        <v>100</v>
      </c>
      <c r="M210" t="str">
        <f>IF(OR(I210="",J210="",L210=""),"Incomplete","Complete")</f>
        <v>Complete</v>
      </c>
      <c r="N210" t="str">
        <f>IF(M210="Incomplete","Not checked",IF(ROUND(I210*J210,2)=ROUND(L210,2),"Valid","Mismatch"))</f>
        <v>Valid</v>
      </c>
      <c r="O210">
        <f t="shared" si="7"/>
        <v>90</v>
      </c>
    </row>
    <row r="211" spans="1:15">
      <c r="A211">
        <v>629</v>
      </c>
      <c r="B211" t="str">
        <f t="shared" si="6"/>
        <v>2023-01</v>
      </c>
      <c r="C211" s="1">
        <v>44931</v>
      </c>
      <c r="D211" s="5">
        <v>0.82986111111111116</v>
      </c>
      <c r="E211">
        <v>39</v>
      </c>
      <c r="F211" t="s">
        <v>11</v>
      </c>
      <c r="G211">
        <v>62</v>
      </c>
      <c r="H211" t="s">
        <v>15</v>
      </c>
      <c r="I211">
        <v>2</v>
      </c>
      <c r="J211" s="6">
        <v>25</v>
      </c>
      <c r="K211">
        <v>8</v>
      </c>
      <c r="L211">
        <v>50</v>
      </c>
      <c r="M211" t="str">
        <f>IF(OR(I211="",J211="",L211=""),"Incomplete","Complete")</f>
        <v>Complete</v>
      </c>
      <c r="N211" t="str">
        <f>IF(M211="Incomplete","Not checked",IF(ROUND(I211*J211,2)=ROUND(L211,2),"Valid","Mismatch"))</f>
        <v>Valid</v>
      </c>
      <c r="O211">
        <f t="shared" si="7"/>
        <v>42</v>
      </c>
    </row>
    <row r="212" spans="1:15">
      <c r="A212">
        <v>1629</v>
      </c>
      <c r="B212" t="str">
        <f t="shared" si="6"/>
        <v>2022-02</v>
      </c>
      <c r="C212" s="1">
        <v>44609</v>
      </c>
      <c r="D212" s="5">
        <v>0.84583333333333333</v>
      </c>
      <c r="E212">
        <v>144</v>
      </c>
      <c r="F212" t="s">
        <v>11</v>
      </c>
      <c r="G212">
        <v>62</v>
      </c>
      <c r="H212" t="s">
        <v>15</v>
      </c>
      <c r="I212">
        <v>2</v>
      </c>
      <c r="J212" s="6">
        <v>25</v>
      </c>
      <c r="K212">
        <v>10.75</v>
      </c>
      <c r="L212">
        <v>50</v>
      </c>
      <c r="M212" t="str">
        <f>IF(OR(I212="",J212="",L212=""),"Incomplete","Complete")</f>
        <v>Complete</v>
      </c>
      <c r="N212" t="str">
        <f>IF(M212="Incomplete","Not checked",IF(ROUND(I212*J212,2)=ROUND(L212,2),"Valid","Mismatch"))</f>
        <v>Valid</v>
      </c>
      <c r="O212">
        <f t="shared" si="7"/>
        <v>39.25</v>
      </c>
    </row>
    <row r="213" spans="1:15">
      <c r="A213">
        <v>498</v>
      </c>
      <c r="B213" t="str">
        <f t="shared" si="6"/>
        <v>2022-03</v>
      </c>
      <c r="C213" s="1">
        <v>44642</v>
      </c>
      <c r="D213" s="5">
        <v>0.93055555555555558</v>
      </c>
      <c r="E213">
        <v>41</v>
      </c>
      <c r="F213" t="s">
        <v>14</v>
      </c>
      <c r="G213">
        <v>50</v>
      </c>
      <c r="H213" t="s">
        <v>12</v>
      </c>
      <c r="I213">
        <v>4</v>
      </c>
      <c r="J213" s="6">
        <v>25</v>
      </c>
      <c r="K213">
        <v>8.25</v>
      </c>
      <c r="L213">
        <v>100</v>
      </c>
      <c r="M213" t="str">
        <f>IF(OR(I213="",J213="",L213=""),"Incomplete","Complete")</f>
        <v>Complete</v>
      </c>
      <c r="N213" t="str">
        <f>IF(M213="Incomplete","Not checked",IF(ROUND(I213*J213,2)=ROUND(L213,2),"Valid","Mismatch"))</f>
        <v>Valid</v>
      </c>
      <c r="O213">
        <f t="shared" si="7"/>
        <v>91.75</v>
      </c>
    </row>
    <row r="214" spans="1:15">
      <c r="A214">
        <v>877</v>
      </c>
      <c r="B214" t="str">
        <f t="shared" si="6"/>
        <v>2022-10</v>
      </c>
      <c r="C214" s="1">
        <v>44835</v>
      </c>
      <c r="D214" s="5">
        <v>0.82777777777777772</v>
      </c>
      <c r="E214">
        <v>134</v>
      </c>
      <c r="F214" t="s">
        <v>14</v>
      </c>
      <c r="G214">
        <v>58</v>
      </c>
      <c r="H214" t="s">
        <v>12</v>
      </c>
      <c r="I214">
        <v>1</v>
      </c>
      <c r="J214" s="6">
        <v>25</v>
      </c>
      <c r="K214">
        <v>6.75</v>
      </c>
      <c r="L214">
        <v>25</v>
      </c>
      <c r="M214" t="str">
        <f>IF(OR(I214="",J214="",L214=""),"Incomplete","Complete")</f>
        <v>Complete</v>
      </c>
      <c r="N214" t="str">
        <f>IF(M214="Incomplete","Not checked",IF(ROUND(I214*J214,2)=ROUND(L214,2),"Valid","Mismatch"))</f>
        <v>Valid</v>
      </c>
      <c r="O214">
        <f t="shared" si="7"/>
        <v>18.25</v>
      </c>
    </row>
    <row r="215" spans="1:15">
      <c r="A215">
        <v>1498</v>
      </c>
      <c r="B215" t="str">
        <f t="shared" si="6"/>
        <v>2022-08</v>
      </c>
      <c r="C215" s="1">
        <v>44802</v>
      </c>
      <c r="D215" s="5">
        <v>0.71388888888888891</v>
      </c>
      <c r="E215">
        <v>51</v>
      </c>
      <c r="F215" t="s">
        <v>14</v>
      </c>
      <c r="G215">
        <v>50</v>
      </c>
      <c r="H215" t="s">
        <v>12</v>
      </c>
      <c r="I215">
        <v>4</v>
      </c>
      <c r="J215" s="6">
        <v>25</v>
      </c>
      <c r="K215">
        <v>12.5</v>
      </c>
      <c r="L215">
        <v>100</v>
      </c>
      <c r="M215" t="str">
        <f>IF(OR(I215="",J215="",L215=""),"Incomplete","Complete")</f>
        <v>Complete</v>
      </c>
      <c r="N215" t="str">
        <f>IF(M215="Incomplete","Not checked",IF(ROUND(I215*J215,2)=ROUND(L215,2),"Valid","Mismatch"))</f>
        <v>Valid</v>
      </c>
      <c r="O215">
        <f t="shared" si="7"/>
        <v>87.5</v>
      </c>
    </row>
    <row r="216" spans="1:15">
      <c r="A216">
        <v>1877</v>
      </c>
      <c r="B216" t="str">
        <f t="shared" si="6"/>
        <v>2023-01</v>
      </c>
      <c r="C216" s="1">
        <v>44951</v>
      </c>
      <c r="D216" s="5">
        <v>0.84652777777777777</v>
      </c>
      <c r="E216">
        <v>72</v>
      </c>
      <c r="F216" t="s">
        <v>14</v>
      </c>
      <c r="G216">
        <v>58</v>
      </c>
      <c r="H216" t="s">
        <v>12</v>
      </c>
      <c r="I216">
        <v>1</v>
      </c>
      <c r="J216" s="6">
        <v>25</v>
      </c>
      <c r="K216">
        <v>10.5</v>
      </c>
      <c r="L216">
        <v>25</v>
      </c>
      <c r="M216" t="str">
        <f>IF(OR(I216="",J216="",L216=""),"Incomplete","Complete")</f>
        <v>Complete</v>
      </c>
      <c r="N216" t="str">
        <f>IF(M216="Incomplete","Not checked",IF(ROUND(I216*J216,2)=ROUND(L216,2),"Valid","Mismatch"))</f>
        <v>Valid</v>
      </c>
      <c r="O216">
        <f t="shared" si="7"/>
        <v>14.5</v>
      </c>
    </row>
    <row r="217" spans="1:15">
      <c r="A217">
        <v>466</v>
      </c>
      <c r="B217" t="str">
        <f t="shared" si="6"/>
        <v>2023-01</v>
      </c>
      <c r="C217" s="1">
        <v>44937</v>
      </c>
      <c r="D217" s="5">
        <v>0.91111111111111109</v>
      </c>
      <c r="E217">
        <v>66</v>
      </c>
      <c r="F217" t="s">
        <v>11</v>
      </c>
      <c r="G217">
        <v>63</v>
      </c>
      <c r="H217" t="s">
        <v>15</v>
      </c>
      <c r="I217">
        <v>4</v>
      </c>
      <c r="J217" s="6">
        <v>25</v>
      </c>
      <c r="K217">
        <v>13.75</v>
      </c>
      <c r="L217">
        <v>100</v>
      </c>
      <c r="M217" t="str">
        <f>IF(OR(I217="",J217="",L217=""),"Incomplete","Complete")</f>
        <v>Complete</v>
      </c>
      <c r="N217" t="str">
        <f>IF(M217="Incomplete","Not checked",IF(ROUND(I217*J217,2)=ROUND(L217,2),"Valid","Mismatch"))</f>
        <v>Valid</v>
      </c>
      <c r="O217">
        <f t="shared" si="7"/>
        <v>86.25</v>
      </c>
    </row>
    <row r="218" spans="1:15">
      <c r="A218">
        <v>1466</v>
      </c>
      <c r="B218" t="str">
        <f t="shared" si="6"/>
        <v>2023-01</v>
      </c>
      <c r="C218" s="1">
        <v>44942</v>
      </c>
      <c r="D218" s="5">
        <v>0.93541666666666667</v>
      </c>
      <c r="E218">
        <v>64</v>
      </c>
      <c r="F218" t="s">
        <v>11</v>
      </c>
      <c r="G218">
        <v>63</v>
      </c>
      <c r="H218" t="s">
        <v>15</v>
      </c>
      <c r="I218">
        <v>4</v>
      </c>
      <c r="J218" s="6">
        <v>25</v>
      </c>
      <c r="K218">
        <v>10.75</v>
      </c>
      <c r="L218">
        <v>100</v>
      </c>
      <c r="M218" t="str">
        <f>IF(OR(I218="",J218="",L218=""),"Incomplete","Complete")</f>
        <v>Complete</v>
      </c>
      <c r="N218" t="str">
        <f>IF(M218="Incomplete","Not checked",IF(ROUND(I218*J218,2)=ROUND(L218,2),"Valid","Mismatch"))</f>
        <v>Valid</v>
      </c>
      <c r="O218">
        <f t="shared" si="7"/>
        <v>89.25</v>
      </c>
    </row>
    <row r="219" spans="1:15">
      <c r="A219">
        <v>583</v>
      </c>
      <c r="B219" t="str">
        <f t="shared" si="6"/>
        <v>2022-01</v>
      </c>
      <c r="C219" s="1">
        <v>44589</v>
      </c>
      <c r="D219" s="5">
        <v>0.82222222222222219</v>
      </c>
      <c r="E219">
        <v>131</v>
      </c>
      <c r="F219" t="s">
        <v>14</v>
      </c>
      <c r="G219">
        <v>24</v>
      </c>
      <c r="H219" t="s">
        <v>15</v>
      </c>
      <c r="I219">
        <v>4</v>
      </c>
      <c r="J219" s="6">
        <v>25</v>
      </c>
      <c r="K219">
        <v>7.75</v>
      </c>
      <c r="L219">
        <v>100</v>
      </c>
      <c r="M219" t="str">
        <f>IF(OR(I219="",J219="",L219=""),"Incomplete","Complete")</f>
        <v>Complete</v>
      </c>
      <c r="N219" t="str">
        <f>IF(M219="Incomplete","Not checked",IF(ROUND(I219*J219,2)=ROUND(L219,2),"Valid","Mismatch"))</f>
        <v>Valid</v>
      </c>
      <c r="O219">
        <f t="shared" si="7"/>
        <v>92.25</v>
      </c>
    </row>
    <row r="220" spans="1:15">
      <c r="A220">
        <v>654</v>
      </c>
      <c r="B220" t="str">
        <f t="shared" si="6"/>
        <v>2023-08</v>
      </c>
      <c r="C220" s="1">
        <v>45152</v>
      </c>
      <c r="D220" s="5">
        <v>0.73611111111111116</v>
      </c>
      <c r="E220">
        <v>92</v>
      </c>
      <c r="F220" t="s">
        <v>11</v>
      </c>
      <c r="G220">
        <v>42</v>
      </c>
      <c r="H220" t="s">
        <v>12</v>
      </c>
      <c r="I220">
        <v>3</v>
      </c>
      <c r="J220" s="6">
        <v>25</v>
      </c>
      <c r="K220">
        <v>9.25</v>
      </c>
      <c r="L220">
        <v>75</v>
      </c>
      <c r="M220" t="str">
        <f>IF(OR(I220="",J220="",L220=""),"Incomplete","Complete")</f>
        <v>Complete</v>
      </c>
      <c r="N220" t="str">
        <f>IF(M220="Incomplete","Not checked",IF(ROUND(I220*J220,2)=ROUND(L220,2),"Valid","Mismatch"))</f>
        <v>Valid</v>
      </c>
      <c r="O220">
        <f t="shared" si="7"/>
        <v>65.75</v>
      </c>
    </row>
    <row r="221" spans="1:15">
      <c r="A221">
        <v>1583</v>
      </c>
      <c r="B221" t="str">
        <f t="shared" si="6"/>
        <v>2023-11</v>
      </c>
      <c r="C221" s="1">
        <v>45242</v>
      </c>
      <c r="D221" s="5">
        <v>0.95416666666666672</v>
      </c>
      <c r="E221">
        <v>102</v>
      </c>
      <c r="F221" t="s">
        <v>14</v>
      </c>
      <c r="G221">
        <v>24</v>
      </c>
      <c r="H221" t="s">
        <v>15</v>
      </c>
      <c r="I221">
        <v>4</v>
      </c>
      <c r="J221" s="6">
        <v>25</v>
      </c>
      <c r="K221">
        <v>13</v>
      </c>
      <c r="L221">
        <v>100</v>
      </c>
      <c r="M221" t="str">
        <f>IF(OR(I221="",J221="",L221=""),"Incomplete","Complete")</f>
        <v>Complete</v>
      </c>
      <c r="N221" t="str">
        <f>IF(M221="Incomplete","Not checked",IF(ROUND(I221*J221,2)=ROUND(L221,2),"Valid","Mismatch"))</f>
        <v>Valid</v>
      </c>
      <c r="O221">
        <f t="shared" si="7"/>
        <v>87</v>
      </c>
    </row>
    <row r="222" spans="1:15">
      <c r="A222">
        <v>1654</v>
      </c>
      <c r="B222" t="str">
        <f t="shared" si="6"/>
        <v>2023-10</v>
      </c>
      <c r="C222" s="1">
        <v>45212</v>
      </c>
      <c r="D222" s="5">
        <v>0.86597222222222225</v>
      </c>
      <c r="E222">
        <v>111</v>
      </c>
      <c r="F222" t="s">
        <v>11</v>
      </c>
      <c r="G222">
        <v>42</v>
      </c>
      <c r="H222" t="s">
        <v>12</v>
      </c>
      <c r="I222">
        <v>3</v>
      </c>
      <c r="J222" s="6">
        <v>25</v>
      </c>
      <c r="K222">
        <v>6.25</v>
      </c>
      <c r="L222">
        <v>75</v>
      </c>
      <c r="M222" t="str">
        <f>IF(OR(I222="",J222="",L222=""),"Incomplete","Complete")</f>
        <v>Complete</v>
      </c>
      <c r="N222" t="str">
        <f>IF(M222="Incomplete","Not checked",IF(ROUND(I222*J222,2)=ROUND(L222,2),"Valid","Mismatch"))</f>
        <v>Valid</v>
      </c>
      <c r="O222">
        <f t="shared" si="7"/>
        <v>68.75</v>
      </c>
    </row>
    <row r="223" spans="1:15">
      <c r="A223">
        <v>492</v>
      </c>
      <c r="B223" t="str">
        <f t="shared" si="6"/>
        <v>2023-12</v>
      </c>
      <c r="C223" s="1">
        <v>45276</v>
      </c>
      <c r="D223" s="5">
        <v>0.74444444444444446</v>
      </c>
      <c r="E223">
        <v>4</v>
      </c>
      <c r="F223" t="s">
        <v>11</v>
      </c>
      <c r="G223">
        <v>61</v>
      </c>
      <c r="H223" t="s">
        <v>13</v>
      </c>
      <c r="I223">
        <v>4</v>
      </c>
      <c r="J223" s="6">
        <v>25</v>
      </c>
      <c r="K223">
        <v>6.5</v>
      </c>
      <c r="L223">
        <v>100</v>
      </c>
      <c r="M223" t="str">
        <f>IF(OR(I223="",J223="",L223=""),"Incomplete","Complete")</f>
        <v>Complete</v>
      </c>
      <c r="N223" t="str">
        <f>IF(M223="Incomplete","Not checked",IF(ROUND(I223*J223,2)=ROUND(L223,2),"Valid","Mismatch"))</f>
        <v>Valid</v>
      </c>
      <c r="O223">
        <f t="shared" si="7"/>
        <v>93.5</v>
      </c>
    </row>
    <row r="224" spans="1:15">
      <c r="A224">
        <v>1492</v>
      </c>
      <c r="B224" t="str">
        <f t="shared" si="6"/>
        <v>2023-08</v>
      </c>
      <c r="C224" s="1">
        <v>45164</v>
      </c>
      <c r="D224" s="5">
        <v>0.92291666666666672</v>
      </c>
      <c r="E224">
        <v>146</v>
      </c>
      <c r="F224" t="s">
        <v>11</v>
      </c>
      <c r="G224">
        <v>61</v>
      </c>
      <c r="H224" t="s">
        <v>13</v>
      </c>
      <c r="I224">
        <v>4</v>
      </c>
      <c r="J224" s="6">
        <v>25</v>
      </c>
      <c r="K224">
        <v>10</v>
      </c>
      <c r="L224">
        <v>100</v>
      </c>
      <c r="M224" t="str">
        <f>IF(OR(I224="",J224="",L224=""),"Incomplete","Complete")</f>
        <v>Complete</v>
      </c>
      <c r="N224" t="str">
        <f>IF(M224="Incomplete","Not checked",IF(ROUND(I224*J224,2)=ROUND(L224,2),"Valid","Mismatch"))</f>
        <v>Valid</v>
      </c>
      <c r="O224">
        <f t="shared" si="7"/>
        <v>90</v>
      </c>
    </row>
    <row r="225" spans="1:15">
      <c r="A225">
        <v>455</v>
      </c>
      <c r="B225" t="str">
        <f t="shared" si="6"/>
        <v>2023-11</v>
      </c>
      <c r="C225" s="1">
        <v>45251</v>
      </c>
      <c r="D225" s="5">
        <v>0.80208333333333337</v>
      </c>
      <c r="E225">
        <v>134</v>
      </c>
      <c r="F225" t="s">
        <v>11</v>
      </c>
      <c r="G225">
        <v>31</v>
      </c>
      <c r="H225" t="s">
        <v>15</v>
      </c>
      <c r="I225">
        <v>4</v>
      </c>
      <c r="J225" s="6">
        <v>25</v>
      </c>
      <c r="K225">
        <v>13.25</v>
      </c>
      <c r="L225">
        <v>100</v>
      </c>
      <c r="M225" t="str">
        <f>IF(OR(I225="",J225="",L225=""),"Incomplete","Complete")</f>
        <v>Complete</v>
      </c>
      <c r="N225" t="str">
        <f>IF(M225="Incomplete","Not checked",IF(ROUND(I225*J225,2)=ROUND(L225,2),"Valid","Mismatch"))</f>
        <v>Valid</v>
      </c>
      <c r="O225">
        <f t="shared" si="7"/>
        <v>86.75</v>
      </c>
    </row>
    <row r="226" spans="1:15">
      <c r="A226">
        <v>1455</v>
      </c>
      <c r="B226" t="str">
        <f t="shared" si="6"/>
        <v>2022-08</v>
      </c>
      <c r="C226" s="1">
        <v>44800</v>
      </c>
      <c r="D226" s="5">
        <v>0.89930555555555558</v>
      </c>
      <c r="E226">
        <v>32</v>
      </c>
      <c r="F226" t="s">
        <v>11</v>
      </c>
      <c r="G226">
        <v>31</v>
      </c>
      <c r="H226" t="s">
        <v>15</v>
      </c>
      <c r="I226">
        <v>4</v>
      </c>
      <c r="J226" s="6">
        <v>25</v>
      </c>
      <c r="K226">
        <v>13.75</v>
      </c>
      <c r="L226">
        <v>100</v>
      </c>
      <c r="M226" t="str">
        <f>IF(OR(I226="",J226="",L226=""),"Incomplete","Complete")</f>
        <v>Complete</v>
      </c>
      <c r="N226" t="str">
        <f>IF(M226="Incomplete","Not checked",IF(ROUND(I226*J226,2)=ROUND(L226,2),"Valid","Mismatch"))</f>
        <v>Valid</v>
      </c>
      <c r="O226">
        <f t="shared" si="7"/>
        <v>86.25</v>
      </c>
    </row>
    <row r="227" spans="1:15">
      <c r="A227">
        <v>381</v>
      </c>
      <c r="B227" t="str">
        <f t="shared" si="6"/>
        <v>2022-01</v>
      </c>
      <c r="C227" s="1">
        <v>44591</v>
      </c>
      <c r="D227" s="5">
        <v>0.79513888888888884</v>
      </c>
      <c r="E227">
        <v>63</v>
      </c>
      <c r="F227" t="s">
        <v>14</v>
      </c>
      <c r="G227">
        <v>44</v>
      </c>
      <c r="H227" t="s">
        <v>12</v>
      </c>
      <c r="I227">
        <v>4</v>
      </c>
      <c r="J227" s="6">
        <v>25</v>
      </c>
      <c r="K227">
        <v>12.25</v>
      </c>
      <c r="L227">
        <v>100</v>
      </c>
      <c r="M227" t="str">
        <f>IF(OR(I227="",J227="",L227=""),"Incomplete","Complete")</f>
        <v>Complete</v>
      </c>
      <c r="N227" t="str">
        <f>IF(M227="Incomplete","Not checked",IF(ROUND(I227*J227,2)=ROUND(L227,2),"Valid","Mismatch"))</f>
        <v>Valid</v>
      </c>
      <c r="O227">
        <f t="shared" si="7"/>
        <v>87.75</v>
      </c>
    </row>
    <row r="228" spans="1:15">
      <c r="A228">
        <v>439</v>
      </c>
      <c r="B228" t="str">
        <f t="shared" si="6"/>
        <v>2022-05</v>
      </c>
      <c r="C228" s="1">
        <v>44687</v>
      </c>
      <c r="D228" s="5">
        <v>0.90694444444444444</v>
      </c>
      <c r="E228">
        <v>42</v>
      </c>
      <c r="F228" t="s">
        <v>11</v>
      </c>
      <c r="G228">
        <v>50</v>
      </c>
      <c r="H228" t="s">
        <v>12</v>
      </c>
      <c r="I228">
        <v>3</v>
      </c>
      <c r="J228" s="6">
        <v>25</v>
      </c>
      <c r="K228">
        <v>11.75</v>
      </c>
      <c r="L228">
        <v>75</v>
      </c>
      <c r="M228" t="str">
        <f>IF(OR(I228="",J228="",L228=""),"Incomplete","Complete")</f>
        <v>Complete</v>
      </c>
      <c r="N228" t="str">
        <f>IF(M228="Incomplete","Not checked",IF(ROUND(I228*J228,2)=ROUND(L228,2),"Valid","Mismatch"))</f>
        <v>Valid</v>
      </c>
      <c r="O228">
        <f t="shared" si="7"/>
        <v>63.25</v>
      </c>
    </row>
    <row r="229" spans="1:15">
      <c r="A229">
        <v>1381</v>
      </c>
      <c r="B229" t="str">
        <f t="shared" si="6"/>
        <v>2022-10</v>
      </c>
      <c r="C229" s="1">
        <v>44860</v>
      </c>
      <c r="D229" s="5">
        <v>0.72638888888888886</v>
      </c>
      <c r="E229">
        <v>48</v>
      </c>
      <c r="F229" t="s">
        <v>14</v>
      </c>
      <c r="G229">
        <v>44</v>
      </c>
      <c r="H229" t="s">
        <v>12</v>
      </c>
      <c r="I229">
        <v>4</v>
      </c>
      <c r="J229" s="6">
        <v>25</v>
      </c>
      <c r="K229">
        <v>7.75</v>
      </c>
      <c r="L229">
        <v>100</v>
      </c>
      <c r="M229" t="str">
        <f>IF(OR(I229="",J229="",L229=""),"Incomplete","Complete")</f>
        <v>Complete</v>
      </c>
      <c r="N229" t="str">
        <f>IF(M229="Incomplete","Not checked",IF(ROUND(I229*J229,2)=ROUND(L229,2),"Valid","Mismatch"))</f>
        <v>Valid</v>
      </c>
      <c r="O229">
        <f t="shared" si="7"/>
        <v>92.25</v>
      </c>
    </row>
    <row r="230" spans="1:15">
      <c r="A230">
        <v>1439</v>
      </c>
      <c r="B230" t="str">
        <f t="shared" si="6"/>
        <v>2023-11</v>
      </c>
      <c r="C230" s="1">
        <v>45248</v>
      </c>
      <c r="D230" s="5">
        <v>0.87013888888888891</v>
      </c>
      <c r="E230">
        <v>76</v>
      </c>
      <c r="F230" t="s">
        <v>11</v>
      </c>
      <c r="G230">
        <v>50</v>
      </c>
      <c r="H230" t="s">
        <v>12</v>
      </c>
      <c r="I230">
        <v>3</v>
      </c>
      <c r="J230" s="6">
        <v>25</v>
      </c>
      <c r="K230">
        <v>7.25</v>
      </c>
      <c r="L230">
        <v>75</v>
      </c>
      <c r="M230" t="str">
        <f>IF(OR(I230="",J230="",L230=""),"Incomplete","Complete")</f>
        <v>Complete</v>
      </c>
      <c r="N230" t="str">
        <f>IF(M230="Incomplete","Not checked",IF(ROUND(I230*J230,2)=ROUND(L230,2),"Valid","Mismatch"))</f>
        <v>Valid</v>
      </c>
      <c r="O230">
        <f t="shared" si="7"/>
        <v>67.75</v>
      </c>
    </row>
    <row r="231" spans="1:15">
      <c r="A231">
        <v>71</v>
      </c>
      <c r="B231" t="str">
        <f t="shared" si="6"/>
        <v>2023-02</v>
      </c>
      <c r="C231" s="1">
        <v>44973</v>
      </c>
      <c r="D231" s="5">
        <v>0.7993055555555556</v>
      </c>
      <c r="E231">
        <v>32</v>
      </c>
      <c r="F231" t="s">
        <v>14</v>
      </c>
      <c r="G231">
        <v>51</v>
      </c>
      <c r="H231" t="s">
        <v>13</v>
      </c>
      <c r="I231">
        <v>4</v>
      </c>
      <c r="J231" s="6">
        <v>25</v>
      </c>
      <c r="K231">
        <v>11.5</v>
      </c>
      <c r="L231">
        <v>100</v>
      </c>
      <c r="M231" t="str">
        <f>IF(OR(I231="",J231="",L231=""),"Incomplete","Complete")</f>
        <v>Complete</v>
      </c>
      <c r="N231" t="str">
        <f>IF(M231="Incomplete","Not checked",IF(ROUND(I231*J231,2)=ROUND(L231,2),"Valid","Mismatch"))</f>
        <v>Valid</v>
      </c>
      <c r="O231">
        <f t="shared" si="7"/>
        <v>88.5</v>
      </c>
    </row>
    <row r="232" spans="1:15">
      <c r="A232">
        <v>955</v>
      </c>
      <c r="B232" t="str">
        <f t="shared" si="6"/>
        <v>2022-01</v>
      </c>
      <c r="C232" s="1">
        <v>44577</v>
      </c>
      <c r="D232" s="5">
        <v>0.74791666666666667</v>
      </c>
      <c r="E232">
        <v>16</v>
      </c>
      <c r="F232" t="s">
        <v>11</v>
      </c>
      <c r="G232">
        <v>58</v>
      </c>
      <c r="H232" t="s">
        <v>12</v>
      </c>
      <c r="I232">
        <v>1</v>
      </c>
      <c r="J232" s="6">
        <v>25</v>
      </c>
      <c r="K232">
        <v>12.5</v>
      </c>
      <c r="L232">
        <v>25</v>
      </c>
      <c r="M232" t="str">
        <f>IF(OR(I232="",J232="",L232=""),"Incomplete","Complete")</f>
        <v>Complete</v>
      </c>
      <c r="N232" t="str">
        <f>IF(M232="Incomplete","Not checked",IF(ROUND(I232*J232,2)=ROUND(L232,2),"Valid","Mismatch"))</f>
        <v>Valid</v>
      </c>
      <c r="O232">
        <f t="shared" si="7"/>
        <v>12.5</v>
      </c>
    </row>
    <row r="233" spans="1:15">
      <c r="A233">
        <v>1071</v>
      </c>
      <c r="B233" t="str">
        <f t="shared" si="6"/>
        <v>2023-09</v>
      </c>
      <c r="C233" s="1">
        <v>45190</v>
      </c>
      <c r="D233" s="5">
        <v>0.73472222222222228</v>
      </c>
      <c r="E233">
        <v>155</v>
      </c>
      <c r="F233" t="s">
        <v>14</v>
      </c>
      <c r="G233">
        <v>51</v>
      </c>
      <c r="H233" t="s">
        <v>13</v>
      </c>
      <c r="I233">
        <v>4</v>
      </c>
      <c r="J233" s="6">
        <v>25</v>
      </c>
      <c r="K233">
        <v>6.75</v>
      </c>
      <c r="L233">
        <v>100</v>
      </c>
      <c r="M233" t="str">
        <f>IF(OR(I233="",J233="",L233=""),"Incomplete","Complete")</f>
        <v>Complete</v>
      </c>
      <c r="N233" t="str">
        <f>IF(M233="Incomplete","Not checked",IF(ROUND(I233*J233,2)=ROUND(L233,2),"Valid","Mismatch"))</f>
        <v>Valid</v>
      </c>
      <c r="O233">
        <f t="shared" si="7"/>
        <v>93.25</v>
      </c>
    </row>
    <row r="234" spans="1:15">
      <c r="A234">
        <v>1955</v>
      </c>
      <c r="B234" t="str">
        <f t="shared" si="6"/>
        <v>2022-09</v>
      </c>
      <c r="C234" s="1">
        <v>44819</v>
      </c>
      <c r="D234" s="5">
        <v>0.88263888888888886</v>
      </c>
      <c r="E234">
        <v>134</v>
      </c>
      <c r="F234" t="s">
        <v>11</v>
      </c>
      <c r="G234">
        <v>58</v>
      </c>
      <c r="H234" t="s">
        <v>12</v>
      </c>
      <c r="I234">
        <v>1</v>
      </c>
      <c r="J234" s="6">
        <v>25</v>
      </c>
      <c r="K234">
        <v>6.5</v>
      </c>
      <c r="L234">
        <v>25</v>
      </c>
      <c r="M234" t="str">
        <f>IF(OR(I234="",J234="",L234=""),"Incomplete","Complete")</f>
        <v>Complete</v>
      </c>
      <c r="N234" t="str">
        <f>IF(M234="Incomplete","Not checked",IF(ROUND(I234*J234,2)=ROUND(L234,2),"Valid","Mismatch"))</f>
        <v>Valid</v>
      </c>
      <c r="O234">
        <f t="shared" si="7"/>
        <v>18.5</v>
      </c>
    </row>
    <row r="235" spans="1:15">
      <c r="A235">
        <v>661</v>
      </c>
      <c r="B235" t="str">
        <f t="shared" si="6"/>
        <v>2022-08</v>
      </c>
      <c r="C235" s="1">
        <v>44778</v>
      </c>
      <c r="D235" s="5">
        <v>0.92291666666666672</v>
      </c>
      <c r="E235">
        <v>10</v>
      </c>
      <c r="F235" t="s">
        <v>14</v>
      </c>
      <c r="G235">
        <v>44</v>
      </c>
      <c r="H235" t="s">
        <v>12</v>
      </c>
      <c r="I235">
        <v>4</v>
      </c>
      <c r="J235" s="6">
        <v>25</v>
      </c>
      <c r="K235">
        <v>7</v>
      </c>
      <c r="L235">
        <v>100</v>
      </c>
      <c r="M235" t="str">
        <f>IF(OR(I235="",J235="",L235=""),"Incomplete","Complete")</f>
        <v>Complete</v>
      </c>
      <c r="N235" t="str">
        <f>IF(M235="Incomplete","Not checked",IF(ROUND(I235*J235,2)=ROUND(L235,2),"Valid","Mismatch"))</f>
        <v>Valid</v>
      </c>
      <c r="O235">
        <f t="shared" si="7"/>
        <v>93</v>
      </c>
    </row>
    <row r="236" spans="1:15">
      <c r="A236">
        <v>1661</v>
      </c>
      <c r="B236" t="str">
        <f t="shared" si="6"/>
        <v>2023-07</v>
      </c>
      <c r="C236" s="1">
        <v>45114</v>
      </c>
      <c r="D236" s="5">
        <v>0.8041666666666667</v>
      </c>
      <c r="E236">
        <v>20</v>
      </c>
      <c r="F236" t="s">
        <v>14</v>
      </c>
      <c r="G236">
        <v>44</v>
      </c>
      <c r="H236" t="s">
        <v>12</v>
      </c>
      <c r="I236">
        <v>4</v>
      </c>
      <c r="J236" s="6">
        <v>25</v>
      </c>
      <c r="K236">
        <v>6.25</v>
      </c>
      <c r="L236">
        <v>100</v>
      </c>
      <c r="M236" t="str">
        <f>IF(OR(I236="",J236="",L236=""),"Incomplete","Complete")</f>
        <v>Complete</v>
      </c>
      <c r="N236" t="str">
        <f>IF(M236="Incomplete","Not checked",IF(ROUND(I236*J236,2)=ROUND(L236,2),"Valid","Mismatch"))</f>
        <v>Valid</v>
      </c>
      <c r="O236">
        <f t="shared" si="7"/>
        <v>93.75</v>
      </c>
    </row>
    <row r="237" spans="1:15">
      <c r="A237">
        <v>114</v>
      </c>
      <c r="B237" t="str">
        <f t="shared" si="6"/>
        <v>2022-04</v>
      </c>
      <c r="C237" s="1">
        <v>44668</v>
      </c>
      <c r="D237" s="5">
        <v>0.87291666666666667</v>
      </c>
      <c r="E237">
        <v>92</v>
      </c>
      <c r="F237" t="s">
        <v>14</v>
      </c>
      <c r="G237">
        <v>22</v>
      </c>
      <c r="H237" t="s">
        <v>13</v>
      </c>
      <c r="I237">
        <v>4</v>
      </c>
      <c r="J237" s="6">
        <v>25</v>
      </c>
      <c r="K237">
        <v>9.25</v>
      </c>
      <c r="L237">
        <v>100</v>
      </c>
      <c r="M237" t="str">
        <f>IF(OR(I237="",J237="",L237=""),"Incomplete","Complete")</f>
        <v>Complete</v>
      </c>
      <c r="N237" t="str">
        <f>IF(M237="Incomplete","Not checked",IF(ROUND(I237*J237,2)=ROUND(L237,2),"Valid","Mismatch"))</f>
        <v>Valid</v>
      </c>
      <c r="O237">
        <f t="shared" si="7"/>
        <v>90.75</v>
      </c>
    </row>
    <row r="238" spans="1:15">
      <c r="A238">
        <v>1114</v>
      </c>
      <c r="B238" t="str">
        <f t="shared" si="6"/>
        <v>2022-08</v>
      </c>
      <c r="C238" s="1">
        <v>44791</v>
      </c>
      <c r="D238" s="5">
        <v>0.92986111111111114</v>
      </c>
      <c r="E238">
        <v>100</v>
      </c>
      <c r="F238" t="s">
        <v>14</v>
      </c>
      <c r="G238">
        <v>22</v>
      </c>
      <c r="H238" t="s">
        <v>13</v>
      </c>
      <c r="I238">
        <v>4</v>
      </c>
      <c r="J238" s="6">
        <v>25</v>
      </c>
      <c r="K238">
        <v>12</v>
      </c>
      <c r="L238">
        <v>100</v>
      </c>
      <c r="M238" t="str">
        <f>IF(OR(I238="",J238="",L238=""),"Incomplete","Complete")</f>
        <v>Complete</v>
      </c>
      <c r="N238" t="str">
        <f>IF(M238="Incomplete","Not checked",IF(ROUND(I238*J238,2)=ROUND(L238,2),"Valid","Mismatch"))</f>
        <v>Valid</v>
      </c>
      <c r="O238">
        <f t="shared" si="7"/>
        <v>88</v>
      </c>
    </row>
    <row r="239" spans="1:15">
      <c r="A239">
        <v>127</v>
      </c>
      <c r="B239" t="str">
        <f t="shared" si="6"/>
        <v>2023-05</v>
      </c>
      <c r="C239" s="1">
        <v>45066</v>
      </c>
      <c r="D239" s="5">
        <v>0.81736111111111109</v>
      </c>
      <c r="E239">
        <v>40</v>
      </c>
      <c r="F239" t="s">
        <v>14</v>
      </c>
      <c r="G239">
        <v>33</v>
      </c>
      <c r="H239" t="s">
        <v>12</v>
      </c>
      <c r="I239">
        <v>2</v>
      </c>
      <c r="J239" s="6">
        <v>25</v>
      </c>
      <c r="K239">
        <v>7.5</v>
      </c>
      <c r="L239">
        <v>50</v>
      </c>
      <c r="M239" t="str">
        <f>IF(OR(I239="",J239="",L239=""),"Incomplete","Complete")</f>
        <v>Complete</v>
      </c>
      <c r="N239" t="str">
        <f>IF(M239="Incomplete","Not checked",IF(ROUND(I239*J239,2)=ROUND(L239,2),"Valid","Mismatch"))</f>
        <v>Valid</v>
      </c>
      <c r="O239">
        <f t="shared" si="7"/>
        <v>42.5</v>
      </c>
    </row>
    <row r="240" spans="1:15">
      <c r="A240">
        <v>1127</v>
      </c>
      <c r="B240" t="str">
        <f t="shared" si="6"/>
        <v>2022-03</v>
      </c>
      <c r="C240" s="1">
        <v>44635</v>
      </c>
      <c r="D240" s="5">
        <v>0.80972222222222223</v>
      </c>
      <c r="E240">
        <v>87</v>
      </c>
      <c r="F240" t="s">
        <v>14</v>
      </c>
      <c r="G240">
        <v>33</v>
      </c>
      <c r="H240" t="s">
        <v>12</v>
      </c>
      <c r="I240">
        <v>2</v>
      </c>
      <c r="J240" s="6">
        <v>25</v>
      </c>
      <c r="K240">
        <v>13</v>
      </c>
      <c r="L240">
        <v>50</v>
      </c>
      <c r="M240" t="str">
        <f>IF(OR(I240="",J240="",L240=""),"Incomplete","Complete")</f>
        <v>Complete</v>
      </c>
      <c r="N240" t="str">
        <f>IF(M240="Incomplete","Not checked",IF(ROUND(I240*J240,2)=ROUND(L240,2),"Valid","Mismatch"))</f>
        <v>Valid</v>
      </c>
      <c r="O240">
        <f t="shared" si="7"/>
        <v>37</v>
      </c>
    </row>
    <row r="241" spans="1:15">
      <c r="A241">
        <v>980</v>
      </c>
      <c r="B241" t="str">
        <f t="shared" si="6"/>
        <v>2022-10</v>
      </c>
      <c r="C241" s="1">
        <v>44848</v>
      </c>
      <c r="D241" s="5">
        <v>0.82708333333333328</v>
      </c>
      <c r="E241">
        <v>147</v>
      </c>
      <c r="F241" t="s">
        <v>14</v>
      </c>
      <c r="G241">
        <v>31</v>
      </c>
      <c r="H241" t="s">
        <v>15</v>
      </c>
      <c r="I241">
        <v>3</v>
      </c>
      <c r="J241" s="6">
        <v>25</v>
      </c>
      <c r="K241">
        <v>12.5</v>
      </c>
      <c r="L241">
        <v>75</v>
      </c>
      <c r="M241" t="str">
        <f>IF(OR(I241="",J241="",L241=""),"Incomplete","Complete")</f>
        <v>Complete</v>
      </c>
      <c r="N241" t="str">
        <f>IF(M241="Incomplete","Not checked",IF(ROUND(I241*J241,2)=ROUND(L241,2),"Valid","Mismatch"))</f>
        <v>Valid</v>
      </c>
      <c r="O241">
        <f t="shared" si="7"/>
        <v>62.5</v>
      </c>
    </row>
    <row r="242" spans="1:15">
      <c r="A242">
        <v>1980</v>
      </c>
      <c r="B242" t="str">
        <f t="shared" si="6"/>
        <v>2023-08</v>
      </c>
      <c r="C242" s="1">
        <v>45161</v>
      </c>
      <c r="D242" s="5">
        <v>0.85416666666666663</v>
      </c>
      <c r="E242">
        <v>112</v>
      </c>
      <c r="F242" t="s">
        <v>14</v>
      </c>
      <c r="G242">
        <v>31</v>
      </c>
      <c r="H242" t="s">
        <v>15</v>
      </c>
      <c r="I242">
        <v>3</v>
      </c>
      <c r="J242" s="6">
        <v>25</v>
      </c>
      <c r="K242">
        <v>6.5</v>
      </c>
      <c r="L242">
        <v>75</v>
      </c>
      <c r="M242" t="str">
        <f>IF(OR(I242="",J242="",L242=""),"Incomplete","Complete")</f>
        <v>Complete</v>
      </c>
      <c r="N242" t="str">
        <f>IF(M242="Incomplete","Not checked",IF(ROUND(I242*J242,2)=ROUND(L242,2),"Valid","Mismatch"))</f>
        <v>Valid</v>
      </c>
      <c r="O242">
        <f t="shared" si="7"/>
        <v>68.5</v>
      </c>
    </row>
    <row r="243" spans="1:15">
      <c r="A243">
        <v>949</v>
      </c>
      <c r="B243" t="str">
        <f t="shared" si="6"/>
        <v>2023-06</v>
      </c>
      <c r="C243" s="1">
        <v>45097</v>
      </c>
      <c r="D243" s="5">
        <v>0.85277777777777775</v>
      </c>
      <c r="E243">
        <v>21</v>
      </c>
      <c r="F243" t="s">
        <v>14</v>
      </c>
      <c r="G243">
        <v>41</v>
      </c>
      <c r="H243" t="s">
        <v>15</v>
      </c>
      <c r="I243">
        <v>2</v>
      </c>
      <c r="J243" s="6">
        <v>25</v>
      </c>
      <c r="K243">
        <v>9</v>
      </c>
      <c r="L243">
        <v>50</v>
      </c>
      <c r="M243" t="str">
        <f>IF(OR(I243="",J243="",L243=""),"Incomplete","Complete")</f>
        <v>Complete</v>
      </c>
      <c r="N243" t="str">
        <f>IF(M243="Incomplete","Not checked",IF(ROUND(I243*J243,2)=ROUND(L243,2),"Valid","Mismatch"))</f>
        <v>Valid</v>
      </c>
      <c r="O243">
        <f t="shared" si="7"/>
        <v>41</v>
      </c>
    </row>
    <row r="244" spans="1:15">
      <c r="A244">
        <v>1949</v>
      </c>
      <c r="B244" t="str">
        <f t="shared" si="6"/>
        <v>2022-11</v>
      </c>
      <c r="C244" s="1">
        <v>44876</v>
      </c>
      <c r="D244" s="5">
        <v>0.85</v>
      </c>
      <c r="E244">
        <v>105</v>
      </c>
      <c r="F244" t="s">
        <v>14</v>
      </c>
      <c r="G244">
        <v>41</v>
      </c>
      <c r="H244" t="s">
        <v>15</v>
      </c>
      <c r="I244">
        <v>2</v>
      </c>
      <c r="J244" s="6">
        <v>25</v>
      </c>
      <c r="K244">
        <v>12.5</v>
      </c>
      <c r="L244">
        <v>50</v>
      </c>
      <c r="M244" t="str">
        <f>IF(OR(I244="",J244="",L244=""),"Incomplete","Complete")</f>
        <v>Complete</v>
      </c>
      <c r="N244" t="str">
        <f>IF(M244="Incomplete","Not checked",IF(ROUND(I244*J244,2)=ROUND(L244,2),"Valid","Mismatch"))</f>
        <v>Valid</v>
      </c>
      <c r="O244">
        <f t="shared" si="7"/>
        <v>37.5</v>
      </c>
    </row>
    <row r="245" spans="1:15">
      <c r="A245">
        <v>27</v>
      </c>
      <c r="B245" t="str">
        <f t="shared" si="6"/>
        <v>2023-12</v>
      </c>
      <c r="C245" s="1">
        <v>45274</v>
      </c>
      <c r="D245" s="5">
        <v>0.82222222222222219</v>
      </c>
      <c r="E245">
        <v>39</v>
      </c>
      <c r="F245" t="s">
        <v>14</v>
      </c>
      <c r="G245">
        <v>38</v>
      </c>
      <c r="H245" t="s">
        <v>13</v>
      </c>
      <c r="I245">
        <v>2</v>
      </c>
      <c r="J245" s="6">
        <v>25</v>
      </c>
      <c r="K245">
        <v>8.25</v>
      </c>
      <c r="L245">
        <v>50</v>
      </c>
      <c r="M245" t="str">
        <f>IF(OR(I245="",J245="",L245=""),"Incomplete","Complete")</f>
        <v>Complete</v>
      </c>
      <c r="N245" t="str">
        <f>IF(M245="Incomplete","Not checked",IF(ROUND(I245*J245,2)=ROUND(L245,2),"Valid","Mismatch"))</f>
        <v>Valid</v>
      </c>
      <c r="O245">
        <f t="shared" si="7"/>
        <v>41.75</v>
      </c>
    </row>
    <row r="246" spans="1:15">
      <c r="A246">
        <v>347</v>
      </c>
      <c r="B246" t="str">
        <f t="shared" si="6"/>
        <v>2022-03</v>
      </c>
      <c r="C246" s="1">
        <v>44646</v>
      </c>
      <c r="D246" s="5">
        <v>0.81319444444444444</v>
      </c>
      <c r="E246">
        <v>26</v>
      </c>
      <c r="F246" t="s">
        <v>11</v>
      </c>
      <c r="G246">
        <v>42</v>
      </c>
      <c r="H246" t="s">
        <v>15</v>
      </c>
      <c r="I246">
        <v>1</v>
      </c>
      <c r="J246" s="6">
        <v>25</v>
      </c>
      <c r="K246">
        <v>7</v>
      </c>
      <c r="L246">
        <v>25</v>
      </c>
      <c r="M246" t="str">
        <f>IF(OR(I246="",J246="",L246=""),"Incomplete","Complete")</f>
        <v>Complete</v>
      </c>
      <c r="N246" t="str">
        <f>IF(M246="Incomplete","Not checked",IF(ROUND(I246*J246,2)=ROUND(L246,2),"Valid","Mismatch"))</f>
        <v>Valid</v>
      </c>
      <c r="O246">
        <f t="shared" si="7"/>
        <v>18</v>
      </c>
    </row>
    <row r="247" spans="1:15">
      <c r="A247">
        <v>1027</v>
      </c>
      <c r="B247" t="str">
        <f t="shared" si="6"/>
        <v>2022-04</v>
      </c>
      <c r="C247" s="1">
        <v>44681</v>
      </c>
      <c r="D247" s="5">
        <v>0.875</v>
      </c>
      <c r="E247">
        <v>131</v>
      </c>
      <c r="F247" t="s">
        <v>14</v>
      </c>
      <c r="G247">
        <v>38</v>
      </c>
      <c r="H247" t="s">
        <v>13</v>
      </c>
      <c r="I247">
        <v>2</v>
      </c>
      <c r="J247" s="6">
        <v>25</v>
      </c>
      <c r="K247">
        <v>7.5</v>
      </c>
      <c r="L247">
        <v>50</v>
      </c>
      <c r="M247" t="str">
        <f>IF(OR(I247="",J247="",L247=""),"Incomplete","Complete")</f>
        <v>Complete</v>
      </c>
      <c r="N247" t="str">
        <f>IF(M247="Incomplete","Not checked",IF(ROUND(I247*J247,2)=ROUND(L247,2),"Valid","Mismatch"))</f>
        <v>Valid</v>
      </c>
      <c r="O247">
        <f t="shared" si="7"/>
        <v>42.5</v>
      </c>
    </row>
    <row r="248" spans="1:15">
      <c r="A248">
        <v>1347</v>
      </c>
      <c r="B248" t="str">
        <f t="shared" si="6"/>
        <v>2023-11</v>
      </c>
      <c r="C248" s="1">
        <v>45251</v>
      </c>
      <c r="D248" s="5">
        <v>0.91319444444444442</v>
      </c>
      <c r="E248">
        <v>7</v>
      </c>
      <c r="F248" t="s">
        <v>11</v>
      </c>
      <c r="G248">
        <v>42</v>
      </c>
      <c r="H248" t="s">
        <v>15</v>
      </c>
      <c r="I248">
        <v>1</v>
      </c>
      <c r="J248" s="6">
        <v>25</v>
      </c>
      <c r="K248">
        <v>13</v>
      </c>
      <c r="L248">
        <v>25</v>
      </c>
      <c r="M248" t="str">
        <f>IF(OR(I248="",J248="",L248=""),"Incomplete","Complete")</f>
        <v>Complete</v>
      </c>
      <c r="N248" t="str">
        <f>IF(M248="Incomplete","Not checked",IF(ROUND(I248*J248,2)=ROUND(L248,2),"Valid","Mismatch"))</f>
        <v>Valid</v>
      </c>
      <c r="O248">
        <f t="shared" si="7"/>
        <v>12</v>
      </c>
    </row>
    <row r="249" spans="1:15">
      <c r="A249">
        <v>730</v>
      </c>
      <c r="B249" t="str">
        <f t="shared" si="6"/>
        <v>2022-02</v>
      </c>
      <c r="C249" s="1">
        <v>44612</v>
      </c>
      <c r="D249" s="5">
        <v>0.81805555555555554</v>
      </c>
      <c r="E249">
        <v>131</v>
      </c>
      <c r="F249" t="s">
        <v>14</v>
      </c>
      <c r="G249">
        <v>36</v>
      </c>
      <c r="H249" t="s">
        <v>12</v>
      </c>
      <c r="I249">
        <v>2</v>
      </c>
      <c r="J249" s="6">
        <v>25</v>
      </c>
      <c r="K249">
        <v>13.25</v>
      </c>
      <c r="L249">
        <v>50</v>
      </c>
      <c r="M249" t="str">
        <f>IF(OR(I249="",J249="",L249=""),"Incomplete","Complete")</f>
        <v>Complete</v>
      </c>
      <c r="N249" t="str">
        <f>IF(M249="Incomplete","Not checked",IF(ROUND(I249*J249,2)=ROUND(L249,2),"Valid","Mismatch"))</f>
        <v>Valid</v>
      </c>
      <c r="O249">
        <f t="shared" si="7"/>
        <v>36.75</v>
      </c>
    </row>
    <row r="250" spans="1:15">
      <c r="A250">
        <v>1730</v>
      </c>
      <c r="B250" t="str">
        <f t="shared" si="6"/>
        <v>2023-08</v>
      </c>
      <c r="C250" s="1">
        <v>45152</v>
      </c>
      <c r="D250" s="5">
        <v>0.80347222222222225</v>
      </c>
      <c r="E250">
        <v>116</v>
      </c>
      <c r="F250" t="s">
        <v>14</v>
      </c>
      <c r="G250">
        <v>36</v>
      </c>
      <c r="H250" t="s">
        <v>12</v>
      </c>
      <c r="I250">
        <v>2</v>
      </c>
      <c r="J250" s="6">
        <v>25</v>
      </c>
      <c r="K250">
        <v>10.75</v>
      </c>
      <c r="L250">
        <v>50</v>
      </c>
      <c r="M250" t="str">
        <f>IF(OR(I250="",J250="",L250=""),"Incomplete","Complete")</f>
        <v>Complete</v>
      </c>
      <c r="N250" t="str">
        <f>IF(M250="Incomplete","Not checked",IF(ROUND(I250*J250,2)=ROUND(L250,2),"Valid","Mismatch"))</f>
        <v>Valid</v>
      </c>
      <c r="O250">
        <f t="shared" si="7"/>
        <v>39.25</v>
      </c>
    </row>
    <row r="251" spans="1:15">
      <c r="A251">
        <v>206</v>
      </c>
      <c r="B251" t="str">
        <f t="shared" si="6"/>
        <v>2022-09</v>
      </c>
      <c r="C251" s="1">
        <v>44806</v>
      </c>
      <c r="D251" s="5">
        <v>0.76249999999999996</v>
      </c>
      <c r="E251">
        <v>31</v>
      </c>
      <c r="F251" t="s">
        <v>11</v>
      </c>
      <c r="G251">
        <v>61</v>
      </c>
      <c r="H251" t="s">
        <v>12</v>
      </c>
      <c r="I251">
        <v>1</v>
      </c>
      <c r="J251" s="6">
        <v>25</v>
      </c>
      <c r="K251">
        <v>11.75</v>
      </c>
      <c r="L251">
        <v>25</v>
      </c>
      <c r="M251" t="str">
        <f>IF(OR(I251="",J251="",L251=""),"Incomplete","Complete")</f>
        <v>Complete</v>
      </c>
      <c r="N251" t="str">
        <f>IF(M251="Incomplete","Not checked",IF(ROUND(I251*J251,2)=ROUND(L251,2),"Valid","Mismatch"))</f>
        <v>Valid</v>
      </c>
      <c r="O251">
        <f t="shared" si="7"/>
        <v>13.25</v>
      </c>
    </row>
    <row r="252" spans="1:15">
      <c r="A252">
        <v>261</v>
      </c>
      <c r="B252" t="str">
        <f t="shared" si="6"/>
        <v>2022-02</v>
      </c>
      <c r="C252" s="1">
        <v>44598</v>
      </c>
      <c r="D252" s="5">
        <v>0.7416666666666667</v>
      </c>
      <c r="E252">
        <v>16</v>
      </c>
      <c r="F252" t="s">
        <v>11</v>
      </c>
      <c r="G252">
        <v>21</v>
      </c>
      <c r="H252" t="s">
        <v>12</v>
      </c>
      <c r="I252">
        <v>2</v>
      </c>
      <c r="J252" s="6">
        <v>25</v>
      </c>
      <c r="K252">
        <v>8.25</v>
      </c>
      <c r="L252">
        <v>50</v>
      </c>
      <c r="M252" t="str">
        <f>IF(OR(I252="",J252="",L252=""),"Incomplete","Complete")</f>
        <v>Complete</v>
      </c>
      <c r="N252" t="str">
        <f>IF(M252="Incomplete","Not checked",IF(ROUND(I252*J252,2)=ROUND(L252,2),"Valid","Mismatch"))</f>
        <v>Valid</v>
      </c>
      <c r="O252">
        <f t="shared" si="7"/>
        <v>41.75</v>
      </c>
    </row>
    <row r="253" spans="1:15">
      <c r="A253">
        <v>1206</v>
      </c>
      <c r="B253" t="str">
        <f t="shared" si="6"/>
        <v>2023-05</v>
      </c>
      <c r="C253" s="1">
        <v>45060</v>
      </c>
      <c r="D253" s="5">
        <v>0.82291666666666663</v>
      </c>
      <c r="E253">
        <v>68</v>
      </c>
      <c r="F253" t="s">
        <v>11</v>
      </c>
      <c r="G253">
        <v>61</v>
      </c>
      <c r="H253" t="s">
        <v>12</v>
      </c>
      <c r="I253">
        <v>1</v>
      </c>
      <c r="J253" s="6">
        <v>25</v>
      </c>
      <c r="K253">
        <v>8.5</v>
      </c>
      <c r="L253">
        <v>25</v>
      </c>
      <c r="M253" t="str">
        <f>IF(OR(I253="",J253="",L253=""),"Incomplete","Complete")</f>
        <v>Complete</v>
      </c>
      <c r="N253" t="str">
        <f>IF(M253="Incomplete","Not checked",IF(ROUND(I253*J253,2)=ROUND(L253,2),"Valid","Mismatch"))</f>
        <v>Valid</v>
      </c>
      <c r="O253">
        <f t="shared" si="7"/>
        <v>16.5</v>
      </c>
    </row>
    <row r="254" spans="1:15">
      <c r="A254">
        <v>1261</v>
      </c>
      <c r="B254" t="str">
        <f t="shared" si="6"/>
        <v>2022-09</v>
      </c>
      <c r="C254" s="1">
        <v>44831</v>
      </c>
      <c r="D254" s="5">
        <v>0.8881944444444444</v>
      </c>
      <c r="E254">
        <v>116</v>
      </c>
      <c r="F254" t="s">
        <v>11</v>
      </c>
      <c r="G254">
        <v>21</v>
      </c>
      <c r="H254" t="s">
        <v>12</v>
      </c>
      <c r="I254">
        <v>2</v>
      </c>
      <c r="J254" s="6">
        <v>25</v>
      </c>
      <c r="K254">
        <v>6.25</v>
      </c>
      <c r="L254">
        <v>50</v>
      </c>
      <c r="M254" t="str">
        <f>IF(OR(I254="",J254="",L254=""),"Incomplete","Complete")</f>
        <v>Complete</v>
      </c>
      <c r="N254" t="str">
        <f>IF(M254="Incomplete","Not checked",IF(ROUND(I254*J254,2)=ROUND(L254,2),"Valid","Mismatch"))</f>
        <v>Valid</v>
      </c>
      <c r="O254">
        <f t="shared" si="7"/>
        <v>43.75</v>
      </c>
    </row>
    <row r="255" spans="1:15">
      <c r="A255">
        <v>790</v>
      </c>
      <c r="B255" t="str">
        <f t="shared" si="6"/>
        <v>2023-04</v>
      </c>
      <c r="C255" s="1">
        <v>45029</v>
      </c>
      <c r="D255" s="5">
        <v>0.86597222222222225</v>
      </c>
      <c r="E255">
        <v>29</v>
      </c>
      <c r="F255" t="s">
        <v>11</v>
      </c>
      <c r="G255">
        <v>62</v>
      </c>
      <c r="H255" t="s">
        <v>12</v>
      </c>
      <c r="I255">
        <v>1</v>
      </c>
      <c r="J255" s="6">
        <v>25</v>
      </c>
      <c r="K255">
        <v>9.25</v>
      </c>
      <c r="L255">
        <v>25</v>
      </c>
      <c r="M255" t="str">
        <f>IF(OR(I255="",J255="",L255=""),"Incomplete","Complete")</f>
        <v>Complete</v>
      </c>
      <c r="N255" t="str">
        <f>IF(M255="Incomplete","Not checked",IF(ROUND(I255*J255,2)=ROUND(L255,2),"Valid","Mismatch"))</f>
        <v>Valid</v>
      </c>
      <c r="O255">
        <f t="shared" si="7"/>
        <v>15.75</v>
      </c>
    </row>
    <row r="256" spans="1:15">
      <c r="A256">
        <v>1790</v>
      </c>
      <c r="B256" t="str">
        <f t="shared" si="6"/>
        <v>2023-05</v>
      </c>
      <c r="C256" s="1">
        <v>45060</v>
      </c>
      <c r="D256" s="5">
        <v>0.86944444444444446</v>
      </c>
      <c r="E256">
        <v>147</v>
      </c>
      <c r="F256" t="s">
        <v>11</v>
      </c>
      <c r="G256">
        <v>62</v>
      </c>
      <c r="H256" t="s">
        <v>12</v>
      </c>
      <c r="I256">
        <v>1</v>
      </c>
      <c r="J256" s="6">
        <v>25</v>
      </c>
      <c r="K256">
        <v>7.5</v>
      </c>
      <c r="L256">
        <v>25</v>
      </c>
      <c r="M256" t="str">
        <f>IF(OR(I256="",J256="",L256=""),"Incomplete","Complete")</f>
        <v>Complete</v>
      </c>
      <c r="N256" t="str">
        <f>IF(M256="Incomplete","Not checked",IF(ROUND(I256*J256,2)=ROUND(L256,2),"Valid","Mismatch"))</f>
        <v>Valid</v>
      </c>
      <c r="O256">
        <f t="shared" si="7"/>
        <v>17.5</v>
      </c>
    </row>
    <row r="257" spans="1:15">
      <c r="A257">
        <v>285</v>
      </c>
      <c r="B257" t="str">
        <f t="shared" si="6"/>
        <v>2023-12</v>
      </c>
      <c r="C257" s="1">
        <v>45261</v>
      </c>
      <c r="D257" s="5">
        <v>0.75972222222222219</v>
      </c>
      <c r="E257">
        <v>107</v>
      </c>
      <c r="F257" t="s">
        <v>14</v>
      </c>
      <c r="G257">
        <v>31</v>
      </c>
      <c r="H257" t="s">
        <v>15</v>
      </c>
      <c r="I257">
        <v>1</v>
      </c>
      <c r="J257" s="6">
        <v>25</v>
      </c>
      <c r="K257">
        <v>13.5</v>
      </c>
      <c r="L257">
        <v>25</v>
      </c>
      <c r="M257" t="str">
        <f>IF(OR(I257="",J257="",L257=""),"Incomplete","Complete")</f>
        <v>Complete</v>
      </c>
      <c r="N257" t="str">
        <f>IF(M257="Incomplete","Not checked",IF(ROUND(I257*J257,2)=ROUND(L257,2),"Valid","Mismatch"))</f>
        <v>Valid</v>
      </c>
      <c r="O257">
        <f t="shared" si="7"/>
        <v>11.5</v>
      </c>
    </row>
    <row r="258" spans="1:15">
      <c r="A258">
        <v>427</v>
      </c>
      <c r="B258" t="str">
        <f t="shared" ref="B258:B321" si="8">TEXT(C258,"yyyy-mm")</f>
        <v>2023-11</v>
      </c>
      <c r="C258" s="1">
        <v>45246</v>
      </c>
      <c r="D258" s="5">
        <v>0.8930555555555556</v>
      </c>
      <c r="E258">
        <v>120</v>
      </c>
      <c r="F258" t="s">
        <v>11</v>
      </c>
      <c r="G258">
        <v>25</v>
      </c>
      <c r="H258" t="s">
        <v>15</v>
      </c>
      <c r="I258">
        <v>1</v>
      </c>
      <c r="J258" s="6">
        <v>25</v>
      </c>
      <c r="K258">
        <v>11.75</v>
      </c>
      <c r="L258">
        <v>25</v>
      </c>
      <c r="M258" t="str">
        <f>IF(OR(I258="",J258="",L258=""),"Incomplete","Complete")</f>
        <v>Complete</v>
      </c>
      <c r="N258" t="str">
        <f>IF(M258="Incomplete","Not checked",IF(ROUND(I258*J258,2)=ROUND(L258,2),"Valid","Mismatch"))</f>
        <v>Valid</v>
      </c>
      <c r="O258">
        <f t="shared" ref="O258:O321" si="9">IF(M258="Incomplete","",L258-K258)</f>
        <v>13.25</v>
      </c>
    </row>
    <row r="259" spans="1:15">
      <c r="A259">
        <v>1285</v>
      </c>
      <c r="B259" t="str">
        <f t="shared" si="8"/>
        <v>2023-06</v>
      </c>
      <c r="C259" s="1">
        <v>45078</v>
      </c>
      <c r="D259" s="5">
        <v>0.91319444444444442</v>
      </c>
      <c r="E259">
        <v>130</v>
      </c>
      <c r="F259" t="s">
        <v>14</v>
      </c>
      <c r="G259">
        <v>31</v>
      </c>
      <c r="H259" t="s">
        <v>15</v>
      </c>
      <c r="I259">
        <v>1</v>
      </c>
      <c r="J259" s="6">
        <v>25</v>
      </c>
      <c r="K259">
        <v>12.25</v>
      </c>
      <c r="L259">
        <v>25</v>
      </c>
      <c r="M259" t="str">
        <f>IF(OR(I259="",J259="",L259=""),"Incomplete","Complete")</f>
        <v>Complete</v>
      </c>
      <c r="N259" t="str">
        <f>IF(M259="Incomplete","Not checked",IF(ROUND(I259*J259,2)=ROUND(L259,2),"Valid","Mismatch"))</f>
        <v>Valid</v>
      </c>
      <c r="O259">
        <f t="shared" si="9"/>
        <v>12.75</v>
      </c>
    </row>
    <row r="260" spans="1:15">
      <c r="A260">
        <v>1427</v>
      </c>
      <c r="B260" t="str">
        <f t="shared" si="8"/>
        <v>2023-07</v>
      </c>
      <c r="C260" s="1">
        <v>45122</v>
      </c>
      <c r="D260" s="5">
        <v>0.77500000000000002</v>
      </c>
      <c r="E260">
        <v>92</v>
      </c>
      <c r="F260" t="s">
        <v>11</v>
      </c>
      <c r="G260">
        <v>25</v>
      </c>
      <c r="H260" t="s">
        <v>15</v>
      </c>
      <c r="I260">
        <v>1</v>
      </c>
      <c r="J260" s="6">
        <v>25</v>
      </c>
      <c r="K260">
        <v>11.5</v>
      </c>
      <c r="L260">
        <v>25</v>
      </c>
      <c r="M260" t="str">
        <f>IF(OR(I260="",J260="",L260=""),"Incomplete","Complete")</f>
        <v>Complete</v>
      </c>
      <c r="N260" t="str">
        <f>IF(M260="Incomplete","Not checked",IF(ROUND(I260*J260,2)=ROUND(L260,2),"Valid","Mismatch"))</f>
        <v>Valid</v>
      </c>
      <c r="O260">
        <f t="shared" si="9"/>
        <v>13.5</v>
      </c>
    </row>
    <row r="261" spans="1:15">
      <c r="A261">
        <v>277</v>
      </c>
      <c r="B261" t="str">
        <f t="shared" si="8"/>
        <v>2023-07</v>
      </c>
      <c r="C261" s="1">
        <v>45110</v>
      </c>
      <c r="D261" s="5">
        <v>0.92361111111111116</v>
      </c>
      <c r="E261">
        <v>139</v>
      </c>
      <c r="F261" t="s">
        <v>11</v>
      </c>
      <c r="G261">
        <v>36</v>
      </c>
      <c r="H261" t="s">
        <v>12</v>
      </c>
      <c r="I261">
        <v>4</v>
      </c>
      <c r="J261" s="6">
        <v>25</v>
      </c>
      <c r="K261">
        <v>12.25</v>
      </c>
      <c r="L261">
        <v>100</v>
      </c>
      <c r="M261" t="str">
        <f>IF(OR(I261="",J261="",L261=""),"Incomplete","Complete")</f>
        <v>Complete</v>
      </c>
      <c r="N261" t="str">
        <f>IF(M261="Incomplete","Not checked",IF(ROUND(I261*J261,2)=ROUND(L261,2),"Valid","Mismatch"))</f>
        <v>Valid</v>
      </c>
      <c r="O261">
        <f t="shared" si="9"/>
        <v>87.75</v>
      </c>
    </row>
    <row r="262" spans="1:15">
      <c r="A262">
        <v>1277</v>
      </c>
      <c r="B262" t="str">
        <f t="shared" si="8"/>
        <v>2023-10</v>
      </c>
      <c r="C262" s="1">
        <v>45216</v>
      </c>
      <c r="D262" s="5">
        <v>0.88888888888888884</v>
      </c>
      <c r="E262">
        <v>80</v>
      </c>
      <c r="F262" t="s">
        <v>11</v>
      </c>
      <c r="G262">
        <v>36</v>
      </c>
      <c r="H262" t="s">
        <v>12</v>
      </c>
      <c r="I262">
        <v>4</v>
      </c>
      <c r="J262" s="6">
        <v>25</v>
      </c>
      <c r="K262">
        <v>12.75</v>
      </c>
      <c r="L262">
        <v>100</v>
      </c>
      <c r="M262" t="str">
        <f>IF(OR(I262="",J262="",L262=""),"Incomplete","Complete")</f>
        <v>Complete</v>
      </c>
      <c r="N262" t="str">
        <f>IF(M262="Incomplete","Not checked",IF(ROUND(I262*J262,2)=ROUND(L262,2),"Valid","Mismatch"))</f>
        <v>Valid</v>
      </c>
      <c r="O262">
        <f t="shared" si="9"/>
        <v>87.25</v>
      </c>
    </row>
    <row r="263" spans="1:15">
      <c r="A263">
        <v>622</v>
      </c>
      <c r="B263" t="str">
        <f t="shared" si="8"/>
        <v>2022-10</v>
      </c>
      <c r="C263" s="1">
        <v>44850</v>
      </c>
      <c r="D263" s="5">
        <v>0.91666666666666663</v>
      </c>
      <c r="E263">
        <v>155</v>
      </c>
      <c r="F263" t="s">
        <v>14</v>
      </c>
      <c r="G263">
        <v>49</v>
      </c>
      <c r="H263" t="s">
        <v>13</v>
      </c>
      <c r="I263">
        <v>3</v>
      </c>
      <c r="J263" s="6">
        <v>25</v>
      </c>
      <c r="K263">
        <v>6.25</v>
      </c>
      <c r="L263">
        <v>75</v>
      </c>
      <c r="M263" t="str">
        <f>IF(OR(I263="",J263="",L263=""),"Incomplete","Complete")</f>
        <v>Complete</v>
      </c>
      <c r="N263" t="str">
        <f>IF(M263="Incomplete","Not checked",IF(ROUND(I263*J263,2)=ROUND(L263,2),"Valid","Mismatch"))</f>
        <v>Valid</v>
      </c>
      <c r="O263">
        <f t="shared" si="9"/>
        <v>68.75</v>
      </c>
    </row>
    <row r="264" spans="1:15">
      <c r="A264">
        <v>1622</v>
      </c>
      <c r="B264" t="str">
        <f t="shared" si="8"/>
        <v>2023-04</v>
      </c>
      <c r="C264" s="1">
        <v>45038</v>
      </c>
      <c r="D264" s="5">
        <v>0.89444444444444449</v>
      </c>
      <c r="E264">
        <v>54</v>
      </c>
      <c r="F264" t="s">
        <v>14</v>
      </c>
      <c r="G264">
        <v>49</v>
      </c>
      <c r="H264" t="s">
        <v>13</v>
      </c>
      <c r="I264">
        <v>3</v>
      </c>
      <c r="J264" s="6">
        <v>25</v>
      </c>
      <c r="K264">
        <v>11.75</v>
      </c>
      <c r="L264">
        <v>75</v>
      </c>
      <c r="M264" t="str">
        <f>IF(OR(I264="",J264="",L264=""),"Incomplete","Complete")</f>
        <v>Complete</v>
      </c>
      <c r="N264" t="str">
        <f>IF(M264="Incomplete","Not checked",IF(ROUND(I264*J264,2)=ROUND(L264,2),"Valid","Mismatch"))</f>
        <v>Valid</v>
      </c>
      <c r="O264">
        <f t="shared" si="9"/>
        <v>63.25</v>
      </c>
    </row>
    <row r="265" spans="1:15">
      <c r="A265">
        <v>50</v>
      </c>
      <c r="B265" t="str">
        <f t="shared" si="8"/>
        <v>2022-03</v>
      </c>
      <c r="C265" s="1">
        <v>44649</v>
      </c>
      <c r="D265" s="5">
        <v>0.78541666666666665</v>
      </c>
      <c r="E265">
        <v>71</v>
      </c>
      <c r="F265" t="s">
        <v>14</v>
      </c>
      <c r="G265">
        <v>27</v>
      </c>
      <c r="H265" t="s">
        <v>13</v>
      </c>
      <c r="I265">
        <v>3</v>
      </c>
      <c r="J265" s="6">
        <v>25</v>
      </c>
      <c r="K265">
        <v>10.5</v>
      </c>
      <c r="L265">
        <v>75</v>
      </c>
      <c r="M265" t="str">
        <f>IF(OR(I265="",J265="",L265=""),"Incomplete","Complete")</f>
        <v>Complete</v>
      </c>
      <c r="N265" t="str">
        <f>IF(M265="Incomplete","Not checked",IF(ROUND(I265*J265,2)=ROUND(L265,2),"Valid","Mismatch"))</f>
        <v>Valid</v>
      </c>
      <c r="O265">
        <f t="shared" si="9"/>
        <v>64.5</v>
      </c>
    </row>
    <row r="266" spans="1:15">
      <c r="A266">
        <v>1050</v>
      </c>
      <c r="B266" t="str">
        <f t="shared" si="8"/>
        <v>2022-12</v>
      </c>
      <c r="C266" s="1">
        <v>44905</v>
      </c>
      <c r="D266" s="5">
        <v>0.84375</v>
      </c>
      <c r="E266">
        <v>24</v>
      </c>
      <c r="F266" t="s">
        <v>14</v>
      </c>
      <c r="G266">
        <v>27</v>
      </c>
      <c r="H266" t="s">
        <v>13</v>
      </c>
      <c r="I266">
        <v>3</v>
      </c>
      <c r="J266" s="6">
        <v>25</v>
      </c>
      <c r="K266">
        <v>11.25</v>
      </c>
      <c r="L266">
        <v>75</v>
      </c>
      <c r="M266" t="str">
        <f>IF(OR(I266="",J266="",L266=""),"Incomplete","Complete")</f>
        <v>Complete</v>
      </c>
      <c r="N266" t="str">
        <f>IF(M266="Incomplete","Not checked",IF(ROUND(I266*J266,2)=ROUND(L266,2),"Valid","Mismatch"))</f>
        <v>Valid</v>
      </c>
      <c r="O266">
        <f t="shared" si="9"/>
        <v>63.75</v>
      </c>
    </row>
    <row r="267" spans="1:15">
      <c r="A267">
        <v>718</v>
      </c>
      <c r="B267" t="str">
        <f t="shared" si="8"/>
        <v>2023-11</v>
      </c>
      <c r="C267" s="1">
        <v>45232</v>
      </c>
      <c r="D267" s="5">
        <v>0.85069444444444442</v>
      </c>
      <c r="E267">
        <v>154</v>
      </c>
      <c r="F267" t="s">
        <v>14</v>
      </c>
      <c r="G267">
        <v>59</v>
      </c>
      <c r="H267" t="s">
        <v>13</v>
      </c>
      <c r="I267">
        <v>3</v>
      </c>
      <c r="J267" s="6">
        <v>25</v>
      </c>
      <c r="K267">
        <v>25</v>
      </c>
      <c r="L267">
        <v>75</v>
      </c>
      <c r="M267" t="str">
        <f>IF(OR(I267="",J267="",L267=""),"Incomplete","Complete")</f>
        <v>Complete</v>
      </c>
      <c r="N267" t="str">
        <f>IF(M267="Incomplete","Not checked",IF(ROUND(I267*J267,2)=ROUND(L267,2),"Valid","Mismatch"))</f>
        <v>Valid</v>
      </c>
      <c r="O267">
        <f t="shared" si="9"/>
        <v>50</v>
      </c>
    </row>
    <row r="268" spans="1:15">
      <c r="A268">
        <v>1718</v>
      </c>
      <c r="B268" t="str">
        <f t="shared" si="8"/>
        <v>2023-10</v>
      </c>
      <c r="C268" s="1">
        <v>45224</v>
      </c>
      <c r="D268" s="5">
        <v>0.79374999999999996</v>
      </c>
      <c r="E268">
        <v>20</v>
      </c>
      <c r="F268" t="s">
        <v>14</v>
      </c>
      <c r="G268">
        <v>59</v>
      </c>
      <c r="H268" t="s">
        <v>13</v>
      </c>
      <c r="I268">
        <v>3</v>
      </c>
      <c r="J268" s="6">
        <v>25</v>
      </c>
      <c r="K268">
        <v>25.5</v>
      </c>
      <c r="L268">
        <v>75</v>
      </c>
      <c r="M268" t="str">
        <f>IF(OR(I268="",J268="",L268=""),"Incomplete","Complete")</f>
        <v>Complete</v>
      </c>
      <c r="N268" t="str">
        <f>IF(M268="Incomplete","Not checked",IF(ROUND(I268*J268,2)=ROUND(L268,2),"Valid","Mismatch"))</f>
        <v>Valid</v>
      </c>
      <c r="O268">
        <f t="shared" si="9"/>
        <v>49.5</v>
      </c>
    </row>
    <row r="269" spans="1:15">
      <c r="A269">
        <v>825</v>
      </c>
      <c r="B269" t="str">
        <f t="shared" si="8"/>
        <v>2022-01</v>
      </c>
      <c r="C269" s="1">
        <v>44569</v>
      </c>
      <c r="D269" s="5">
        <v>0.7270833333333333</v>
      </c>
      <c r="E269">
        <v>51</v>
      </c>
      <c r="F269" t="s">
        <v>14</v>
      </c>
      <c r="G269">
        <v>46</v>
      </c>
      <c r="H269" t="s">
        <v>13</v>
      </c>
      <c r="I269">
        <v>1</v>
      </c>
      <c r="J269" s="6">
        <v>25</v>
      </c>
      <c r="K269">
        <v>27.25</v>
      </c>
      <c r="L269">
        <v>25</v>
      </c>
      <c r="M269" t="str">
        <f>IF(OR(I269="",J269="",L269=""),"Incomplete","Complete")</f>
        <v>Complete</v>
      </c>
      <c r="N269" t="str">
        <f>IF(M269="Incomplete","Not checked",IF(ROUND(I269*J269,2)=ROUND(L269,2),"Valid","Mismatch"))</f>
        <v>Valid</v>
      </c>
      <c r="O269">
        <f t="shared" si="9"/>
        <v>-2.25</v>
      </c>
    </row>
    <row r="270" spans="1:15">
      <c r="A270">
        <v>1825</v>
      </c>
      <c r="B270" t="str">
        <f t="shared" si="8"/>
        <v>2023-08</v>
      </c>
      <c r="C270" s="1">
        <v>45168</v>
      </c>
      <c r="D270" s="5">
        <v>0.77361111111111114</v>
      </c>
      <c r="E270">
        <v>105</v>
      </c>
      <c r="F270" t="s">
        <v>14</v>
      </c>
      <c r="G270">
        <v>46</v>
      </c>
      <c r="H270" t="s">
        <v>13</v>
      </c>
      <c r="I270">
        <v>1</v>
      </c>
      <c r="J270" s="6">
        <v>25</v>
      </c>
      <c r="K270">
        <v>27</v>
      </c>
      <c r="L270">
        <v>25</v>
      </c>
      <c r="M270" t="str">
        <f>IF(OR(I270="",J270="",L270=""),"Incomplete","Complete")</f>
        <v>Complete</v>
      </c>
      <c r="N270" t="str">
        <f>IF(M270="Incomplete","Not checked",IF(ROUND(I270*J270,2)=ROUND(L270,2),"Valid","Mismatch"))</f>
        <v>Valid</v>
      </c>
      <c r="O270">
        <f t="shared" si="9"/>
        <v>-2</v>
      </c>
    </row>
    <row r="271" spans="1:15">
      <c r="A271">
        <v>815</v>
      </c>
      <c r="B271" t="str">
        <f t="shared" si="8"/>
        <v>2023-04</v>
      </c>
      <c r="C271" s="1">
        <v>45021</v>
      </c>
      <c r="D271" s="5">
        <v>0.88541666666666663</v>
      </c>
      <c r="E271">
        <v>139</v>
      </c>
      <c r="F271" t="s">
        <v>14</v>
      </c>
      <c r="G271">
        <v>51</v>
      </c>
      <c r="H271" t="s">
        <v>12</v>
      </c>
      <c r="I271">
        <v>3</v>
      </c>
      <c r="J271" s="6">
        <v>25</v>
      </c>
      <c r="K271">
        <v>23.75</v>
      </c>
      <c r="L271">
        <v>75</v>
      </c>
      <c r="M271" t="str">
        <f>IF(OR(I271="",J271="",L271=""),"Incomplete","Complete")</f>
        <v>Complete</v>
      </c>
      <c r="N271" t="str">
        <f>IF(M271="Incomplete","Not checked",IF(ROUND(I271*J271,2)=ROUND(L271,2),"Valid","Mismatch"))</f>
        <v>Valid</v>
      </c>
      <c r="O271">
        <f t="shared" si="9"/>
        <v>51.25</v>
      </c>
    </row>
    <row r="272" spans="1:15">
      <c r="A272">
        <v>1815</v>
      </c>
      <c r="B272" t="str">
        <f t="shared" si="8"/>
        <v>2023-05</v>
      </c>
      <c r="C272" s="1">
        <v>45070</v>
      </c>
      <c r="D272" s="5">
        <v>0.92986111111111114</v>
      </c>
      <c r="E272">
        <v>6</v>
      </c>
      <c r="F272" t="s">
        <v>14</v>
      </c>
      <c r="G272">
        <v>51</v>
      </c>
      <c r="H272" t="s">
        <v>12</v>
      </c>
      <c r="I272">
        <v>3</v>
      </c>
      <c r="J272" s="6">
        <v>25</v>
      </c>
      <c r="K272">
        <v>30.5</v>
      </c>
      <c r="L272">
        <v>75</v>
      </c>
      <c r="M272" t="str">
        <f>IF(OR(I272="",J272="",L272=""),"Incomplete","Complete")</f>
        <v>Complete</v>
      </c>
      <c r="N272" t="str">
        <f>IF(M272="Incomplete","Not checked",IF(ROUND(I272*J272,2)=ROUND(L272,2),"Valid","Mismatch"))</f>
        <v>Valid</v>
      </c>
      <c r="O272">
        <f t="shared" si="9"/>
        <v>44.5</v>
      </c>
    </row>
    <row r="273" spans="1:15">
      <c r="A273">
        <v>574</v>
      </c>
      <c r="B273" t="str">
        <f t="shared" si="8"/>
        <v>2023-09</v>
      </c>
      <c r="C273" s="1">
        <v>45186</v>
      </c>
      <c r="D273" s="5">
        <v>0.84166666666666667</v>
      </c>
      <c r="E273">
        <v>24</v>
      </c>
      <c r="F273" t="s">
        <v>14</v>
      </c>
      <c r="G273">
        <v>63</v>
      </c>
      <c r="H273" t="s">
        <v>15</v>
      </c>
      <c r="I273">
        <v>2</v>
      </c>
      <c r="J273" s="6">
        <v>25</v>
      </c>
      <c r="K273">
        <v>24.75</v>
      </c>
      <c r="L273">
        <v>50</v>
      </c>
      <c r="M273" t="str">
        <f>IF(OR(I273="",J273="",L273=""),"Incomplete","Complete")</f>
        <v>Complete</v>
      </c>
      <c r="N273" t="str">
        <f>IF(M273="Incomplete","Not checked",IF(ROUND(I273*J273,2)=ROUND(L273,2),"Valid","Mismatch"))</f>
        <v>Valid</v>
      </c>
      <c r="O273">
        <f t="shared" si="9"/>
        <v>25.25</v>
      </c>
    </row>
    <row r="274" spans="1:15">
      <c r="A274">
        <v>751</v>
      </c>
      <c r="B274" t="str">
        <f t="shared" si="8"/>
        <v>2023-11</v>
      </c>
      <c r="C274" s="1">
        <v>45238</v>
      </c>
      <c r="D274" s="5">
        <v>0.83194444444444449</v>
      </c>
      <c r="E274">
        <v>115</v>
      </c>
      <c r="F274" t="s">
        <v>14</v>
      </c>
      <c r="G274">
        <v>42</v>
      </c>
      <c r="H274" t="s">
        <v>12</v>
      </c>
      <c r="I274">
        <v>2</v>
      </c>
      <c r="J274" s="6">
        <v>25</v>
      </c>
      <c r="K274">
        <v>24.75</v>
      </c>
      <c r="L274">
        <v>50</v>
      </c>
      <c r="M274" t="str">
        <f>IF(OR(I274="",J274="",L274=""),"Incomplete","Complete")</f>
        <v>Complete</v>
      </c>
      <c r="N274" t="str">
        <f>IF(M274="Incomplete","Not checked",IF(ROUND(I274*J274,2)=ROUND(L274,2),"Valid","Mismatch"))</f>
        <v>Valid</v>
      </c>
      <c r="O274">
        <f t="shared" si="9"/>
        <v>25.25</v>
      </c>
    </row>
    <row r="275" spans="1:15">
      <c r="A275">
        <v>1574</v>
      </c>
      <c r="B275" t="str">
        <f t="shared" si="8"/>
        <v>2022-10</v>
      </c>
      <c r="C275" s="1">
        <v>44860</v>
      </c>
      <c r="D275" s="5">
        <v>0.91041666666666665</v>
      </c>
      <c r="E275">
        <v>150</v>
      </c>
      <c r="F275" t="s">
        <v>14</v>
      </c>
      <c r="G275">
        <v>63</v>
      </c>
      <c r="H275" t="s">
        <v>15</v>
      </c>
      <c r="I275">
        <v>2</v>
      </c>
      <c r="J275" s="6">
        <v>25</v>
      </c>
      <c r="K275">
        <v>24.75</v>
      </c>
      <c r="L275">
        <v>50</v>
      </c>
      <c r="M275" t="str">
        <f>IF(OR(I275="",J275="",L275=""),"Incomplete","Complete")</f>
        <v>Complete</v>
      </c>
      <c r="N275" t="str">
        <f>IF(M275="Incomplete","Not checked",IF(ROUND(I275*J275,2)=ROUND(L275,2),"Valid","Mismatch"))</f>
        <v>Valid</v>
      </c>
      <c r="O275">
        <f t="shared" si="9"/>
        <v>25.25</v>
      </c>
    </row>
    <row r="276" spans="1:15">
      <c r="A276">
        <v>1751</v>
      </c>
      <c r="B276" t="str">
        <f t="shared" si="8"/>
        <v>2023-12</v>
      </c>
      <c r="C276" s="1">
        <v>45287</v>
      </c>
      <c r="D276" s="5">
        <v>0.92291666666666672</v>
      </c>
      <c r="E276">
        <v>99</v>
      </c>
      <c r="F276" t="s">
        <v>14</v>
      </c>
      <c r="G276">
        <v>42</v>
      </c>
      <c r="H276" t="s">
        <v>12</v>
      </c>
      <c r="I276">
        <v>2</v>
      </c>
      <c r="J276" s="6">
        <v>25</v>
      </c>
      <c r="K276">
        <v>30.25</v>
      </c>
      <c r="L276">
        <v>50</v>
      </c>
      <c r="M276" t="str">
        <f>IF(OR(I276="",J276="",L276=""),"Incomplete","Complete")</f>
        <v>Complete</v>
      </c>
      <c r="N276" t="str">
        <f>IF(M276="Incomplete","Not checked",IF(ROUND(I276*J276,2)=ROUND(L276,2),"Valid","Mismatch"))</f>
        <v>Valid</v>
      </c>
      <c r="O276">
        <f t="shared" si="9"/>
        <v>19.75</v>
      </c>
    </row>
    <row r="277" spans="1:15">
      <c r="A277">
        <v>855</v>
      </c>
      <c r="B277" t="str">
        <f t="shared" si="8"/>
        <v>2022-11</v>
      </c>
      <c r="C277" s="1">
        <v>44886</v>
      </c>
      <c r="D277" s="5">
        <v>0.82152777777777775</v>
      </c>
      <c r="E277">
        <v>13</v>
      </c>
      <c r="F277" t="s">
        <v>11</v>
      </c>
      <c r="G277">
        <v>54</v>
      </c>
      <c r="H277" t="s">
        <v>13</v>
      </c>
      <c r="I277">
        <v>1</v>
      </c>
      <c r="J277" s="6">
        <v>25</v>
      </c>
      <c r="K277">
        <v>25.75</v>
      </c>
      <c r="L277">
        <v>25</v>
      </c>
      <c r="M277" t="str">
        <f>IF(OR(I277="",J277="",L277=""),"Incomplete","Complete")</f>
        <v>Complete</v>
      </c>
      <c r="N277" t="str">
        <f>IF(M277="Incomplete","Not checked",IF(ROUND(I277*J277,2)=ROUND(L277,2),"Valid","Mismatch"))</f>
        <v>Valid</v>
      </c>
      <c r="O277">
        <f t="shared" si="9"/>
        <v>-0.75</v>
      </c>
    </row>
    <row r="278" spans="1:15">
      <c r="A278">
        <v>1855</v>
      </c>
      <c r="B278" t="str">
        <f t="shared" si="8"/>
        <v>2023-12</v>
      </c>
      <c r="C278" s="1">
        <v>45287</v>
      </c>
      <c r="D278" s="5">
        <v>0.88541666666666663</v>
      </c>
      <c r="E278">
        <v>44</v>
      </c>
      <c r="F278" t="s">
        <v>11</v>
      </c>
      <c r="G278">
        <v>54</v>
      </c>
      <c r="H278" t="s">
        <v>13</v>
      </c>
      <c r="I278">
        <v>1</v>
      </c>
      <c r="J278" s="6">
        <v>25</v>
      </c>
      <c r="K278">
        <v>31.25</v>
      </c>
      <c r="L278">
        <v>25</v>
      </c>
      <c r="M278" t="str">
        <f>IF(OR(I278="",J278="",L278=""),"Incomplete","Complete")</f>
        <v>Complete</v>
      </c>
      <c r="N278" t="str">
        <f>IF(M278="Incomplete","Not checked",IF(ROUND(I278*J278,2)=ROUND(L278,2),"Valid","Mismatch"))</f>
        <v>Valid</v>
      </c>
      <c r="O278">
        <f t="shared" si="9"/>
        <v>-6.25</v>
      </c>
    </row>
    <row r="279" spans="1:15">
      <c r="A279">
        <v>325</v>
      </c>
      <c r="B279" t="str">
        <f t="shared" si="8"/>
        <v>2023-09</v>
      </c>
      <c r="C279" s="1">
        <v>45185</v>
      </c>
      <c r="D279" s="5">
        <v>0.91805555555555551</v>
      </c>
      <c r="E279">
        <v>6</v>
      </c>
      <c r="F279" t="s">
        <v>14</v>
      </c>
      <c r="G279">
        <v>52</v>
      </c>
      <c r="H279" t="s">
        <v>15</v>
      </c>
      <c r="I279">
        <v>2</v>
      </c>
      <c r="J279" s="6">
        <v>25</v>
      </c>
      <c r="K279">
        <v>31.25</v>
      </c>
      <c r="L279">
        <v>50</v>
      </c>
      <c r="M279" t="str">
        <f>IF(OR(I279="",J279="",L279=""),"Incomplete","Complete")</f>
        <v>Complete</v>
      </c>
      <c r="N279" t="str">
        <f>IF(M279="Incomplete","Not checked",IF(ROUND(I279*J279,2)=ROUND(L279,2),"Valid","Mismatch"))</f>
        <v>Valid</v>
      </c>
      <c r="O279">
        <f t="shared" si="9"/>
        <v>18.75</v>
      </c>
    </row>
    <row r="280" spans="1:15">
      <c r="A280">
        <v>1325</v>
      </c>
      <c r="B280" t="str">
        <f t="shared" si="8"/>
        <v>2022-10</v>
      </c>
      <c r="C280" s="1">
        <v>44845</v>
      </c>
      <c r="D280" s="5">
        <v>0.82430555555555551</v>
      </c>
      <c r="E280">
        <v>18</v>
      </c>
      <c r="F280" t="s">
        <v>14</v>
      </c>
      <c r="G280">
        <v>52</v>
      </c>
      <c r="H280" t="s">
        <v>15</v>
      </c>
      <c r="I280">
        <v>2</v>
      </c>
      <c r="J280" s="6">
        <v>25</v>
      </c>
      <c r="K280">
        <v>26.75</v>
      </c>
      <c r="L280">
        <v>50</v>
      </c>
      <c r="M280" t="str">
        <f>IF(OR(I280="",J280="",L280=""),"Incomplete","Complete")</f>
        <v>Complete</v>
      </c>
      <c r="N280" t="str">
        <f>IF(M280="Incomplete","Not checked",IF(ROUND(I280*J280,2)=ROUND(L280,2),"Valid","Mismatch"))</f>
        <v>Valid</v>
      </c>
      <c r="O280">
        <f t="shared" si="9"/>
        <v>23.25</v>
      </c>
    </row>
    <row r="281" spans="1:15">
      <c r="A281">
        <v>644</v>
      </c>
      <c r="B281" t="str">
        <f t="shared" si="8"/>
        <v>2022-10</v>
      </c>
      <c r="C281" s="1">
        <v>44847</v>
      </c>
      <c r="D281" s="5">
        <v>0.90902777777777777</v>
      </c>
      <c r="E281">
        <v>107</v>
      </c>
      <c r="F281" t="s">
        <v>11</v>
      </c>
      <c r="G281">
        <v>23</v>
      </c>
      <c r="H281" t="s">
        <v>13</v>
      </c>
      <c r="I281">
        <v>3</v>
      </c>
      <c r="J281" s="6">
        <v>25</v>
      </c>
      <c r="K281">
        <v>29</v>
      </c>
      <c r="L281">
        <v>75</v>
      </c>
      <c r="M281" t="str">
        <f>IF(OR(I281="",J281="",L281=""),"Incomplete","Complete")</f>
        <v>Complete</v>
      </c>
      <c r="N281" t="str">
        <f>IF(M281="Incomplete","Not checked",IF(ROUND(I281*J281,2)=ROUND(L281,2),"Valid","Mismatch"))</f>
        <v>Valid</v>
      </c>
      <c r="O281">
        <f t="shared" si="9"/>
        <v>46</v>
      </c>
    </row>
    <row r="282" spans="1:15">
      <c r="A282">
        <v>1644</v>
      </c>
      <c r="B282" t="str">
        <f t="shared" si="8"/>
        <v>2022-09</v>
      </c>
      <c r="C282" s="1">
        <v>44815</v>
      </c>
      <c r="D282" s="5">
        <v>0.81388888888888888</v>
      </c>
      <c r="E282">
        <v>124</v>
      </c>
      <c r="F282" t="s">
        <v>11</v>
      </c>
      <c r="G282">
        <v>23</v>
      </c>
      <c r="H282" t="s">
        <v>13</v>
      </c>
      <c r="I282">
        <v>3</v>
      </c>
      <c r="J282" s="6">
        <v>25</v>
      </c>
      <c r="K282">
        <v>28.75</v>
      </c>
      <c r="L282">
        <v>75</v>
      </c>
      <c r="M282" t="str">
        <f>IF(OR(I282="",J282="",L282=""),"Incomplete","Complete")</f>
        <v>Complete</v>
      </c>
      <c r="N282" t="str">
        <f>IF(M282="Incomplete","Not checked",IF(ROUND(I282*J282,2)=ROUND(L282,2),"Valid","Mismatch"))</f>
        <v>Valid</v>
      </c>
      <c r="O282">
        <f t="shared" si="9"/>
        <v>46.25</v>
      </c>
    </row>
    <row r="283" spans="1:15">
      <c r="A283">
        <v>413</v>
      </c>
      <c r="B283" t="str">
        <f t="shared" si="8"/>
        <v>2023-11</v>
      </c>
      <c r="C283" s="1">
        <v>45258</v>
      </c>
      <c r="D283" s="5">
        <v>0.91111111111111109</v>
      </c>
      <c r="E283">
        <v>60</v>
      </c>
      <c r="F283" t="s">
        <v>14</v>
      </c>
      <c r="G283">
        <v>44</v>
      </c>
      <c r="H283" t="s">
        <v>13</v>
      </c>
      <c r="I283">
        <v>3</v>
      </c>
      <c r="J283" s="6">
        <v>25</v>
      </c>
      <c r="K283">
        <v>25.5</v>
      </c>
      <c r="L283">
        <v>75</v>
      </c>
      <c r="M283" t="str">
        <f>IF(OR(I283="",J283="",L283=""),"Incomplete","Complete")</f>
        <v>Complete</v>
      </c>
      <c r="N283" t="str">
        <f>IF(M283="Incomplete","Not checked",IF(ROUND(I283*J283,2)=ROUND(L283,2),"Valid","Mismatch"))</f>
        <v>Valid</v>
      </c>
      <c r="O283">
        <f t="shared" si="9"/>
        <v>49.5</v>
      </c>
    </row>
    <row r="284" spans="1:15">
      <c r="A284">
        <v>851</v>
      </c>
      <c r="B284" t="str">
        <f t="shared" si="8"/>
        <v>2023-11</v>
      </c>
      <c r="C284" s="1">
        <v>45260</v>
      </c>
      <c r="D284" s="5">
        <v>0.72430555555555554</v>
      </c>
      <c r="E284">
        <v>30</v>
      </c>
      <c r="F284" t="s">
        <v>11</v>
      </c>
      <c r="G284">
        <v>32</v>
      </c>
      <c r="H284" t="s">
        <v>15</v>
      </c>
      <c r="I284">
        <v>2</v>
      </c>
      <c r="J284" s="6">
        <v>25</v>
      </c>
      <c r="K284">
        <v>27.75</v>
      </c>
      <c r="L284">
        <v>50</v>
      </c>
      <c r="M284" t="str">
        <f>IF(OR(I284="",J284="",L284=""),"Incomplete","Complete")</f>
        <v>Complete</v>
      </c>
      <c r="N284" t="str">
        <f>IF(M284="Incomplete","Not checked",IF(ROUND(I284*J284,2)=ROUND(L284,2),"Valid","Mismatch"))</f>
        <v>Valid</v>
      </c>
      <c r="O284">
        <f t="shared" si="9"/>
        <v>22.25</v>
      </c>
    </row>
    <row r="285" spans="1:15">
      <c r="A285">
        <v>1413</v>
      </c>
      <c r="B285" t="str">
        <f t="shared" si="8"/>
        <v>2023-11</v>
      </c>
      <c r="C285" s="1">
        <v>45242</v>
      </c>
      <c r="D285" s="5">
        <v>0.81458333333333333</v>
      </c>
      <c r="E285">
        <v>104</v>
      </c>
      <c r="F285" t="s">
        <v>14</v>
      </c>
      <c r="G285">
        <v>44</v>
      </c>
      <c r="H285" t="s">
        <v>13</v>
      </c>
      <c r="I285">
        <v>3</v>
      </c>
      <c r="J285" s="6">
        <v>25</v>
      </c>
      <c r="K285">
        <v>30.75</v>
      </c>
      <c r="L285">
        <v>75</v>
      </c>
      <c r="M285" t="str">
        <f>IF(OR(I285="",J285="",L285=""),"Incomplete","Complete")</f>
        <v>Complete</v>
      </c>
      <c r="N285" t="str">
        <f>IF(M285="Incomplete","Not checked",IF(ROUND(I285*J285,2)=ROUND(L285,2),"Valid","Mismatch"))</f>
        <v>Valid</v>
      </c>
      <c r="O285">
        <f t="shared" si="9"/>
        <v>44.25</v>
      </c>
    </row>
    <row r="286" spans="1:15">
      <c r="A286">
        <v>1851</v>
      </c>
      <c r="B286" t="str">
        <f t="shared" si="8"/>
        <v>2022-09</v>
      </c>
      <c r="C286" s="1">
        <v>44814</v>
      </c>
      <c r="D286" s="5">
        <v>0.9</v>
      </c>
      <c r="E286">
        <v>87</v>
      </c>
      <c r="F286" t="s">
        <v>11</v>
      </c>
      <c r="G286">
        <v>32</v>
      </c>
      <c r="H286" t="s">
        <v>15</v>
      </c>
      <c r="I286">
        <v>2</v>
      </c>
      <c r="J286" s="6">
        <v>25</v>
      </c>
      <c r="K286">
        <v>25</v>
      </c>
      <c r="L286">
        <v>50</v>
      </c>
      <c r="M286" t="str">
        <f>IF(OR(I286="",J286="",L286=""),"Incomplete","Complete")</f>
        <v>Complete</v>
      </c>
      <c r="N286" t="str">
        <f>IF(M286="Incomplete","Not checked",IF(ROUND(I286*J286,2)=ROUND(L286,2),"Valid","Mismatch"))</f>
        <v>Valid</v>
      </c>
      <c r="O286">
        <f t="shared" si="9"/>
        <v>25</v>
      </c>
    </row>
    <row r="287" spans="1:15">
      <c r="A287">
        <v>919</v>
      </c>
      <c r="B287" t="str">
        <f t="shared" si="8"/>
        <v>2023-10</v>
      </c>
      <c r="C287" s="1">
        <v>45227</v>
      </c>
      <c r="D287" s="5">
        <v>0.88402777777777775</v>
      </c>
      <c r="E287">
        <v>82</v>
      </c>
      <c r="F287" t="s">
        <v>14</v>
      </c>
      <c r="G287">
        <v>22</v>
      </c>
      <c r="H287" t="s">
        <v>13</v>
      </c>
      <c r="I287">
        <v>2</v>
      </c>
      <c r="J287" s="6">
        <v>25</v>
      </c>
      <c r="K287">
        <v>27.75</v>
      </c>
      <c r="L287">
        <v>50</v>
      </c>
      <c r="M287" t="str">
        <f>IF(OR(I287="",J287="",L287=""),"Incomplete","Complete")</f>
        <v>Complete</v>
      </c>
      <c r="N287" t="str">
        <f>IF(M287="Incomplete","Not checked",IF(ROUND(I287*J287,2)=ROUND(L287,2),"Valid","Mismatch"))</f>
        <v>Valid</v>
      </c>
      <c r="O287">
        <f t="shared" si="9"/>
        <v>22.25</v>
      </c>
    </row>
    <row r="288" spans="1:15">
      <c r="A288">
        <v>1919</v>
      </c>
      <c r="B288" t="str">
        <f t="shared" si="8"/>
        <v>2022-10</v>
      </c>
      <c r="C288" s="1">
        <v>44859</v>
      </c>
      <c r="D288" s="5">
        <v>0.74583333333333335</v>
      </c>
      <c r="E288">
        <v>78</v>
      </c>
      <c r="F288" t="s">
        <v>14</v>
      </c>
      <c r="G288">
        <v>22</v>
      </c>
      <c r="H288" t="s">
        <v>13</v>
      </c>
      <c r="I288">
        <v>2</v>
      </c>
      <c r="J288" s="6">
        <v>25</v>
      </c>
      <c r="K288">
        <v>26.5</v>
      </c>
      <c r="L288">
        <v>50</v>
      </c>
      <c r="M288" t="str">
        <f>IF(OR(I288="",J288="",L288=""),"Incomplete","Complete")</f>
        <v>Complete</v>
      </c>
      <c r="N288" t="str">
        <f>IF(M288="Incomplete","Not checked",IF(ROUND(I288*J288,2)=ROUND(L288,2),"Valid","Mismatch"))</f>
        <v>Valid</v>
      </c>
      <c r="O288">
        <f t="shared" si="9"/>
        <v>23.5</v>
      </c>
    </row>
    <row r="289" spans="1:15">
      <c r="A289">
        <v>113</v>
      </c>
      <c r="B289" t="str">
        <f t="shared" si="8"/>
        <v>2022-10</v>
      </c>
      <c r="C289" s="1">
        <v>44842</v>
      </c>
      <c r="D289" s="5">
        <v>0.80138888888888893</v>
      </c>
      <c r="E289">
        <v>72</v>
      </c>
      <c r="F289" t="s">
        <v>14</v>
      </c>
      <c r="G289">
        <v>41</v>
      </c>
      <c r="H289" t="s">
        <v>15</v>
      </c>
      <c r="I289">
        <v>2</v>
      </c>
      <c r="J289" s="6">
        <v>25</v>
      </c>
      <c r="K289">
        <v>26.25</v>
      </c>
      <c r="L289">
        <v>50</v>
      </c>
      <c r="M289" t="str">
        <f>IF(OR(I289="",J289="",L289=""),"Incomplete","Complete")</f>
        <v>Complete</v>
      </c>
      <c r="N289" t="str">
        <f>IF(M289="Incomplete","Not checked",IF(ROUND(I289*J289,2)=ROUND(L289,2),"Valid","Mismatch"))</f>
        <v>Valid</v>
      </c>
      <c r="O289">
        <f t="shared" si="9"/>
        <v>23.75</v>
      </c>
    </row>
    <row r="290" spans="1:15">
      <c r="A290">
        <v>1113</v>
      </c>
      <c r="B290" t="str">
        <f t="shared" si="8"/>
        <v>2023-12</v>
      </c>
      <c r="C290" s="1">
        <v>45268</v>
      </c>
      <c r="D290" s="5">
        <v>0.7368055555555556</v>
      </c>
      <c r="E290">
        <v>141</v>
      </c>
      <c r="F290" t="s">
        <v>14</v>
      </c>
      <c r="G290">
        <v>41</v>
      </c>
      <c r="H290" t="s">
        <v>15</v>
      </c>
      <c r="I290">
        <v>2</v>
      </c>
      <c r="J290" s="6">
        <v>25</v>
      </c>
      <c r="K290">
        <v>27.75</v>
      </c>
      <c r="L290">
        <v>50</v>
      </c>
      <c r="M290" t="str">
        <f>IF(OR(I290="",J290="",L290=""),"Incomplete","Complete")</f>
        <v>Complete</v>
      </c>
      <c r="N290" t="str">
        <f>IF(M290="Incomplete","Not checked",IF(ROUND(I290*J290,2)=ROUND(L290,2),"Valid","Mismatch"))</f>
        <v>Valid</v>
      </c>
      <c r="O290">
        <f t="shared" si="9"/>
        <v>22.25</v>
      </c>
    </row>
    <row r="291" spans="1:15">
      <c r="A291">
        <v>326</v>
      </c>
      <c r="B291" t="str">
        <f t="shared" si="8"/>
        <v>2023-11</v>
      </c>
      <c r="C291" s="1">
        <v>45253</v>
      </c>
      <c r="D291" s="5">
        <v>0.82708333333333328</v>
      </c>
      <c r="E291">
        <v>108</v>
      </c>
      <c r="F291" t="s">
        <v>14</v>
      </c>
      <c r="G291">
        <v>18</v>
      </c>
      <c r="H291" t="s">
        <v>12</v>
      </c>
      <c r="I291">
        <v>3</v>
      </c>
      <c r="J291" s="6">
        <v>25</v>
      </c>
      <c r="K291">
        <v>24.25</v>
      </c>
      <c r="L291">
        <v>75</v>
      </c>
      <c r="M291" t="str">
        <f>IF(OR(I291="",J291="",L291=""),"Incomplete","Complete")</f>
        <v>Complete</v>
      </c>
      <c r="N291" t="str">
        <f>IF(M291="Incomplete","Not checked",IF(ROUND(I291*J291,2)=ROUND(L291,2),"Valid","Mismatch"))</f>
        <v>Valid</v>
      </c>
      <c r="O291">
        <f t="shared" si="9"/>
        <v>50.75</v>
      </c>
    </row>
    <row r="292" spans="1:15">
      <c r="A292">
        <v>1326</v>
      </c>
      <c r="B292" t="str">
        <f t="shared" si="8"/>
        <v>2023-09</v>
      </c>
      <c r="C292" s="1">
        <v>45170</v>
      </c>
      <c r="D292" s="5">
        <v>0.94097222222222221</v>
      </c>
      <c r="E292">
        <v>66</v>
      </c>
      <c r="F292" t="s">
        <v>14</v>
      </c>
      <c r="G292">
        <v>18</v>
      </c>
      <c r="H292" t="s">
        <v>12</v>
      </c>
      <c r="I292">
        <v>3</v>
      </c>
      <c r="J292" s="6">
        <v>25</v>
      </c>
      <c r="K292">
        <v>28.75</v>
      </c>
      <c r="L292">
        <v>75</v>
      </c>
      <c r="M292" t="str">
        <f>IF(OR(I292="",J292="",L292=""),"Incomplete","Complete")</f>
        <v>Complete</v>
      </c>
      <c r="N292" t="str">
        <f>IF(M292="Incomplete","Not checked",IF(ROUND(I292*J292,2)=ROUND(L292,2),"Valid","Mismatch"))</f>
        <v>Valid</v>
      </c>
      <c r="O292">
        <f t="shared" si="9"/>
        <v>46.25</v>
      </c>
    </row>
    <row r="293" spans="1:15">
      <c r="A293">
        <v>19</v>
      </c>
      <c r="B293" t="str">
        <f t="shared" si="8"/>
        <v>2023-11</v>
      </c>
      <c r="C293" s="1">
        <v>45256</v>
      </c>
      <c r="D293" s="5">
        <v>0.81874999999999998</v>
      </c>
      <c r="E293">
        <v>30</v>
      </c>
      <c r="F293" t="s">
        <v>14</v>
      </c>
      <c r="G293">
        <v>62</v>
      </c>
      <c r="H293" t="s">
        <v>12</v>
      </c>
      <c r="I293">
        <v>2</v>
      </c>
      <c r="J293" s="6">
        <v>25</v>
      </c>
      <c r="K293">
        <v>28.5</v>
      </c>
      <c r="L293">
        <v>50</v>
      </c>
      <c r="M293" t="str">
        <f>IF(OR(I293="",J293="",L293=""),"Incomplete","Complete")</f>
        <v>Complete</v>
      </c>
      <c r="N293" t="str">
        <f>IF(M293="Incomplete","Not checked",IF(ROUND(I293*J293,2)=ROUND(L293,2),"Valid","Mismatch"))</f>
        <v>Valid</v>
      </c>
      <c r="O293">
        <f t="shared" si="9"/>
        <v>21.5</v>
      </c>
    </row>
    <row r="294" spans="1:15">
      <c r="A294">
        <v>632</v>
      </c>
      <c r="B294" t="str">
        <f t="shared" si="8"/>
        <v>2023-10</v>
      </c>
      <c r="C294" s="1">
        <v>45224</v>
      </c>
      <c r="D294" s="5">
        <v>0.84236111111111112</v>
      </c>
      <c r="E294">
        <v>78</v>
      </c>
      <c r="F294" t="s">
        <v>14</v>
      </c>
      <c r="G294">
        <v>26</v>
      </c>
      <c r="H294" t="s">
        <v>15</v>
      </c>
      <c r="I294">
        <v>4</v>
      </c>
      <c r="J294" s="6">
        <v>25</v>
      </c>
      <c r="K294">
        <v>24.75</v>
      </c>
      <c r="L294">
        <v>100</v>
      </c>
      <c r="M294" t="str">
        <f>IF(OR(I294="",J294="",L294=""),"Incomplete","Complete")</f>
        <v>Complete</v>
      </c>
      <c r="N294" t="str">
        <f>IF(M294="Incomplete","Not checked",IF(ROUND(I294*J294,2)=ROUND(L294,2),"Valid","Mismatch"))</f>
        <v>Valid</v>
      </c>
      <c r="O294">
        <f t="shared" si="9"/>
        <v>75.25</v>
      </c>
    </row>
    <row r="295" spans="1:15">
      <c r="A295">
        <v>1019</v>
      </c>
      <c r="B295" t="str">
        <f t="shared" si="8"/>
        <v>2023-12</v>
      </c>
      <c r="C295" s="1">
        <v>45274</v>
      </c>
      <c r="D295" s="5">
        <v>0.89027777777777772</v>
      </c>
      <c r="E295">
        <v>56</v>
      </c>
      <c r="F295" t="s">
        <v>14</v>
      </c>
      <c r="G295">
        <v>62</v>
      </c>
      <c r="H295" t="s">
        <v>12</v>
      </c>
      <c r="I295">
        <v>2</v>
      </c>
      <c r="J295" s="6">
        <v>25</v>
      </c>
      <c r="K295">
        <v>25.75</v>
      </c>
      <c r="L295">
        <v>50</v>
      </c>
      <c r="M295" t="str">
        <f>IF(OR(I295="",J295="",L295=""),"Incomplete","Complete")</f>
        <v>Complete</v>
      </c>
      <c r="N295" t="str">
        <f>IF(M295="Incomplete","Not checked",IF(ROUND(I295*J295,2)=ROUND(L295,2),"Valid","Mismatch"))</f>
        <v>Valid</v>
      </c>
      <c r="O295">
        <f t="shared" si="9"/>
        <v>24.25</v>
      </c>
    </row>
    <row r="296" spans="1:15">
      <c r="A296">
        <v>1632</v>
      </c>
      <c r="B296" t="str">
        <f t="shared" si="8"/>
        <v>2022-10</v>
      </c>
      <c r="C296" s="1">
        <v>44853</v>
      </c>
      <c r="D296" s="5">
        <v>0.76111111111111107</v>
      </c>
      <c r="E296">
        <v>29</v>
      </c>
      <c r="F296" t="s">
        <v>14</v>
      </c>
      <c r="G296">
        <v>26</v>
      </c>
      <c r="H296" t="s">
        <v>15</v>
      </c>
      <c r="I296">
        <v>4</v>
      </c>
      <c r="J296" s="6">
        <v>25</v>
      </c>
      <c r="K296">
        <v>24.75</v>
      </c>
      <c r="L296">
        <v>100</v>
      </c>
      <c r="M296" t="str">
        <f>IF(OR(I296="",J296="",L296=""),"Incomplete","Complete")</f>
        <v>Complete</v>
      </c>
      <c r="N296" t="str">
        <f>IF(M296="Incomplete","Not checked",IF(ROUND(I296*J296,2)=ROUND(L296,2),"Valid","Mismatch"))</f>
        <v>Valid</v>
      </c>
      <c r="O296">
        <f t="shared" si="9"/>
        <v>75.25</v>
      </c>
    </row>
    <row r="297" spans="1:15">
      <c r="A297">
        <v>172</v>
      </c>
      <c r="B297" t="str">
        <f t="shared" si="8"/>
        <v>2022-10</v>
      </c>
      <c r="C297" s="1">
        <v>44855</v>
      </c>
      <c r="D297" s="5">
        <v>0.75624999999999998</v>
      </c>
      <c r="E297">
        <v>52</v>
      </c>
      <c r="F297" t="s">
        <v>11</v>
      </c>
      <c r="G297">
        <v>32</v>
      </c>
      <c r="H297" t="s">
        <v>13</v>
      </c>
      <c r="I297">
        <v>2</v>
      </c>
      <c r="J297" s="6">
        <v>25</v>
      </c>
      <c r="K297">
        <v>28</v>
      </c>
      <c r="L297">
        <v>50</v>
      </c>
      <c r="M297" t="str">
        <f>IF(OR(I297="",J297="",L297=""),"Incomplete","Complete")</f>
        <v>Complete</v>
      </c>
      <c r="N297" t="str">
        <f>IF(M297="Incomplete","Not checked",IF(ROUND(I297*J297,2)=ROUND(L297,2),"Valid","Mismatch"))</f>
        <v>Valid</v>
      </c>
      <c r="O297">
        <f t="shared" si="9"/>
        <v>22</v>
      </c>
    </row>
    <row r="298" spans="1:15">
      <c r="A298">
        <v>1172</v>
      </c>
      <c r="B298" t="str">
        <f t="shared" si="8"/>
        <v>2022-10</v>
      </c>
      <c r="C298" s="1">
        <v>44853</v>
      </c>
      <c r="D298" s="5">
        <v>0.8833333333333333</v>
      </c>
      <c r="E298">
        <v>150</v>
      </c>
      <c r="F298" t="s">
        <v>11</v>
      </c>
      <c r="G298">
        <v>32</v>
      </c>
      <c r="H298" t="s">
        <v>13</v>
      </c>
      <c r="I298">
        <v>2</v>
      </c>
      <c r="J298" s="6">
        <v>25</v>
      </c>
      <c r="K298">
        <v>28.5</v>
      </c>
      <c r="L298">
        <v>50</v>
      </c>
      <c r="M298" t="str">
        <f>IF(OR(I298="",J298="",L298=""),"Incomplete","Complete")</f>
        <v>Complete</v>
      </c>
      <c r="N298" t="str">
        <f>IF(M298="Incomplete","Not checked",IF(ROUND(I298*J298,2)=ROUND(L298,2),"Valid","Mismatch"))</f>
        <v>Valid</v>
      </c>
      <c r="O298">
        <f t="shared" si="9"/>
        <v>21.5</v>
      </c>
    </row>
    <row r="299" spans="1:15">
      <c r="A299">
        <v>513</v>
      </c>
      <c r="B299" t="str">
        <f t="shared" si="8"/>
        <v>2022-10</v>
      </c>
      <c r="C299" s="1">
        <v>44855</v>
      </c>
      <c r="D299" s="5">
        <v>0.77152777777777781</v>
      </c>
      <c r="E299">
        <v>85</v>
      </c>
      <c r="F299" t="s">
        <v>11</v>
      </c>
      <c r="G299">
        <v>24</v>
      </c>
      <c r="H299" t="s">
        <v>15</v>
      </c>
      <c r="I299">
        <v>4</v>
      </c>
      <c r="J299" s="6">
        <v>25</v>
      </c>
      <c r="K299">
        <v>24.5</v>
      </c>
      <c r="L299">
        <v>100</v>
      </c>
      <c r="M299" t="str">
        <f>IF(OR(I299="",J299="",L299=""),"Incomplete","Complete")</f>
        <v>Complete</v>
      </c>
      <c r="N299" t="str">
        <f>IF(M299="Incomplete","Not checked",IF(ROUND(I299*J299,2)=ROUND(L299,2),"Valid","Mismatch"))</f>
        <v>Valid</v>
      </c>
      <c r="O299">
        <f t="shared" si="9"/>
        <v>75.5</v>
      </c>
    </row>
    <row r="300" spans="1:15">
      <c r="A300">
        <v>1513</v>
      </c>
      <c r="B300" t="str">
        <f t="shared" si="8"/>
        <v>2022-10</v>
      </c>
      <c r="C300" s="1">
        <v>44835</v>
      </c>
      <c r="D300" s="5">
        <v>0.90763888888888888</v>
      </c>
      <c r="E300">
        <v>19</v>
      </c>
      <c r="F300" t="s">
        <v>11</v>
      </c>
      <c r="G300">
        <v>24</v>
      </c>
      <c r="H300" t="s">
        <v>15</v>
      </c>
      <c r="I300">
        <v>4</v>
      </c>
      <c r="J300" s="6">
        <v>25</v>
      </c>
      <c r="K300">
        <v>31</v>
      </c>
      <c r="L300">
        <v>100</v>
      </c>
      <c r="M300" t="str">
        <f>IF(OR(I300="",J300="",L300=""),"Incomplete","Complete")</f>
        <v>Complete</v>
      </c>
      <c r="N300" t="str">
        <f>IF(M300="Incomplete","Not checked",IF(ROUND(I300*J300,2)=ROUND(L300,2),"Valid","Mismatch"))</f>
        <v>Valid</v>
      </c>
      <c r="O300">
        <f t="shared" si="9"/>
        <v>69</v>
      </c>
    </row>
    <row r="301" spans="1:15">
      <c r="A301">
        <v>241</v>
      </c>
      <c r="B301" t="str">
        <f t="shared" si="8"/>
        <v>2023-12</v>
      </c>
      <c r="C301" s="1">
        <v>45279</v>
      </c>
      <c r="D301" s="5">
        <v>0.84791666666666665</v>
      </c>
      <c r="E301">
        <v>108</v>
      </c>
      <c r="F301" t="s">
        <v>14</v>
      </c>
      <c r="G301">
        <v>23</v>
      </c>
      <c r="H301" t="s">
        <v>15</v>
      </c>
      <c r="I301">
        <v>3</v>
      </c>
      <c r="J301" s="6">
        <v>25</v>
      </c>
      <c r="K301">
        <v>26.75</v>
      </c>
      <c r="L301">
        <v>75</v>
      </c>
      <c r="M301" t="str">
        <f>IF(OR(I301="",J301="",L301=""),"Incomplete","Complete")</f>
        <v>Complete</v>
      </c>
      <c r="N301" t="str">
        <f>IF(M301="Incomplete","Not checked",IF(ROUND(I301*J301,2)=ROUND(L301,2),"Valid","Mismatch"))</f>
        <v>Valid</v>
      </c>
      <c r="O301">
        <f t="shared" si="9"/>
        <v>48.25</v>
      </c>
    </row>
    <row r="302" spans="1:15">
      <c r="A302">
        <v>1241</v>
      </c>
      <c r="B302" t="str">
        <f t="shared" si="8"/>
        <v>2023-09</v>
      </c>
      <c r="C302" s="1">
        <v>45179</v>
      </c>
      <c r="D302" s="5">
        <v>0.72777777777777775</v>
      </c>
      <c r="E302">
        <v>26</v>
      </c>
      <c r="F302" t="s">
        <v>14</v>
      </c>
      <c r="G302">
        <v>23</v>
      </c>
      <c r="H302" t="s">
        <v>15</v>
      </c>
      <c r="I302">
        <v>3</v>
      </c>
      <c r="J302" s="6">
        <v>25</v>
      </c>
      <c r="K302">
        <v>24.5</v>
      </c>
      <c r="L302">
        <v>75</v>
      </c>
      <c r="M302" t="str">
        <f>IF(OR(I302="",J302="",L302=""),"Incomplete","Complete")</f>
        <v>Complete</v>
      </c>
      <c r="N302" t="str">
        <f>IF(M302="Incomplete","Not checked",IF(ROUND(I302*J302,2)=ROUND(L302,2),"Valid","Mismatch"))</f>
        <v>Valid</v>
      </c>
      <c r="O302">
        <f t="shared" si="9"/>
        <v>50.5</v>
      </c>
    </row>
    <row r="303" spans="1:15">
      <c r="A303">
        <v>204</v>
      </c>
      <c r="B303" t="str">
        <f t="shared" si="8"/>
        <v>2022-09</v>
      </c>
      <c r="C303" s="1">
        <v>44814</v>
      </c>
      <c r="D303" s="5">
        <v>0.87777777777777777</v>
      </c>
      <c r="E303">
        <v>101</v>
      </c>
      <c r="F303" t="s">
        <v>11</v>
      </c>
      <c r="G303">
        <v>39</v>
      </c>
      <c r="H303" t="s">
        <v>13</v>
      </c>
      <c r="I303">
        <v>1</v>
      </c>
      <c r="J303" s="6">
        <v>25</v>
      </c>
      <c r="K303">
        <v>31.25</v>
      </c>
      <c r="L303">
        <v>25</v>
      </c>
      <c r="M303" t="str">
        <f>IF(OR(I303="",J303="",L303=""),"Incomplete","Complete")</f>
        <v>Complete</v>
      </c>
      <c r="N303" t="str">
        <f>IF(M303="Incomplete","Not checked",IF(ROUND(I303*J303,2)=ROUND(L303,2),"Valid","Mismatch"))</f>
        <v>Valid</v>
      </c>
      <c r="O303">
        <f t="shared" si="9"/>
        <v>-6.25</v>
      </c>
    </row>
    <row r="304" spans="1:15">
      <c r="A304">
        <v>1204</v>
      </c>
      <c r="B304" t="str">
        <f t="shared" si="8"/>
        <v>2023-12</v>
      </c>
      <c r="C304" s="1">
        <v>45270</v>
      </c>
      <c r="D304" s="5">
        <v>0.80833333333333335</v>
      </c>
      <c r="E304">
        <v>72</v>
      </c>
      <c r="F304" t="s">
        <v>11</v>
      </c>
      <c r="G304">
        <v>39</v>
      </c>
      <c r="H304" t="s">
        <v>13</v>
      </c>
      <c r="I304">
        <v>1</v>
      </c>
      <c r="J304" s="6">
        <v>25</v>
      </c>
      <c r="K304">
        <v>27.5</v>
      </c>
      <c r="L304">
        <v>25</v>
      </c>
      <c r="M304" t="str">
        <f>IF(OR(I304="",J304="",L304=""),"Incomplete","Complete")</f>
        <v>Complete</v>
      </c>
      <c r="N304" t="str">
        <f>IF(M304="Incomplete","Not checked",IF(ROUND(I304*J304,2)=ROUND(L304,2),"Valid","Mismatch"))</f>
        <v>Valid</v>
      </c>
      <c r="O304">
        <f t="shared" si="9"/>
        <v>-2.5</v>
      </c>
    </row>
    <row r="305" spans="1:15">
      <c r="A305">
        <v>873</v>
      </c>
      <c r="B305" t="str">
        <f t="shared" si="8"/>
        <v>2023-12</v>
      </c>
      <c r="C305" s="1">
        <v>45266</v>
      </c>
      <c r="D305" s="5">
        <v>0.84722222222222221</v>
      </c>
      <c r="E305">
        <v>137</v>
      </c>
      <c r="F305" t="s">
        <v>14</v>
      </c>
      <c r="G305">
        <v>27</v>
      </c>
      <c r="H305" t="s">
        <v>15</v>
      </c>
      <c r="I305">
        <v>4</v>
      </c>
      <c r="J305" s="6">
        <v>25</v>
      </c>
      <c r="K305">
        <v>29</v>
      </c>
      <c r="L305">
        <v>100</v>
      </c>
      <c r="M305" t="str">
        <f>IF(OR(I305="",J305="",L305=""),"Incomplete","Complete")</f>
        <v>Complete</v>
      </c>
      <c r="N305" t="str">
        <f>IF(M305="Incomplete","Not checked",IF(ROUND(I305*J305,2)=ROUND(L305,2),"Valid","Mismatch"))</f>
        <v>Valid</v>
      </c>
      <c r="O305">
        <f t="shared" si="9"/>
        <v>71</v>
      </c>
    </row>
    <row r="306" spans="1:15">
      <c r="A306">
        <v>1873</v>
      </c>
      <c r="B306" t="str">
        <f t="shared" si="8"/>
        <v>2022-11</v>
      </c>
      <c r="C306" s="1">
        <v>44889</v>
      </c>
      <c r="D306" s="5">
        <v>0.8041666666666667</v>
      </c>
      <c r="E306">
        <v>64</v>
      </c>
      <c r="F306" t="s">
        <v>14</v>
      </c>
      <c r="G306">
        <v>27</v>
      </c>
      <c r="H306" t="s">
        <v>15</v>
      </c>
      <c r="I306">
        <v>4</v>
      </c>
      <c r="J306" s="6">
        <v>25</v>
      </c>
      <c r="K306">
        <v>26.75</v>
      </c>
      <c r="L306">
        <v>100</v>
      </c>
      <c r="M306" t="str">
        <f>IF(OR(I306="",J306="",L306=""),"Incomplete","Complete")</f>
        <v>Complete</v>
      </c>
      <c r="N306" t="str">
        <f>IF(M306="Incomplete","Not checked",IF(ROUND(I306*J306,2)=ROUND(L306,2),"Valid","Mismatch"))</f>
        <v>Valid</v>
      </c>
      <c r="O306">
        <f t="shared" si="9"/>
        <v>73.25</v>
      </c>
    </row>
    <row r="307" spans="1:15">
      <c r="A307">
        <v>51</v>
      </c>
      <c r="B307" t="str">
        <f t="shared" si="8"/>
        <v>2022-10</v>
      </c>
      <c r="C307" s="1">
        <v>44846</v>
      </c>
      <c r="D307" s="5">
        <v>0.92291666666666672</v>
      </c>
      <c r="E307">
        <v>78</v>
      </c>
      <c r="F307" t="s">
        <v>11</v>
      </c>
      <c r="G307">
        <v>27</v>
      </c>
      <c r="H307" t="s">
        <v>13</v>
      </c>
      <c r="I307">
        <v>3</v>
      </c>
      <c r="J307" s="6">
        <v>25</v>
      </c>
      <c r="K307">
        <v>24.75</v>
      </c>
      <c r="L307">
        <v>75</v>
      </c>
      <c r="M307" t="str">
        <f>IF(OR(I307="",J307="",L307=""),"Incomplete","Complete")</f>
        <v>Complete</v>
      </c>
      <c r="N307" t="str">
        <f>IF(M307="Incomplete","Not checked",IF(ROUND(I307*J307,2)=ROUND(L307,2),"Valid","Mismatch"))</f>
        <v>Valid</v>
      </c>
      <c r="O307">
        <f t="shared" si="9"/>
        <v>50.25</v>
      </c>
    </row>
    <row r="308" spans="1:15">
      <c r="A308">
        <v>276</v>
      </c>
      <c r="B308" t="str">
        <f t="shared" si="8"/>
        <v>2023-10</v>
      </c>
      <c r="C308" s="1">
        <v>45217</v>
      </c>
      <c r="D308" s="5">
        <v>0.89375000000000004</v>
      </c>
      <c r="E308">
        <v>40</v>
      </c>
      <c r="F308" t="s">
        <v>14</v>
      </c>
      <c r="G308">
        <v>21</v>
      </c>
      <c r="H308" t="s">
        <v>13</v>
      </c>
      <c r="I308">
        <v>4</v>
      </c>
      <c r="J308" s="6">
        <v>25</v>
      </c>
      <c r="K308">
        <v>27.5</v>
      </c>
      <c r="L308">
        <v>100</v>
      </c>
      <c r="M308" t="str">
        <f>IF(OR(I308="",J308="",L308=""),"Incomplete","Complete")</f>
        <v>Complete</v>
      </c>
      <c r="N308" t="str">
        <f>IF(M308="Incomplete","Not checked",IF(ROUND(I308*J308,2)=ROUND(L308,2),"Valid","Mismatch"))</f>
        <v>Valid</v>
      </c>
      <c r="O308">
        <f t="shared" si="9"/>
        <v>72.5</v>
      </c>
    </row>
    <row r="309" spans="1:15">
      <c r="A309">
        <v>1051</v>
      </c>
      <c r="B309" t="str">
        <f t="shared" si="8"/>
        <v>2023-09</v>
      </c>
      <c r="C309" s="1">
        <v>45182</v>
      </c>
      <c r="D309" s="5">
        <v>0.74097222222222225</v>
      </c>
      <c r="E309">
        <v>104</v>
      </c>
      <c r="F309" t="s">
        <v>11</v>
      </c>
      <c r="G309">
        <v>27</v>
      </c>
      <c r="H309" t="s">
        <v>13</v>
      </c>
      <c r="I309">
        <v>3</v>
      </c>
      <c r="J309" s="6">
        <v>25</v>
      </c>
      <c r="K309">
        <v>25</v>
      </c>
      <c r="L309">
        <v>75</v>
      </c>
      <c r="M309" t="str">
        <f>IF(OR(I309="",J309="",L309=""),"Incomplete","Complete")</f>
        <v>Complete</v>
      </c>
      <c r="N309" t="str">
        <f>IF(M309="Incomplete","Not checked",IF(ROUND(I309*J309,2)=ROUND(L309,2),"Valid","Mismatch"))</f>
        <v>Valid</v>
      </c>
      <c r="O309">
        <f t="shared" si="9"/>
        <v>50</v>
      </c>
    </row>
    <row r="310" spans="1:15">
      <c r="A310">
        <v>1276</v>
      </c>
      <c r="B310" t="str">
        <f t="shared" si="8"/>
        <v>2022-10</v>
      </c>
      <c r="C310" s="1">
        <v>44845</v>
      </c>
      <c r="D310" s="5">
        <v>0.78749999999999998</v>
      </c>
      <c r="E310">
        <v>140</v>
      </c>
      <c r="F310" t="s">
        <v>14</v>
      </c>
      <c r="G310">
        <v>21</v>
      </c>
      <c r="H310" t="s">
        <v>13</v>
      </c>
      <c r="I310">
        <v>4</v>
      </c>
      <c r="J310" s="6">
        <v>25</v>
      </c>
      <c r="K310">
        <v>27</v>
      </c>
      <c r="L310">
        <v>100</v>
      </c>
      <c r="M310" t="str">
        <f>IF(OR(I310="",J310="",L310=""),"Incomplete","Complete")</f>
        <v>Complete</v>
      </c>
      <c r="N310" t="str">
        <f>IF(M310="Incomplete","Not checked",IF(ROUND(I310*J310,2)=ROUND(L310,2),"Valid","Mismatch"))</f>
        <v>Valid</v>
      </c>
      <c r="O310">
        <f t="shared" si="9"/>
        <v>73</v>
      </c>
    </row>
    <row r="311" spans="1:15">
      <c r="A311">
        <v>688</v>
      </c>
      <c r="B311" t="str">
        <f t="shared" si="8"/>
        <v>2023-10</v>
      </c>
      <c r="C311" s="1">
        <v>45227</v>
      </c>
      <c r="D311" s="5">
        <v>0.90625</v>
      </c>
      <c r="E311">
        <v>132</v>
      </c>
      <c r="F311" t="s">
        <v>11</v>
      </c>
      <c r="G311">
        <v>56</v>
      </c>
      <c r="H311" t="s">
        <v>12</v>
      </c>
      <c r="I311">
        <v>4</v>
      </c>
      <c r="J311" s="6">
        <v>25</v>
      </c>
      <c r="K311">
        <v>24.75</v>
      </c>
      <c r="L311">
        <v>100</v>
      </c>
      <c r="M311" t="str">
        <f>IF(OR(I311="",J311="",L311=""),"Incomplete","Complete")</f>
        <v>Complete</v>
      </c>
      <c r="N311" t="str">
        <f>IF(M311="Incomplete","Not checked",IF(ROUND(I311*J311,2)=ROUND(L311,2),"Valid","Mismatch"))</f>
        <v>Valid</v>
      </c>
      <c r="O311">
        <f t="shared" si="9"/>
        <v>75.25</v>
      </c>
    </row>
    <row r="312" spans="1:15">
      <c r="A312">
        <v>1688</v>
      </c>
      <c r="B312" t="str">
        <f t="shared" si="8"/>
        <v>2022-12</v>
      </c>
      <c r="C312" s="1">
        <v>44912</v>
      </c>
      <c r="D312" s="5">
        <v>0.72569444444444442</v>
      </c>
      <c r="E312">
        <v>150</v>
      </c>
      <c r="F312" t="s">
        <v>11</v>
      </c>
      <c r="G312">
        <v>56</v>
      </c>
      <c r="H312" t="s">
        <v>12</v>
      </c>
      <c r="I312">
        <v>4</v>
      </c>
      <c r="J312" s="6">
        <v>25</v>
      </c>
      <c r="K312">
        <v>26.5</v>
      </c>
      <c r="L312">
        <v>100</v>
      </c>
      <c r="M312" t="str">
        <f>IF(OR(I312="",J312="",L312=""),"Incomplete","Complete")</f>
        <v>Complete</v>
      </c>
      <c r="N312" t="str">
        <f>IF(M312="Incomplete","Not checked",IF(ROUND(I312*J312,2)=ROUND(L312,2),"Valid","Mismatch"))</f>
        <v>Valid</v>
      </c>
      <c r="O312">
        <f t="shared" si="9"/>
        <v>73.5</v>
      </c>
    </row>
    <row r="313" spans="1:15">
      <c r="A313">
        <v>558</v>
      </c>
      <c r="B313" t="str">
        <f t="shared" si="8"/>
        <v>2023-10</v>
      </c>
      <c r="C313" s="1">
        <v>45225</v>
      </c>
      <c r="D313" s="5">
        <v>0.74097222222222225</v>
      </c>
      <c r="E313">
        <v>108</v>
      </c>
      <c r="F313" t="s">
        <v>14</v>
      </c>
      <c r="G313">
        <v>41</v>
      </c>
      <c r="H313" t="s">
        <v>12</v>
      </c>
      <c r="I313">
        <v>1</v>
      </c>
      <c r="J313" s="6">
        <v>25</v>
      </c>
      <c r="K313">
        <v>26</v>
      </c>
      <c r="L313">
        <v>25</v>
      </c>
      <c r="M313" t="str">
        <f>IF(OR(I313="",J313="",L313=""),"Incomplete","Complete")</f>
        <v>Complete</v>
      </c>
      <c r="N313" t="str">
        <f>IF(M313="Incomplete","Not checked",IF(ROUND(I313*J313,2)=ROUND(L313,2),"Valid","Mismatch"))</f>
        <v>Valid</v>
      </c>
      <c r="O313">
        <f t="shared" si="9"/>
        <v>-1</v>
      </c>
    </row>
    <row r="314" spans="1:15">
      <c r="A314">
        <v>1558</v>
      </c>
      <c r="B314" t="str">
        <f t="shared" si="8"/>
        <v>2022-12</v>
      </c>
      <c r="C314" s="1">
        <v>44917</v>
      </c>
      <c r="D314" s="5">
        <v>0.85902777777777772</v>
      </c>
      <c r="E314">
        <v>91</v>
      </c>
      <c r="F314" t="s">
        <v>14</v>
      </c>
      <c r="G314">
        <v>41</v>
      </c>
      <c r="H314" t="s">
        <v>12</v>
      </c>
      <c r="I314">
        <v>1</v>
      </c>
      <c r="J314" s="6">
        <v>25</v>
      </c>
      <c r="K314">
        <v>27.75</v>
      </c>
      <c r="L314">
        <v>25</v>
      </c>
      <c r="M314" t="str">
        <f>IF(OR(I314="",J314="",L314=""),"Incomplete","Complete")</f>
        <v>Complete</v>
      </c>
      <c r="N314" t="str">
        <f>IF(M314="Incomplete","Not checked",IF(ROUND(I314*J314,2)=ROUND(L314,2),"Valid","Mismatch"))</f>
        <v>Valid</v>
      </c>
      <c r="O314">
        <f t="shared" si="9"/>
        <v>-2.75</v>
      </c>
    </row>
    <row r="315" spans="1:15">
      <c r="A315">
        <v>201</v>
      </c>
      <c r="B315" t="str">
        <f t="shared" si="8"/>
        <v>2022-10</v>
      </c>
      <c r="C315" s="1">
        <v>44847</v>
      </c>
      <c r="D315" s="5">
        <v>0.79722222222222228</v>
      </c>
      <c r="E315">
        <v>105</v>
      </c>
      <c r="F315" t="s">
        <v>11</v>
      </c>
      <c r="G315">
        <v>56</v>
      </c>
      <c r="H315" t="s">
        <v>15</v>
      </c>
      <c r="I315">
        <v>1</v>
      </c>
      <c r="J315" s="6">
        <v>25</v>
      </c>
      <c r="K315">
        <v>29.75</v>
      </c>
      <c r="L315">
        <v>25</v>
      </c>
      <c r="M315" t="str">
        <f>IF(OR(I315="",J315="",L315=""),"Incomplete","Complete")</f>
        <v>Complete</v>
      </c>
      <c r="N315" t="str">
        <f>IF(M315="Incomplete","Not checked",IF(ROUND(I315*J315,2)=ROUND(L315,2),"Valid","Mismatch"))</f>
        <v>Valid</v>
      </c>
      <c r="O315">
        <f t="shared" si="9"/>
        <v>-4.75</v>
      </c>
    </row>
    <row r="316" spans="1:15">
      <c r="A316">
        <v>286</v>
      </c>
      <c r="B316" t="str">
        <f t="shared" si="8"/>
        <v>2022-10</v>
      </c>
      <c r="C316" s="1">
        <v>44839</v>
      </c>
      <c r="D316" s="5">
        <v>0.9555555555555556</v>
      </c>
      <c r="E316">
        <v>92</v>
      </c>
      <c r="F316" t="s">
        <v>11</v>
      </c>
      <c r="G316">
        <v>55</v>
      </c>
      <c r="H316" t="s">
        <v>15</v>
      </c>
      <c r="I316">
        <v>2</v>
      </c>
      <c r="J316" s="6">
        <v>25</v>
      </c>
      <c r="K316">
        <v>27.75</v>
      </c>
      <c r="L316">
        <v>50</v>
      </c>
      <c r="M316" t="str">
        <f>IF(OR(I316="",J316="",L316=""),"Incomplete","Complete")</f>
        <v>Complete</v>
      </c>
      <c r="N316" t="str">
        <f>IF(M316="Incomplete","Not checked",IF(ROUND(I316*J316,2)=ROUND(L316,2),"Valid","Mismatch"))</f>
        <v>Valid</v>
      </c>
      <c r="O316">
        <f t="shared" si="9"/>
        <v>22.25</v>
      </c>
    </row>
    <row r="317" spans="1:15">
      <c r="A317">
        <v>1201</v>
      </c>
      <c r="B317" t="str">
        <f t="shared" si="8"/>
        <v>2023-10</v>
      </c>
      <c r="C317" s="1">
        <v>45230</v>
      </c>
      <c r="D317" s="5">
        <v>0.72777777777777775</v>
      </c>
      <c r="E317">
        <v>115</v>
      </c>
      <c r="F317" t="s">
        <v>11</v>
      </c>
      <c r="G317">
        <v>56</v>
      </c>
      <c r="H317" t="s">
        <v>15</v>
      </c>
      <c r="I317">
        <v>1</v>
      </c>
      <c r="J317" s="6">
        <v>25</v>
      </c>
      <c r="K317">
        <v>27.75</v>
      </c>
      <c r="L317">
        <v>25</v>
      </c>
      <c r="M317" t="str">
        <f>IF(OR(I317="",J317="",L317=""),"Incomplete","Complete")</f>
        <v>Complete</v>
      </c>
      <c r="N317" t="str">
        <f>IF(M317="Incomplete","Not checked",IF(ROUND(I317*J317,2)=ROUND(L317,2),"Valid","Mismatch"))</f>
        <v>Valid</v>
      </c>
      <c r="O317">
        <f t="shared" si="9"/>
        <v>-2.75</v>
      </c>
    </row>
    <row r="318" spans="1:15">
      <c r="A318">
        <v>1286</v>
      </c>
      <c r="B318" t="str">
        <f t="shared" si="8"/>
        <v>2022-12</v>
      </c>
      <c r="C318" s="1">
        <v>44921</v>
      </c>
      <c r="D318" s="5">
        <v>0.72430555555555554</v>
      </c>
      <c r="E318">
        <v>111</v>
      </c>
      <c r="F318" t="s">
        <v>11</v>
      </c>
      <c r="G318">
        <v>55</v>
      </c>
      <c r="H318" t="s">
        <v>15</v>
      </c>
      <c r="I318">
        <v>2</v>
      </c>
      <c r="J318" s="6">
        <v>25</v>
      </c>
      <c r="K318">
        <v>28.5</v>
      </c>
      <c r="L318">
        <v>50</v>
      </c>
      <c r="M318" t="str">
        <f>IF(OR(I318="",J318="",L318=""),"Incomplete","Complete")</f>
        <v>Complete</v>
      </c>
      <c r="N318" t="str">
        <f>IF(M318="Incomplete","Not checked",IF(ROUND(I318*J318,2)=ROUND(L318,2),"Valid","Mismatch"))</f>
        <v>Valid</v>
      </c>
      <c r="O318">
        <f t="shared" si="9"/>
        <v>21.5</v>
      </c>
    </row>
    <row r="319" spans="1:15">
      <c r="A319">
        <v>149</v>
      </c>
      <c r="B319" t="str">
        <f t="shared" si="8"/>
        <v>2023-10</v>
      </c>
      <c r="C319" s="1">
        <v>45213</v>
      </c>
      <c r="D319" s="5">
        <v>0.74444444444444446</v>
      </c>
      <c r="E319">
        <v>73</v>
      </c>
      <c r="F319" t="s">
        <v>11</v>
      </c>
      <c r="G319">
        <v>22</v>
      </c>
      <c r="H319" t="s">
        <v>12</v>
      </c>
      <c r="I319">
        <v>3</v>
      </c>
      <c r="J319" s="6">
        <v>25</v>
      </c>
      <c r="K319">
        <v>27</v>
      </c>
      <c r="L319">
        <v>75</v>
      </c>
      <c r="M319" t="str">
        <f>IF(OR(I319="",J319="",L319=""),"Incomplete","Complete")</f>
        <v>Complete</v>
      </c>
      <c r="N319" t="str">
        <f>IF(M319="Incomplete","Not checked",IF(ROUND(I319*J319,2)=ROUND(L319,2),"Valid","Mismatch"))</f>
        <v>Valid</v>
      </c>
      <c r="O319">
        <f t="shared" si="9"/>
        <v>48</v>
      </c>
    </row>
    <row r="320" spans="1:15">
      <c r="A320">
        <v>872</v>
      </c>
      <c r="B320" t="str">
        <f t="shared" si="8"/>
        <v>2023-12</v>
      </c>
      <c r="C320" s="1">
        <v>45270</v>
      </c>
      <c r="D320" s="5">
        <v>0.9291666666666667</v>
      </c>
      <c r="E320">
        <v>113</v>
      </c>
      <c r="F320" t="s">
        <v>14</v>
      </c>
      <c r="G320">
        <v>63</v>
      </c>
      <c r="H320" t="s">
        <v>13</v>
      </c>
      <c r="I320">
        <v>3</v>
      </c>
      <c r="J320" s="6">
        <v>25</v>
      </c>
      <c r="K320">
        <v>24.75</v>
      </c>
      <c r="L320">
        <v>75</v>
      </c>
      <c r="M320" t="str">
        <f>IF(OR(I320="",J320="",L320=""),"Incomplete","Complete")</f>
        <v>Complete</v>
      </c>
      <c r="N320" t="str">
        <f>IF(M320="Incomplete","Not checked",IF(ROUND(I320*J320,2)=ROUND(L320,2),"Valid","Mismatch"))</f>
        <v>Valid</v>
      </c>
      <c r="O320">
        <f t="shared" si="9"/>
        <v>50.25</v>
      </c>
    </row>
    <row r="321" spans="1:15">
      <c r="A321">
        <v>1149</v>
      </c>
      <c r="B321" t="str">
        <f t="shared" si="8"/>
        <v>2023-09</v>
      </c>
      <c r="C321" s="1">
        <v>45183</v>
      </c>
      <c r="D321" s="5">
        <v>0.80763888888888891</v>
      </c>
      <c r="E321">
        <v>98</v>
      </c>
      <c r="F321" t="s">
        <v>11</v>
      </c>
      <c r="G321">
        <v>22</v>
      </c>
      <c r="H321" t="s">
        <v>12</v>
      </c>
      <c r="I321">
        <v>3</v>
      </c>
      <c r="J321" s="6">
        <v>25</v>
      </c>
      <c r="K321">
        <v>29.75</v>
      </c>
      <c r="L321">
        <v>75</v>
      </c>
      <c r="M321" t="str">
        <f>IF(OR(I321="",J321="",L321=""),"Incomplete","Complete")</f>
        <v>Complete</v>
      </c>
      <c r="N321" t="str">
        <f>IF(M321="Incomplete","Not checked",IF(ROUND(I321*J321,2)=ROUND(L321,2),"Valid","Mismatch"))</f>
        <v>Valid</v>
      </c>
      <c r="O321">
        <f t="shared" si="9"/>
        <v>45.25</v>
      </c>
    </row>
    <row r="322" spans="1:15">
      <c r="A322">
        <v>1872</v>
      </c>
      <c r="B322" t="str">
        <f t="shared" ref="B322:B385" si="10">TEXT(C322,"yyyy-mm")</f>
        <v>2022-11</v>
      </c>
      <c r="C322" s="1">
        <v>44887</v>
      </c>
      <c r="D322" s="5">
        <v>0.70972222222222225</v>
      </c>
      <c r="E322">
        <v>57</v>
      </c>
      <c r="F322" t="s">
        <v>14</v>
      </c>
      <c r="G322">
        <v>63</v>
      </c>
      <c r="H322" t="s">
        <v>13</v>
      </c>
      <c r="I322">
        <v>3</v>
      </c>
      <c r="J322" s="6">
        <v>25</v>
      </c>
      <c r="K322">
        <v>26.25</v>
      </c>
      <c r="L322">
        <v>75</v>
      </c>
      <c r="M322" t="str">
        <f>IF(OR(I322="",J322="",L322=""),"Incomplete","Complete")</f>
        <v>Complete</v>
      </c>
      <c r="N322" t="str">
        <f>IF(M322="Incomplete","Not checked",IF(ROUND(I322*J322,2)=ROUND(L322,2),"Valid","Mismatch"))</f>
        <v>Valid</v>
      </c>
      <c r="O322">
        <f t="shared" ref="O322:O385" si="11">IF(M322="Incomplete","",L322-K322)</f>
        <v>48.75</v>
      </c>
    </row>
    <row r="323" spans="1:15">
      <c r="A323">
        <v>310</v>
      </c>
      <c r="B323" t="str">
        <f t="shared" si="10"/>
        <v>2022-11</v>
      </c>
      <c r="C323" s="1">
        <v>44875</v>
      </c>
      <c r="D323" s="5">
        <v>0.89861111111111114</v>
      </c>
      <c r="E323">
        <v>76</v>
      </c>
      <c r="F323" t="s">
        <v>14</v>
      </c>
      <c r="G323">
        <v>28</v>
      </c>
      <c r="H323" t="s">
        <v>13</v>
      </c>
      <c r="I323">
        <v>1</v>
      </c>
      <c r="J323" s="6">
        <v>25</v>
      </c>
      <c r="K323">
        <v>31</v>
      </c>
      <c r="L323">
        <v>25</v>
      </c>
      <c r="M323" t="str">
        <f>IF(OR(I323="",J323="",L323=""),"Incomplete","Complete")</f>
        <v>Complete</v>
      </c>
      <c r="N323" t="str">
        <f>IF(M323="Incomplete","Not checked",IF(ROUND(I323*J323,2)=ROUND(L323,2),"Valid","Mismatch"))</f>
        <v>Valid</v>
      </c>
      <c r="O323">
        <f t="shared" si="11"/>
        <v>-6</v>
      </c>
    </row>
    <row r="324" spans="1:15">
      <c r="A324">
        <v>1310</v>
      </c>
      <c r="B324" t="str">
        <f t="shared" si="10"/>
        <v>2022-10</v>
      </c>
      <c r="C324" s="1">
        <v>44863</v>
      </c>
      <c r="D324" s="5">
        <v>0.89652777777777781</v>
      </c>
      <c r="E324">
        <v>74</v>
      </c>
      <c r="F324" t="s">
        <v>14</v>
      </c>
      <c r="G324">
        <v>28</v>
      </c>
      <c r="H324" t="s">
        <v>13</v>
      </c>
      <c r="I324">
        <v>1</v>
      </c>
      <c r="J324" s="6">
        <v>25</v>
      </c>
      <c r="K324">
        <v>24.75</v>
      </c>
      <c r="L324">
        <v>25</v>
      </c>
      <c r="M324" t="str">
        <f>IF(OR(I324="",J324="",L324=""),"Incomplete","Complete")</f>
        <v>Complete</v>
      </c>
      <c r="N324" t="str">
        <f>IF(M324="Incomplete","Not checked",IF(ROUND(I324*J324,2)=ROUND(L324,2),"Valid","Mismatch"))</f>
        <v>Valid</v>
      </c>
      <c r="O324">
        <f t="shared" si="11"/>
        <v>0.25</v>
      </c>
    </row>
    <row r="325" spans="1:15">
      <c r="A325">
        <v>619</v>
      </c>
      <c r="B325" t="str">
        <f t="shared" si="10"/>
        <v>2023-10</v>
      </c>
      <c r="C325" s="1">
        <v>45208</v>
      </c>
      <c r="D325" s="5">
        <v>0.75694444444444442</v>
      </c>
      <c r="E325">
        <v>56</v>
      </c>
      <c r="F325" t="s">
        <v>11</v>
      </c>
      <c r="G325">
        <v>47</v>
      </c>
      <c r="H325" t="s">
        <v>15</v>
      </c>
      <c r="I325">
        <v>4</v>
      </c>
      <c r="J325" s="6">
        <v>25</v>
      </c>
      <c r="K325">
        <v>26.25</v>
      </c>
      <c r="L325">
        <v>100</v>
      </c>
      <c r="M325" t="str">
        <f>IF(OR(I325="",J325="",L325=""),"Incomplete","Complete")</f>
        <v>Complete</v>
      </c>
      <c r="N325" t="str">
        <f>IF(M325="Incomplete","Not checked",IF(ROUND(I325*J325,2)=ROUND(L325,2),"Valid","Mismatch"))</f>
        <v>Valid</v>
      </c>
      <c r="O325">
        <f t="shared" si="11"/>
        <v>73.75</v>
      </c>
    </row>
    <row r="326" spans="1:15">
      <c r="A326">
        <v>948</v>
      </c>
      <c r="B326" t="str">
        <f t="shared" si="10"/>
        <v>2023-12</v>
      </c>
      <c r="C326" s="1">
        <v>45270</v>
      </c>
      <c r="D326" s="5">
        <v>0.92083333333333328</v>
      </c>
      <c r="E326">
        <v>52</v>
      </c>
      <c r="F326" t="s">
        <v>14</v>
      </c>
      <c r="G326">
        <v>23</v>
      </c>
      <c r="H326" t="s">
        <v>15</v>
      </c>
      <c r="I326">
        <v>3</v>
      </c>
      <c r="J326" s="6">
        <v>25</v>
      </c>
      <c r="K326">
        <v>28.75</v>
      </c>
      <c r="L326">
        <v>75</v>
      </c>
      <c r="M326" t="str">
        <f>IF(OR(I326="",J326="",L326=""),"Incomplete","Complete")</f>
        <v>Complete</v>
      </c>
      <c r="N326" t="str">
        <f>IF(M326="Incomplete","Not checked",IF(ROUND(I326*J326,2)=ROUND(L326,2),"Valid","Mismatch"))</f>
        <v>Valid</v>
      </c>
      <c r="O326">
        <f t="shared" si="11"/>
        <v>46.25</v>
      </c>
    </row>
    <row r="327" spans="1:15">
      <c r="A327">
        <v>1619</v>
      </c>
      <c r="B327" t="str">
        <f t="shared" si="10"/>
        <v>2022-10</v>
      </c>
      <c r="C327" s="1">
        <v>44854</v>
      </c>
      <c r="D327" s="5">
        <v>0.75486111111111109</v>
      </c>
      <c r="E327">
        <v>61</v>
      </c>
      <c r="F327" t="s">
        <v>11</v>
      </c>
      <c r="G327">
        <v>47</v>
      </c>
      <c r="H327" t="s">
        <v>15</v>
      </c>
      <c r="I327">
        <v>4</v>
      </c>
      <c r="J327" s="6">
        <v>25</v>
      </c>
      <c r="K327">
        <v>24.25</v>
      </c>
      <c r="L327">
        <v>100</v>
      </c>
      <c r="M327" t="str">
        <f>IF(OR(I327="",J327="",L327=""),"Incomplete","Complete")</f>
        <v>Complete</v>
      </c>
      <c r="N327" t="str">
        <f>IF(M327="Incomplete","Not checked",IF(ROUND(I327*J327,2)=ROUND(L327,2),"Valid","Mismatch"))</f>
        <v>Valid</v>
      </c>
      <c r="O327">
        <f t="shared" si="11"/>
        <v>75.75</v>
      </c>
    </row>
    <row r="328" spans="1:15">
      <c r="A328">
        <v>1948</v>
      </c>
      <c r="B328" t="str">
        <f t="shared" si="10"/>
        <v>2023-09</v>
      </c>
      <c r="C328" s="1">
        <v>45186</v>
      </c>
      <c r="D328" s="5">
        <v>0.88124999999999998</v>
      </c>
      <c r="E328">
        <v>100</v>
      </c>
      <c r="F328" t="s">
        <v>14</v>
      </c>
      <c r="G328">
        <v>23</v>
      </c>
      <c r="H328" t="s">
        <v>15</v>
      </c>
      <c r="I328">
        <v>3</v>
      </c>
      <c r="J328" s="6">
        <v>25</v>
      </c>
      <c r="K328">
        <v>24.5</v>
      </c>
      <c r="L328">
        <v>75</v>
      </c>
      <c r="M328" t="str">
        <f>IF(OR(I328="",J328="",L328=""),"Incomplete","Complete")</f>
        <v>Complete</v>
      </c>
      <c r="N328" t="str">
        <f>IF(M328="Incomplete","Not checked",IF(ROUND(I328*J328,2)=ROUND(L328,2),"Valid","Mismatch"))</f>
        <v>Valid</v>
      </c>
      <c r="O328">
        <f t="shared" si="11"/>
        <v>50.5</v>
      </c>
    </row>
    <row r="329" spans="1:15">
      <c r="A329">
        <v>754</v>
      </c>
      <c r="B329" t="str">
        <f t="shared" si="10"/>
        <v>2023-09</v>
      </c>
      <c r="C329" s="1">
        <v>45195</v>
      </c>
      <c r="D329" s="5">
        <v>0.77777777777777779</v>
      </c>
      <c r="E329">
        <v>90</v>
      </c>
      <c r="F329" t="s">
        <v>14</v>
      </c>
      <c r="G329">
        <v>43</v>
      </c>
      <c r="H329" t="s">
        <v>15</v>
      </c>
      <c r="I329">
        <v>4</v>
      </c>
      <c r="J329" s="6">
        <v>25</v>
      </c>
      <c r="K329">
        <v>23.75</v>
      </c>
      <c r="L329">
        <v>100</v>
      </c>
      <c r="M329" t="str">
        <f>IF(OR(I329="",J329="",L329=""),"Incomplete","Complete")</f>
        <v>Complete</v>
      </c>
      <c r="N329" t="str">
        <f>IF(M329="Incomplete","Not checked",IF(ROUND(I329*J329,2)=ROUND(L329,2),"Valid","Mismatch"))</f>
        <v>Valid</v>
      </c>
      <c r="O329">
        <f t="shared" si="11"/>
        <v>76.25</v>
      </c>
    </row>
    <row r="330" spans="1:15">
      <c r="A330">
        <v>1754</v>
      </c>
      <c r="B330" t="str">
        <f t="shared" si="10"/>
        <v>2022-12</v>
      </c>
      <c r="C330" s="1">
        <v>44896</v>
      </c>
      <c r="D330" s="5">
        <v>0.87708333333333333</v>
      </c>
      <c r="E330">
        <v>107</v>
      </c>
      <c r="F330" t="s">
        <v>14</v>
      </c>
      <c r="G330">
        <v>43</v>
      </c>
      <c r="H330" t="s">
        <v>15</v>
      </c>
      <c r="I330">
        <v>4</v>
      </c>
      <c r="J330" s="6">
        <v>25</v>
      </c>
      <c r="K330">
        <v>28.5</v>
      </c>
      <c r="L330">
        <v>100</v>
      </c>
      <c r="M330" t="str">
        <f>IF(OR(I330="",J330="",L330=""),"Incomplete","Complete")</f>
        <v>Complete</v>
      </c>
      <c r="N330" t="str">
        <f>IF(M330="Incomplete","Not checked",IF(ROUND(I330*J330,2)=ROUND(L330,2),"Valid","Mismatch"))</f>
        <v>Valid</v>
      </c>
      <c r="O330">
        <f t="shared" si="11"/>
        <v>71.5</v>
      </c>
    </row>
    <row r="331" spans="1:15">
      <c r="A331">
        <v>350</v>
      </c>
      <c r="B331" t="str">
        <f t="shared" si="10"/>
        <v>2022-11</v>
      </c>
      <c r="C331" s="1">
        <v>44885</v>
      </c>
      <c r="D331" s="5">
        <v>0.7368055555555556</v>
      </c>
      <c r="E331">
        <v>61</v>
      </c>
      <c r="F331" t="s">
        <v>11</v>
      </c>
      <c r="G331">
        <v>25</v>
      </c>
      <c r="H331" t="s">
        <v>13</v>
      </c>
      <c r="I331">
        <v>3</v>
      </c>
      <c r="J331" s="6">
        <v>25</v>
      </c>
      <c r="K331">
        <v>28.5</v>
      </c>
      <c r="L331">
        <v>75</v>
      </c>
      <c r="M331" t="str">
        <f>IF(OR(I331="",J331="",L331=""),"Incomplete","Complete")</f>
        <v>Complete</v>
      </c>
      <c r="N331" t="str">
        <f>IF(M331="Incomplete","Not checked",IF(ROUND(I331*J331,2)=ROUND(L331,2),"Valid","Mismatch"))</f>
        <v>Valid</v>
      </c>
      <c r="O331">
        <f t="shared" si="11"/>
        <v>46.5</v>
      </c>
    </row>
    <row r="332" spans="1:15">
      <c r="A332">
        <v>786</v>
      </c>
      <c r="B332" t="str">
        <f t="shared" si="10"/>
        <v>2022-12</v>
      </c>
      <c r="C332" s="1">
        <v>44911</v>
      </c>
      <c r="D332" s="5">
        <v>0.85972222222222228</v>
      </c>
      <c r="E332">
        <v>78</v>
      </c>
      <c r="F332" t="s">
        <v>11</v>
      </c>
      <c r="G332">
        <v>48</v>
      </c>
      <c r="H332" t="s">
        <v>12</v>
      </c>
      <c r="I332">
        <v>4</v>
      </c>
      <c r="J332" s="6">
        <v>25</v>
      </c>
      <c r="K332">
        <v>28.5</v>
      </c>
      <c r="L332">
        <v>100</v>
      </c>
      <c r="M332" t="str">
        <f>IF(OR(I332="",J332="",L332=""),"Incomplete","Complete")</f>
        <v>Complete</v>
      </c>
      <c r="N332" t="str">
        <f>IF(M332="Incomplete","Not checked",IF(ROUND(I332*J332,2)=ROUND(L332,2),"Valid","Mismatch"))</f>
        <v>Valid</v>
      </c>
      <c r="O332">
        <f t="shared" si="11"/>
        <v>71.5</v>
      </c>
    </row>
    <row r="333" spans="1:15">
      <c r="A333">
        <v>1350</v>
      </c>
      <c r="B333" t="str">
        <f t="shared" si="10"/>
        <v>2023-11</v>
      </c>
      <c r="C333" s="1">
        <v>45238</v>
      </c>
      <c r="D333" s="5">
        <v>0.91805555555555551</v>
      </c>
      <c r="E333">
        <v>93</v>
      </c>
      <c r="F333" t="s">
        <v>11</v>
      </c>
      <c r="G333">
        <v>25</v>
      </c>
      <c r="H333" t="s">
        <v>13</v>
      </c>
      <c r="I333">
        <v>3</v>
      </c>
      <c r="J333" s="6">
        <v>25</v>
      </c>
      <c r="K333">
        <v>29.25</v>
      </c>
      <c r="L333">
        <v>75</v>
      </c>
      <c r="M333" t="str">
        <f>IF(OR(I333="",J333="",L333=""),"Incomplete","Complete")</f>
        <v>Complete</v>
      </c>
      <c r="N333" t="str">
        <f>IF(M333="Incomplete","Not checked",IF(ROUND(I333*J333,2)=ROUND(L333,2),"Valid","Mismatch"))</f>
        <v>Valid</v>
      </c>
      <c r="O333">
        <f t="shared" si="11"/>
        <v>45.75</v>
      </c>
    </row>
    <row r="334" spans="1:15">
      <c r="A334">
        <v>1786</v>
      </c>
      <c r="B334" t="str">
        <f t="shared" si="10"/>
        <v>2022-09</v>
      </c>
      <c r="C334" s="1">
        <v>44831</v>
      </c>
      <c r="D334" s="5">
        <v>0.8930555555555556</v>
      </c>
      <c r="E334">
        <v>69</v>
      </c>
      <c r="F334" t="s">
        <v>11</v>
      </c>
      <c r="G334">
        <v>48</v>
      </c>
      <c r="H334" t="s">
        <v>12</v>
      </c>
      <c r="I334">
        <v>4</v>
      </c>
      <c r="J334" s="6">
        <v>25</v>
      </c>
      <c r="K334">
        <v>28.75</v>
      </c>
      <c r="L334">
        <v>100</v>
      </c>
      <c r="M334" t="str">
        <f>IF(OR(I334="",J334="",L334=""),"Incomplete","Complete")</f>
        <v>Complete</v>
      </c>
      <c r="N334" t="str">
        <f>IF(M334="Incomplete","Not checked",IF(ROUND(I334*J334,2)=ROUND(L334,2),"Valid","Mismatch"))</f>
        <v>Valid</v>
      </c>
      <c r="O334">
        <f t="shared" si="11"/>
        <v>71.25</v>
      </c>
    </row>
    <row r="335" spans="1:15">
      <c r="A335">
        <v>191</v>
      </c>
      <c r="B335" t="str">
        <f t="shared" si="10"/>
        <v>2023-12</v>
      </c>
      <c r="C335" s="1">
        <v>45282</v>
      </c>
      <c r="D335" s="5">
        <v>0.89166666666666672</v>
      </c>
      <c r="E335">
        <v>71</v>
      </c>
      <c r="F335" t="s">
        <v>11</v>
      </c>
      <c r="G335">
        <v>64</v>
      </c>
      <c r="H335" t="s">
        <v>13</v>
      </c>
      <c r="I335">
        <v>1</v>
      </c>
      <c r="J335" s="6">
        <v>25</v>
      </c>
      <c r="K335">
        <v>28.25</v>
      </c>
      <c r="L335">
        <v>25</v>
      </c>
      <c r="M335" t="str">
        <f>IF(OR(I335="",J335="",L335=""),"Incomplete","Complete")</f>
        <v>Complete</v>
      </c>
      <c r="N335" t="str">
        <f>IF(M335="Incomplete","Not checked",IF(ROUND(I335*J335,2)=ROUND(L335,2),"Valid","Mismatch"))</f>
        <v>Valid</v>
      </c>
      <c r="O335">
        <f t="shared" si="11"/>
        <v>-3.25</v>
      </c>
    </row>
    <row r="336" spans="1:15">
      <c r="A336">
        <v>1191</v>
      </c>
      <c r="B336" t="str">
        <f t="shared" si="10"/>
        <v>2023-09</v>
      </c>
      <c r="C336" s="1">
        <v>45194</v>
      </c>
      <c r="D336" s="5">
        <v>0.72222222222222221</v>
      </c>
      <c r="E336">
        <v>88</v>
      </c>
      <c r="F336" t="s">
        <v>11</v>
      </c>
      <c r="G336">
        <v>64</v>
      </c>
      <c r="H336" t="s">
        <v>13</v>
      </c>
      <c r="I336">
        <v>1</v>
      </c>
      <c r="J336" s="6">
        <v>25</v>
      </c>
      <c r="K336">
        <v>25</v>
      </c>
      <c r="L336">
        <v>25</v>
      </c>
      <c r="M336" t="str">
        <f>IF(OR(I336="",J336="",L336=""),"Incomplete","Complete")</f>
        <v>Complete</v>
      </c>
      <c r="N336" t="str">
        <f>IF(M336="Incomplete","Not checked",IF(ROUND(I336*J336,2)=ROUND(L336,2),"Valid","Mismatch"))</f>
        <v>Valid</v>
      </c>
      <c r="O336">
        <f t="shared" si="11"/>
        <v>0</v>
      </c>
    </row>
    <row r="337" spans="1:15">
      <c r="A337">
        <v>516</v>
      </c>
      <c r="B337" t="str">
        <f t="shared" si="10"/>
        <v>2023-09</v>
      </c>
      <c r="C337" s="1">
        <v>45189</v>
      </c>
      <c r="D337" s="5">
        <v>0.77638888888888891</v>
      </c>
      <c r="E337">
        <v>85</v>
      </c>
      <c r="F337" t="s">
        <v>11</v>
      </c>
      <c r="G337">
        <v>30</v>
      </c>
      <c r="H337" t="s">
        <v>13</v>
      </c>
      <c r="I337">
        <v>4</v>
      </c>
      <c r="J337" s="6">
        <v>25</v>
      </c>
      <c r="K337">
        <v>24.25</v>
      </c>
      <c r="L337">
        <v>100</v>
      </c>
      <c r="M337" t="str">
        <f>IF(OR(I337="",J337="",L337=""),"Incomplete","Complete")</f>
        <v>Complete</v>
      </c>
      <c r="N337" t="str">
        <f>IF(M337="Incomplete","Not checked",IF(ROUND(I337*J337,2)=ROUND(L337,2),"Valid","Mismatch"))</f>
        <v>Valid</v>
      </c>
      <c r="O337">
        <f t="shared" si="11"/>
        <v>75.75</v>
      </c>
    </row>
    <row r="338" spans="1:15">
      <c r="A338">
        <v>1516</v>
      </c>
      <c r="B338" t="str">
        <f t="shared" si="10"/>
        <v>2022-11</v>
      </c>
      <c r="C338" s="1">
        <v>44874</v>
      </c>
      <c r="D338" s="5">
        <v>0.72152777777777777</v>
      </c>
      <c r="E338">
        <v>54</v>
      </c>
      <c r="F338" t="s">
        <v>11</v>
      </c>
      <c r="G338">
        <v>30</v>
      </c>
      <c r="H338" t="s">
        <v>13</v>
      </c>
      <c r="I338">
        <v>4</v>
      </c>
      <c r="J338" s="6">
        <v>25</v>
      </c>
      <c r="K338">
        <v>24.5</v>
      </c>
      <c r="L338">
        <v>100</v>
      </c>
      <c r="M338" t="str">
        <f>IF(OR(I338="",J338="",L338=""),"Incomplete","Complete")</f>
        <v>Complete</v>
      </c>
      <c r="N338" t="str">
        <f>IF(M338="Incomplete","Not checked",IF(ROUND(I338*J338,2)=ROUND(L338,2),"Valid","Mismatch"))</f>
        <v>Valid</v>
      </c>
      <c r="O338">
        <f t="shared" si="11"/>
        <v>75.5</v>
      </c>
    </row>
    <row r="339" spans="1:15">
      <c r="A339">
        <v>318</v>
      </c>
      <c r="B339" t="str">
        <f t="shared" si="10"/>
        <v>2023-10</v>
      </c>
      <c r="C339" s="1">
        <v>45221</v>
      </c>
      <c r="D339" s="5">
        <v>0.8930555555555556</v>
      </c>
      <c r="E339">
        <v>57</v>
      </c>
      <c r="F339" t="s">
        <v>11</v>
      </c>
      <c r="G339">
        <v>61</v>
      </c>
      <c r="H339" t="s">
        <v>12</v>
      </c>
      <c r="I339">
        <v>1</v>
      </c>
      <c r="J339" s="6">
        <v>25</v>
      </c>
      <c r="K339">
        <v>29.25</v>
      </c>
      <c r="L339">
        <v>25</v>
      </c>
      <c r="M339" t="str">
        <f>IF(OR(I339="",J339="",L339=""),"Incomplete","Complete")</f>
        <v>Complete</v>
      </c>
      <c r="N339" t="str">
        <f>IF(M339="Incomplete","Not checked",IF(ROUND(I339*J339,2)=ROUND(L339,2),"Valid","Mismatch"))</f>
        <v>Valid</v>
      </c>
      <c r="O339">
        <f t="shared" si="11"/>
        <v>-4.25</v>
      </c>
    </row>
    <row r="340" spans="1:15">
      <c r="A340">
        <v>767</v>
      </c>
      <c r="B340" t="str">
        <f t="shared" si="10"/>
        <v>2022-11</v>
      </c>
      <c r="C340" s="1">
        <v>44872</v>
      </c>
      <c r="D340" s="5">
        <v>0.94722222222222219</v>
      </c>
      <c r="E340">
        <v>72</v>
      </c>
      <c r="F340" t="s">
        <v>11</v>
      </c>
      <c r="G340">
        <v>39</v>
      </c>
      <c r="H340" t="s">
        <v>13</v>
      </c>
      <c r="I340">
        <v>3</v>
      </c>
      <c r="J340" s="6">
        <v>25</v>
      </c>
      <c r="K340">
        <v>24.5</v>
      </c>
      <c r="L340">
        <v>75</v>
      </c>
      <c r="M340" t="str">
        <f>IF(OR(I340="",J340="",L340=""),"Incomplete","Complete")</f>
        <v>Complete</v>
      </c>
      <c r="N340" t="str">
        <f>IF(M340="Incomplete","Not checked",IF(ROUND(I340*J340,2)=ROUND(L340,2),"Valid","Mismatch"))</f>
        <v>Valid</v>
      </c>
      <c r="O340">
        <f t="shared" si="11"/>
        <v>50.5</v>
      </c>
    </row>
    <row r="341" spans="1:15">
      <c r="A341">
        <v>1318</v>
      </c>
      <c r="B341" t="str">
        <f t="shared" si="10"/>
        <v>2022-12</v>
      </c>
      <c r="C341" s="1">
        <v>44920</v>
      </c>
      <c r="D341" s="5">
        <v>0.95625000000000004</v>
      </c>
      <c r="E341">
        <v>55</v>
      </c>
      <c r="F341" t="s">
        <v>11</v>
      </c>
      <c r="G341">
        <v>61</v>
      </c>
      <c r="H341" t="s">
        <v>12</v>
      </c>
      <c r="I341">
        <v>1</v>
      </c>
      <c r="J341" s="6">
        <v>25</v>
      </c>
      <c r="K341">
        <v>27</v>
      </c>
      <c r="L341">
        <v>25</v>
      </c>
      <c r="M341" t="str">
        <f>IF(OR(I341="",J341="",L341=""),"Incomplete","Complete")</f>
        <v>Complete</v>
      </c>
      <c r="N341" t="str">
        <f>IF(M341="Incomplete","Not checked",IF(ROUND(I341*J341,2)=ROUND(L341,2),"Valid","Mismatch"))</f>
        <v>Valid</v>
      </c>
      <c r="O341">
        <f t="shared" si="11"/>
        <v>-2</v>
      </c>
    </row>
    <row r="342" spans="1:15">
      <c r="A342">
        <v>1767</v>
      </c>
      <c r="B342" t="str">
        <f t="shared" si="10"/>
        <v>2022-12</v>
      </c>
      <c r="C342" s="1">
        <v>44905</v>
      </c>
      <c r="D342" s="5">
        <v>0.73263888888888884</v>
      </c>
      <c r="E342">
        <v>87</v>
      </c>
      <c r="F342" t="s">
        <v>11</v>
      </c>
      <c r="G342">
        <v>39</v>
      </c>
      <c r="H342" t="s">
        <v>13</v>
      </c>
      <c r="I342">
        <v>3</v>
      </c>
      <c r="J342" s="6">
        <v>25</v>
      </c>
      <c r="K342">
        <v>28.25</v>
      </c>
      <c r="L342">
        <v>75</v>
      </c>
      <c r="M342" t="str">
        <f>IF(OR(I342="",J342="",L342=""),"Incomplete","Complete")</f>
        <v>Complete</v>
      </c>
      <c r="N342" t="str">
        <f>IF(M342="Incomplete","Not checked",IF(ROUND(I342*J342,2)=ROUND(L342,2),"Valid","Mismatch"))</f>
        <v>Valid</v>
      </c>
      <c r="O342">
        <f t="shared" si="11"/>
        <v>46.75</v>
      </c>
    </row>
    <row r="343" spans="1:15">
      <c r="A343">
        <v>896</v>
      </c>
      <c r="B343" t="str">
        <f t="shared" si="10"/>
        <v>2023-12</v>
      </c>
      <c r="C343" s="1">
        <v>45290</v>
      </c>
      <c r="D343" s="5">
        <v>0.80347222222222225</v>
      </c>
      <c r="E343">
        <v>56</v>
      </c>
      <c r="F343" t="s">
        <v>14</v>
      </c>
      <c r="G343">
        <v>30</v>
      </c>
      <c r="H343" t="s">
        <v>15</v>
      </c>
      <c r="I343">
        <v>2</v>
      </c>
      <c r="J343" s="6">
        <v>25</v>
      </c>
      <c r="K343">
        <v>30.75</v>
      </c>
      <c r="L343">
        <v>50</v>
      </c>
      <c r="M343" t="str">
        <f>IF(OR(I343="",J343="",L343=""),"Incomplete","Complete")</f>
        <v>Complete</v>
      </c>
      <c r="N343" t="str">
        <f>IF(M343="Incomplete","Not checked",IF(ROUND(I343*J343,2)=ROUND(L343,2),"Valid","Mismatch"))</f>
        <v>Valid</v>
      </c>
      <c r="O343">
        <f t="shared" si="11"/>
        <v>19.25</v>
      </c>
    </row>
    <row r="344" spans="1:15">
      <c r="A344">
        <v>998</v>
      </c>
      <c r="B344" t="str">
        <f t="shared" si="10"/>
        <v>2023-10</v>
      </c>
      <c r="C344" s="1">
        <v>45220</v>
      </c>
      <c r="D344" s="5">
        <v>0.73055555555555551</v>
      </c>
      <c r="E344">
        <v>61</v>
      </c>
      <c r="F344" t="s">
        <v>14</v>
      </c>
      <c r="G344">
        <v>23</v>
      </c>
      <c r="H344" t="s">
        <v>13</v>
      </c>
      <c r="I344">
        <v>4</v>
      </c>
      <c r="J344" s="6">
        <v>25</v>
      </c>
      <c r="K344">
        <v>30.5</v>
      </c>
      <c r="L344">
        <v>100</v>
      </c>
      <c r="M344" t="str">
        <f>IF(OR(I344="",J344="",L344=""),"Incomplete","Complete")</f>
        <v>Complete</v>
      </c>
      <c r="N344" t="str">
        <f>IF(M344="Incomplete","Not checked",IF(ROUND(I344*J344,2)=ROUND(L344,2),"Valid","Mismatch"))</f>
        <v>Valid</v>
      </c>
      <c r="O344">
        <f t="shared" si="11"/>
        <v>69.5</v>
      </c>
    </row>
    <row r="345" spans="1:15">
      <c r="A345">
        <v>1896</v>
      </c>
      <c r="B345" t="str">
        <f t="shared" si="10"/>
        <v>2022-11</v>
      </c>
      <c r="C345" s="1">
        <v>44870</v>
      </c>
      <c r="D345" s="5">
        <v>0.84652777777777777</v>
      </c>
      <c r="E345">
        <v>87</v>
      </c>
      <c r="F345" t="s">
        <v>14</v>
      </c>
      <c r="G345">
        <v>30</v>
      </c>
      <c r="H345" t="s">
        <v>15</v>
      </c>
      <c r="I345">
        <v>2</v>
      </c>
      <c r="J345" s="6">
        <v>25</v>
      </c>
      <c r="K345">
        <v>30.75</v>
      </c>
      <c r="L345">
        <v>50</v>
      </c>
      <c r="M345" t="str">
        <f>IF(OR(I345="",J345="",L345=""),"Incomplete","Complete")</f>
        <v>Complete</v>
      </c>
      <c r="N345" t="str">
        <f>IF(M345="Incomplete","Not checked",IF(ROUND(I345*J345,2)=ROUND(L345,2),"Valid","Mismatch"))</f>
        <v>Valid</v>
      </c>
      <c r="O345">
        <f t="shared" si="11"/>
        <v>19.25</v>
      </c>
    </row>
    <row r="346" spans="1:15">
      <c r="A346">
        <v>1998</v>
      </c>
      <c r="B346" t="str">
        <f t="shared" si="10"/>
        <v>2023-10</v>
      </c>
      <c r="C346" s="1">
        <v>45219</v>
      </c>
      <c r="D346" s="5">
        <v>0.82847222222222228</v>
      </c>
      <c r="E346">
        <v>90</v>
      </c>
      <c r="F346" t="s">
        <v>14</v>
      </c>
      <c r="G346">
        <v>23</v>
      </c>
      <c r="H346" t="s">
        <v>13</v>
      </c>
      <c r="I346">
        <v>4</v>
      </c>
      <c r="J346" s="6">
        <v>25</v>
      </c>
      <c r="K346">
        <v>24</v>
      </c>
      <c r="L346">
        <v>100</v>
      </c>
      <c r="M346" t="str">
        <f>IF(OR(I346="",J346="",L346=""),"Incomplete","Complete")</f>
        <v>Complete</v>
      </c>
      <c r="N346" t="str">
        <f>IF(M346="Incomplete","Not checked",IF(ROUND(I346*J346,2)=ROUND(L346,2),"Valid","Mismatch"))</f>
        <v>Valid</v>
      </c>
      <c r="O346">
        <f t="shared" si="11"/>
        <v>76</v>
      </c>
    </row>
    <row r="347" spans="1:15">
      <c r="A347">
        <v>12</v>
      </c>
      <c r="B347" t="str">
        <f t="shared" si="10"/>
        <v>2022-12</v>
      </c>
      <c r="C347" s="1">
        <v>44904</v>
      </c>
      <c r="D347" s="5">
        <v>0.92291666666666672</v>
      </c>
      <c r="E347">
        <v>114</v>
      </c>
      <c r="F347" t="s">
        <v>11</v>
      </c>
      <c r="G347">
        <v>35</v>
      </c>
      <c r="H347" t="s">
        <v>13</v>
      </c>
      <c r="I347">
        <v>3</v>
      </c>
      <c r="J347" s="6">
        <v>25</v>
      </c>
      <c r="K347">
        <v>25.25</v>
      </c>
      <c r="L347">
        <v>75</v>
      </c>
      <c r="M347" t="str">
        <f>IF(OR(I347="",J347="",L347=""),"Incomplete","Complete")</f>
        <v>Complete</v>
      </c>
      <c r="N347" t="str">
        <f>IF(M347="Incomplete","Not checked",IF(ROUND(I347*J347,2)=ROUND(L347,2),"Valid","Mismatch"))</f>
        <v>Valid</v>
      </c>
      <c r="O347">
        <f t="shared" si="11"/>
        <v>49.75</v>
      </c>
    </row>
    <row r="348" spans="1:15">
      <c r="A348">
        <v>1012</v>
      </c>
      <c r="B348" t="str">
        <f t="shared" si="10"/>
        <v>2022-12</v>
      </c>
      <c r="C348" s="1">
        <v>44903</v>
      </c>
      <c r="D348" s="5">
        <v>0.78263888888888888</v>
      </c>
      <c r="E348">
        <v>56</v>
      </c>
      <c r="F348" t="s">
        <v>11</v>
      </c>
      <c r="G348">
        <v>35</v>
      </c>
      <c r="H348" t="s">
        <v>13</v>
      </c>
      <c r="I348">
        <v>3</v>
      </c>
      <c r="J348" s="6">
        <v>25</v>
      </c>
      <c r="K348">
        <v>27.25</v>
      </c>
      <c r="L348">
        <v>75</v>
      </c>
      <c r="M348" t="str">
        <f>IF(OR(I348="",J348="",L348=""),"Incomplete","Complete")</f>
        <v>Complete</v>
      </c>
      <c r="N348" t="str">
        <f>IF(M348="Incomplete","Not checked",IF(ROUND(I348*J348,2)=ROUND(L348,2),"Valid","Mismatch"))</f>
        <v>Valid</v>
      </c>
      <c r="O348">
        <f t="shared" si="11"/>
        <v>47.75</v>
      </c>
    </row>
    <row r="349" spans="1:15">
      <c r="A349">
        <v>343</v>
      </c>
      <c r="B349" t="str">
        <f t="shared" si="10"/>
        <v>2022-11</v>
      </c>
      <c r="C349" s="1">
        <v>44874</v>
      </c>
      <c r="D349" s="5">
        <v>0.78055555555555556</v>
      </c>
      <c r="E349">
        <v>68</v>
      </c>
      <c r="F349" t="s">
        <v>11</v>
      </c>
      <c r="G349">
        <v>21</v>
      </c>
      <c r="H349" t="s">
        <v>15</v>
      </c>
      <c r="I349">
        <v>2</v>
      </c>
      <c r="J349" s="6">
        <v>25</v>
      </c>
      <c r="K349">
        <v>30</v>
      </c>
      <c r="L349">
        <v>50</v>
      </c>
      <c r="M349" t="str">
        <f>IF(OR(I349="",J349="",L349=""),"Incomplete","Complete")</f>
        <v>Complete</v>
      </c>
      <c r="N349" t="str">
        <f>IF(M349="Incomplete","Not checked",IF(ROUND(I349*J349,2)=ROUND(L349,2),"Valid","Mismatch"))</f>
        <v>Valid</v>
      </c>
      <c r="O349">
        <f t="shared" si="11"/>
        <v>20</v>
      </c>
    </row>
    <row r="350" spans="1:15">
      <c r="A350">
        <v>1343</v>
      </c>
      <c r="B350" t="str">
        <f t="shared" si="10"/>
        <v>2023-10</v>
      </c>
      <c r="C350" s="1">
        <v>45220</v>
      </c>
      <c r="D350" s="5">
        <v>0.84027777777777779</v>
      </c>
      <c r="E350">
        <v>87</v>
      </c>
      <c r="F350" t="s">
        <v>11</v>
      </c>
      <c r="G350">
        <v>21</v>
      </c>
      <c r="H350" t="s">
        <v>15</v>
      </c>
      <c r="I350">
        <v>2</v>
      </c>
      <c r="J350" s="6">
        <v>25</v>
      </c>
      <c r="K350">
        <v>28.5</v>
      </c>
      <c r="L350">
        <v>50</v>
      </c>
      <c r="M350" t="str">
        <f>IF(OR(I350="",J350="",L350=""),"Incomplete","Complete")</f>
        <v>Complete</v>
      </c>
      <c r="N350" t="str">
        <f>IF(M350="Incomplete","Not checked",IF(ROUND(I350*J350,2)=ROUND(L350,2),"Valid","Mismatch"))</f>
        <v>Valid</v>
      </c>
      <c r="O350">
        <f t="shared" si="11"/>
        <v>21.5</v>
      </c>
    </row>
    <row r="351" spans="1:15">
      <c r="A351">
        <v>145</v>
      </c>
      <c r="B351" t="str">
        <f t="shared" si="10"/>
        <v>2022-11</v>
      </c>
      <c r="C351" s="1">
        <v>44871</v>
      </c>
      <c r="D351" s="5">
        <v>0.80625000000000002</v>
      </c>
      <c r="E351">
        <v>64</v>
      </c>
      <c r="F351" t="s">
        <v>14</v>
      </c>
      <c r="G351">
        <v>39</v>
      </c>
      <c r="H351" t="s">
        <v>12</v>
      </c>
      <c r="I351">
        <v>3</v>
      </c>
      <c r="J351" s="6">
        <v>25</v>
      </c>
      <c r="K351">
        <v>27.5</v>
      </c>
      <c r="L351">
        <v>75</v>
      </c>
      <c r="M351" t="str">
        <f>IF(OR(I351="",J351="",L351=""),"Incomplete","Complete")</f>
        <v>Complete</v>
      </c>
      <c r="N351" t="str">
        <f>IF(M351="Incomplete","Not checked",IF(ROUND(I351*J351,2)=ROUND(L351,2),"Valid","Mismatch"))</f>
        <v>Valid</v>
      </c>
      <c r="O351">
        <f t="shared" si="11"/>
        <v>47.5</v>
      </c>
    </row>
    <row r="352" spans="1:15">
      <c r="A352">
        <v>841</v>
      </c>
      <c r="B352" t="str">
        <f t="shared" si="10"/>
        <v>2022-12</v>
      </c>
      <c r="C352" s="1">
        <v>44913</v>
      </c>
      <c r="D352" s="5">
        <v>0.87361111111111112</v>
      </c>
      <c r="E352">
        <v>108</v>
      </c>
      <c r="F352" t="s">
        <v>11</v>
      </c>
      <c r="G352">
        <v>31</v>
      </c>
      <c r="H352" t="s">
        <v>15</v>
      </c>
      <c r="I352">
        <v>4</v>
      </c>
      <c r="J352" s="6">
        <v>25</v>
      </c>
      <c r="K352">
        <v>28.5</v>
      </c>
      <c r="L352">
        <v>100</v>
      </c>
      <c r="M352" t="str">
        <f>IF(OR(I352="",J352="",L352=""),"Incomplete","Complete")</f>
        <v>Complete</v>
      </c>
      <c r="N352" t="str">
        <f>IF(M352="Incomplete","Not checked",IF(ROUND(I352*J352,2)=ROUND(L352,2),"Valid","Mismatch"))</f>
        <v>Valid</v>
      </c>
      <c r="O352">
        <f t="shared" si="11"/>
        <v>71.5</v>
      </c>
    </row>
    <row r="353" spans="1:15">
      <c r="A353">
        <v>1145</v>
      </c>
      <c r="B353" t="str">
        <f t="shared" si="10"/>
        <v>2023-09</v>
      </c>
      <c r="C353" s="1">
        <v>45170</v>
      </c>
      <c r="D353" s="5">
        <v>0.80486111111111114</v>
      </c>
      <c r="E353">
        <v>87</v>
      </c>
      <c r="F353" t="s">
        <v>14</v>
      </c>
      <c r="G353">
        <v>39</v>
      </c>
      <c r="H353" t="s">
        <v>12</v>
      </c>
      <c r="I353">
        <v>3</v>
      </c>
      <c r="J353" s="6">
        <v>25</v>
      </c>
      <c r="K353">
        <v>31</v>
      </c>
      <c r="L353">
        <v>75</v>
      </c>
      <c r="M353" t="str">
        <f>IF(OR(I353="",J353="",L353=""),"Incomplete","Complete")</f>
        <v>Complete</v>
      </c>
      <c r="N353" t="str">
        <f>IF(M353="Incomplete","Not checked",IF(ROUND(I353*J353,2)=ROUND(L353,2),"Valid","Mismatch"))</f>
        <v>Valid</v>
      </c>
      <c r="O353">
        <f t="shared" si="11"/>
        <v>44</v>
      </c>
    </row>
    <row r="354" spans="1:15">
      <c r="A354">
        <v>1841</v>
      </c>
      <c r="B354" t="str">
        <f t="shared" si="10"/>
        <v>2023-11</v>
      </c>
      <c r="C354" s="1">
        <v>45244</v>
      </c>
      <c r="D354" s="5">
        <v>0.78819444444444442</v>
      </c>
      <c r="E354">
        <v>94</v>
      </c>
      <c r="F354" t="s">
        <v>11</v>
      </c>
      <c r="G354">
        <v>31</v>
      </c>
      <c r="H354" t="s">
        <v>15</v>
      </c>
      <c r="I354">
        <v>4</v>
      </c>
      <c r="J354" s="6">
        <v>25</v>
      </c>
      <c r="K354">
        <v>28.25</v>
      </c>
      <c r="L354">
        <v>100</v>
      </c>
      <c r="M354" t="str">
        <f>IF(OR(I354="",J354="",L354=""),"Incomplete","Complete")</f>
        <v>Complete</v>
      </c>
      <c r="N354" t="str">
        <f>IF(M354="Incomplete","Not checked",IF(ROUND(I354*J354,2)=ROUND(L354,2),"Valid","Mismatch"))</f>
        <v>Valid</v>
      </c>
      <c r="O354">
        <f t="shared" si="11"/>
        <v>71.75</v>
      </c>
    </row>
    <row r="355" spans="1:15">
      <c r="A355">
        <v>205</v>
      </c>
      <c r="B355" t="str">
        <f t="shared" si="10"/>
        <v>2022-11</v>
      </c>
      <c r="C355" s="1">
        <v>44887</v>
      </c>
      <c r="D355" s="5">
        <v>0.72222222222222221</v>
      </c>
      <c r="E355">
        <v>88</v>
      </c>
      <c r="F355" t="s">
        <v>14</v>
      </c>
      <c r="G355">
        <v>43</v>
      </c>
      <c r="H355" t="s">
        <v>12</v>
      </c>
      <c r="I355">
        <v>1</v>
      </c>
      <c r="J355" s="6">
        <v>25</v>
      </c>
      <c r="K355">
        <v>25.5</v>
      </c>
      <c r="L355">
        <v>25</v>
      </c>
      <c r="M355" t="str">
        <f>IF(OR(I355="",J355="",L355=""),"Incomplete","Complete")</f>
        <v>Complete</v>
      </c>
      <c r="N355" t="str">
        <f>IF(M355="Incomplete","Not checked",IF(ROUND(I355*J355,2)=ROUND(L355,2),"Valid","Mismatch"))</f>
        <v>Valid</v>
      </c>
      <c r="O355">
        <f t="shared" si="11"/>
        <v>-0.5</v>
      </c>
    </row>
    <row r="356" spans="1:15">
      <c r="A356">
        <v>512</v>
      </c>
      <c r="B356" t="str">
        <f t="shared" si="10"/>
        <v>2022-12</v>
      </c>
      <c r="C356" s="1">
        <v>44901</v>
      </c>
      <c r="D356" s="5">
        <v>0.75</v>
      </c>
      <c r="E356">
        <v>56</v>
      </c>
      <c r="F356" t="s">
        <v>14</v>
      </c>
      <c r="G356">
        <v>57</v>
      </c>
      <c r="H356" t="s">
        <v>13</v>
      </c>
      <c r="I356">
        <v>1</v>
      </c>
      <c r="J356" s="6">
        <v>25</v>
      </c>
      <c r="K356">
        <v>9.5</v>
      </c>
      <c r="L356">
        <v>25</v>
      </c>
      <c r="M356" t="str">
        <f>IF(OR(I356="",J356="",L356=""),"Incomplete","Complete")</f>
        <v>Complete</v>
      </c>
      <c r="N356" t="str">
        <f>IF(M356="Incomplete","Not checked",IF(ROUND(I356*J356,2)=ROUND(L356,2),"Valid","Mismatch"))</f>
        <v>Valid</v>
      </c>
      <c r="O356">
        <f t="shared" si="11"/>
        <v>15.5</v>
      </c>
    </row>
    <row r="357" spans="1:15">
      <c r="A357">
        <v>762</v>
      </c>
      <c r="B357" t="str">
        <f t="shared" si="10"/>
        <v>2023-11</v>
      </c>
      <c r="C357" s="1">
        <v>45257</v>
      </c>
      <c r="D357" s="5">
        <v>0.74236111111111114</v>
      </c>
      <c r="E357">
        <v>56</v>
      </c>
      <c r="F357" t="s">
        <v>14</v>
      </c>
      <c r="G357">
        <v>24</v>
      </c>
      <c r="H357" t="s">
        <v>15</v>
      </c>
      <c r="I357">
        <v>2</v>
      </c>
      <c r="J357" s="6">
        <v>25</v>
      </c>
      <c r="K357">
        <v>10.25</v>
      </c>
      <c r="L357">
        <v>50</v>
      </c>
      <c r="M357" t="str">
        <f>IF(OR(I357="",J357="",L357=""),"Incomplete","Complete")</f>
        <v>Complete</v>
      </c>
      <c r="N357" t="str">
        <f>IF(M357="Incomplete","Not checked",IF(ROUND(I357*J357,2)=ROUND(L357,2),"Valid","Mismatch"))</f>
        <v>Valid</v>
      </c>
      <c r="O357">
        <f t="shared" si="11"/>
        <v>39.75</v>
      </c>
    </row>
    <row r="358" spans="1:15">
      <c r="A358">
        <v>1205</v>
      </c>
      <c r="B358" t="str">
        <f t="shared" si="10"/>
        <v>2022-11</v>
      </c>
      <c r="C358" s="1">
        <v>44890</v>
      </c>
      <c r="D358" s="5">
        <v>0.80486111111111114</v>
      </c>
      <c r="E358">
        <v>97</v>
      </c>
      <c r="F358" t="s">
        <v>14</v>
      </c>
      <c r="G358">
        <v>43</v>
      </c>
      <c r="H358" t="s">
        <v>12</v>
      </c>
      <c r="I358">
        <v>1</v>
      </c>
      <c r="J358" s="6">
        <v>25</v>
      </c>
      <c r="K358">
        <v>7.25</v>
      </c>
      <c r="L358">
        <v>25</v>
      </c>
      <c r="M358" t="str">
        <f>IF(OR(I358="",J358="",L358=""),"Incomplete","Complete")</f>
        <v>Complete</v>
      </c>
      <c r="N358" t="str">
        <f>IF(M358="Incomplete","Not checked",IF(ROUND(I358*J358,2)=ROUND(L358,2),"Valid","Mismatch"))</f>
        <v>Valid</v>
      </c>
      <c r="O358">
        <f t="shared" si="11"/>
        <v>17.75</v>
      </c>
    </row>
    <row r="359" spans="1:15">
      <c r="A359">
        <v>1512</v>
      </c>
      <c r="B359" t="str">
        <f t="shared" si="10"/>
        <v>2023-12</v>
      </c>
      <c r="C359" s="1">
        <v>45280</v>
      </c>
      <c r="D359" s="5">
        <v>0.83680555555555558</v>
      </c>
      <c r="E359">
        <v>105</v>
      </c>
      <c r="F359" t="s">
        <v>14</v>
      </c>
      <c r="G359">
        <v>57</v>
      </c>
      <c r="H359" t="s">
        <v>13</v>
      </c>
      <c r="I359">
        <v>1</v>
      </c>
      <c r="J359" s="6">
        <v>25</v>
      </c>
      <c r="K359">
        <v>13.25</v>
      </c>
      <c r="L359">
        <v>25</v>
      </c>
      <c r="M359" t="str">
        <f>IF(OR(I359="",J359="",L359=""),"Incomplete","Complete")</f>
        <v>Complete</v>
      </c>
      <c r="N359" t="str">
        <f>IF(M359="Incomplete","Not checked",IF(ROUND(I359*J359,2)=ROUND(L359,2),"Valid","Mismatch"))</f>
        <v>Valid</v>
      </c>
      <c r="O359">
        <f t="shared" si="11"/>
        <v>11.75</v>
      </c>
    </row>
    <row r="360" spans="1:15">
      <c r="A360">
        <v>1762</v>
      </c>
      <c r="B360" t="str">
        <f t="shared" si="10"/>
        <v>2023-11</v>
      </c>
      <c r="C360" s="1">
        <v>45245</v>
      </c>
      <c r="D360" s="5">
        <v>0.77986111111111112</v>
      </c>
      <c r="E360">
        <v>81</v>
      </c>
      <c r="F360" t="s">
        <v>14</v>
      </c>
      <c r="G360">
        <v>24</v>
      </c>
      <c r="H360" t="s">
        <v>15</v>
      </c>
      <c r="I360">
        <v>2</v>
      </c>
      <c r="J360" s="6">
        <v>25</v>
      </c>
      <c r="K360">
        <v>11</v>
      </c>
      <c r="L360">
        <v>50</v>
      </c>
      <c r="M360" t="str">
        <f>IF(OR(I360="",J360="",L360=""),"Incomplete","Complete")</f>
        <v>Complete</v>
      </c>
      <c r="N360" t="str">
        <f>IF(M360="Incomplete","Not checked",IF(ROUND(I360*J360,2)=ROUND(L360,2),"Valid","Mismatch"))</f>
        <v>Valid</v>
      </c>
      <c r="O360">
        <f t="shared" si="11"/>
        <v>39</v>
      </c>
    </row>
    <row r="361" spans="1:15">
      <c r="A361">
        <v>388</v>
      </c>
      <c r="B361" t="str">
        <f t="shared" si="10"/>
        <v>2022-12</v>
      </c>
      <c r="C361" s="1">
        <v>44898</v>
      </c>
      <c r="D361" s="5">
        <v>0.7944444444444444</v>
      </c>
      <c r="E361">
        <v>60</v>
      </c>
      <c r="F361" t="s">
        <v>11</v>
      </c>
      <c r="G361">
        <v>50</v>
      </c>
      <c r="H361" t="s">
        <v>15</v>
      </c>
      <c r="I361">
        <v>1</v>
      </c>
      <c r="J361" s="6">
        <v>25</v>
      </c>
      <c r="K361">
        <v>12.25</v>
      </c>
      <c r="L361">
        <v>25</v>
      </c>
      <c r="M361" t="str">
        <f>IF(OR(I361="",J361="",L361=""),"Incomplete","Complete")</f>
        <v>Complete</v>
      </c>
      <c r="N361" t="str">
        <f>IF(M361="Incomplete","Not checked",IF(ROUND(I361*J361,2)=ROUND(L361,2),"Valid","Mismatch"))</f>
        <v>Valid</v>
      </c>
      <c r="O361">
        <f t="shared" si="11"/>
        <v>12.75</v>
      </c>
    </row>
    <row r="362" spans="1:15">
      <c r="A362">
        <v>1388</v>
      </c>
      <c r="B362" t="str">
        <f t="shared" si="10"/>
        <v>2023-10</v>
      </c>
      <c r="C362" s="1">
        <v>45212</v>
      </c>
      <c r="D362" s="5">
        <v>0.7583333333333333</v>
      </c>
      <c r="E362">
        <v>89</v>
      </c>
      <c r="F362" t="s">
        <v>11</v>
      </c>
      <c r="G362">
        <v>50</v>
      </c>
      <c r="H362" t="s">
        <v>15</v>
      </c>
      <c r="I362">
        <v>1</v>
      </c>
      <c r="J362" s="6">
        <v>25</v>
      </c>
      <c r="K362">
        <v>6.75</v>
      </c>
      <c r="L362">
        <v>25</v>
      </c>
      <c r="M362" t="str">
        <f>IF(OR(I362="",J362="",L362=""),"Incomplete","Complete")</f>
        <v>Complete</v>
      </c>
      <c r="N362" t="str">
        <f>IF(M362="Incomplete","Not checked",IF(ROUND(I362*J362,2)=ROUND(L362,2),"Valid","Mismatch"))</f>
        <v>Valid</v>
      </c>
      <c r="O362">
        <f t="shared" si="11"/>
        <v>18.25</v>
      </c>
    </row>
    <row r="363" spans="1:15">
      <c r="A363">
        <v>812</v>
      </c>
      <c r="B363" t="str">
        <f t="shared" si="10"/>
        <v>2023-10</v>
      </c>
      <c r="C363" s="1">
        <v>45201</v>
      </c>
      <c r="D363" s="5">
        <v>0.73958333333333337</v>
      </c>
      <c r="E363">
        <v>89</v>
      </c>
      <c r="F363" t="s">
        <v>11</v>
      </c>
      <c r="G363">
        <v>19</v>
      </c>
      <c r="H363" t="s">
        <v>15</v>
      </c>
      <c r="I363">
        <v>3</v>
      </c>
      <c r="J363" s="6">
        <v>25</v>
      </c>
      <c r="K363">
        <v>11.25</v>
      </c>
      <c r="L363">
        <v>75</v>
      </c>
      <c r="M363" t="str">
        <f>IF(OR(I363="",J363="",L363=""),"Incomplete","Complete")</f>
        <v>Complete</v>
      </c>
      <c r="N363" t="str">
        <f>IF(M363="Incomplete","Not checked",IF(ROUND(I363*J363,2)=ROUND(L363,2),"Valid","Mismatch"))</f>
        <v>Valid</v>
      </c>
      <c r="O363">
        <f t="shared" si="11"/>
        <v>63.75</v>
      </c>
    </row>
    <row r="364" spans="1:15">
      <c r="A364">
        <v>1812</v>
      </c>
      <c r="B364" t="str">
        <f t="shared" si="10"/>
        <v>2023-10</v>
      </c>
      <c r="C364" s="1">
        <v>45224</v>
      </c>
      <c r="D364" s="5">
        <v>0.92986111111111114</v>
      </c>
      <c r="E364">
        <v>85</v>
      </c>
      <c r="F364" t="s">
        <v>11</v>
      </c>
      <c r="G364">
        <v>19</v>
      </c>
      <c r="H364" t="s">
        <v>15</v>
      </c>
      <c r="I364">
        <v>3</v>
      </c>
      <c r="J364" s="6">
        <v>25</v>
      </c>
      <c r="K364">
        <v>12</v>
      </c>
      <c r="L364">
        <v>75</v>
      </c>
      <c r="M364" t="str">
        <f>IF(OR(I364="",J364="",L364=""),"Incomplete","Complete")</f>
        <v>Complete</v>
      </c>
      <c r="N364" t="str">
        <f>IF(M364="Incomplete","Not checked",IF(ROUND(I364*J364,2)=ROUND(L364,2),"Valid","Mismatch"))</f>
        <v>Valid</v>
      </c>
      <c r="O364">
        <f t="shared" si="11"/>
        <v>63</v>
      </c>
    </row>
    <row r="365" spans="1:15">
      <c r="A365">
        <v>952</v>
      </c>
      <c r="B365" t="str">
        <f t="shared" si="10"/>
        <v>2022-12</v>
      </c>
      <c r="C365" s="1">
        <v>44916</v>
      </c>
      <c r="D365" s="5">
        <v>0.75624999999999998</v>
      </c>
      <c r="E365">
        <v>69</v>
      </c>
      <c r="F365" t="s">
        <v>14</v>
      </c>
      <c r="G365">
        <v>57</v>
      </c>
      <c r="H365" t="s">
        <v>12</v>
      </c>
      <c r="I365">
        <v>1</v>
      </c>
      <c r="J365" s="6">
        <v>25</v>
      </c>
      <c r="K365">
        <v>13.25</v>
      </c>
      <c r="L365">
        <v>25</v>
      </c>
      <c r="M365" t="str">
        <f>IF(OR(I365="",J365="",L365=""),"Incomplete","Complete")</f>
        <v>Complete</v>
      </c>
      <c r="N365" t="str">
        <f>IF(M365="Incomplete","Not checked",IF(ROUND(I365*J365,2)=ROUND(L365,2),"Valid","Mismatch"))</f>
        <v>Valid</v>
      </c>
      <c r="O365">
        <f t="shared" si="11"/>
        <v>11.75</v>
      </c>
    </row>
    <row r="366" spans="1:15">
      <c r="A366">
        <v>1952</v>
      </c>
      <c r="B366" t="str">
        <f t="shared" si="10"/>
        <v>2022-12</v>
      </c>
      <c r="C366" s="1">
        <v>44912</v>
      </c>
      <c r="D366" s="5">
        <v>0.92569444444444449</v>
      </c>
      <c r="E366">
        <v>114</v>
      </c>
      <c r="F366" t="s">
        <v>14</v>
      </c>
      <c r="G366">
        <v>57</v>
      </c>
      <c r="H366" t="s">
        <v>12</v>
      </c>
      <c r="I366">
        <v>1</v>
      </c>
      <c r="J366" s="6">
        <v>25</v>
      </c>
      <c r="K366">
        <v>13.5</v>
      </c>
      <c r="L366">
        <v>25</v>
      </c>
      <c r="M366" t="str">
        <f>IF(OR(I366="",J366="",L366=""),"Incomplete","Complete")</f>
        <v>Complete</v>
      </c>
      <c r="N366" t="str">
        <f>IF(M366="Incomplete","Not checked",IF(ROUND(I366*J366,2)=ROUND(L366,2),"Valid","Mismatch"))</f>
        <v>Valid</v>
      </c>
      <c r="O366">
        <f t="shared" si="11"/>
        <v>11.5</v>
      </c>
    </row>
    <row r="367" spans="1:15">
      <c r="A367">
        <v>458</v>
      </c>
      <c r="B367" t="str">
        <f t="shared" si="10"/>
        <v>2023-11</v>
      </c>
      <c r="C367" s="1">
        <v>45258</v>
      </c>
      <c r="D367" s="5">
        <v>0.89930555555555558</v>
      </c>
      <c r="E367">
        <v>110</v>
      </c>
      <c r="F367" t="s">
        <v>14</v>
      </c>
      <c r="G367">
        <v>39</v>
      </c>
      <c r="H367" t="s">
        <v>15</v>
      </c>
      <c r="I367">
        <v>4</v>
      </c>
      <c r="J367" s="6">
        <v>25</v>
      </c>
      <c r="K367">
        <v>7</v>
      </c>
      <c r="L367">
        <v>100</v>
      </c>
      <c r="M367" t="str">
        <f>IF(OR(I367="",J367="",L367=""),"Incomplete","Complete")</f>
        <v>Complete</v>
      </c>
      <c r="N367" t="str">
        <f>IF(M367="Incomplete","Not checked",IF(ROUND(I367*J367,2)=ROUND(L367,2),"Valid","Mismatch"))</f>
        <v>Valid</v>
      </c>
      <c r="O367">
        <f t="shared" si="11"/>
        <v>93</v>
      </c>
    </row>
    <row r="368" spans="1:15">
      <c r="A368">
        <v>1458</v>
      </c>
      <c r="B368" t="str">
        <f t="shared" si="10"/>
        <v>2023-10</v>
      </c>
      <c r="C368" s="1">
        <v>45208</v>
      </c>
      <c r="D368" s="5">
        <v>0.80625000000000002</v>
      </c>
      <c r="E368">
        <v>95</v>
      </c>
      <c r="F368" t="s">
        <v>14</v>
      </c>
      <c r="G368">
        <v>39</v>
      </c>
      <c r="H368" t="s">
        <v>15</v>
      </c>
      <c r="I368">
        <v>4</v>
      </c>
      <c r="J368" s="6">
        <v>25</v>
      </c>
      <c r="K368">
        <v>9.75</v>
      </c>
      <c r="L368">
        <v>100</v>
      </c>
      <c r="M368" t="str">
        <f>IF(OR(I368="",J368="",L368=""),"Incomplete","Complete")</f>
        <v>Complete</v>
      </c>
      <c r="N368" t="str">
        <f>IF(M368="Incomplete","Not checked",IF(ROUND(I368*J368,2)=ROUND(L368,2),"Valid","Mismatch"))</f>
        <v>Valid</v>
      </c>
      <c r="O368">
        <f t="shared" si="11"/>
        <v>90.25</v>
      </c>
    </row>
    <row r="369" spans="1:15">
      <c r="A369">
        <v>706</v>
      </c>
      <c r="B369" t="str">
        <f t="shared" si="10"/>
        <v>2022-09</v>
      </c>
      <c r="C369" s="1">
        <v>44808</v>
      </c>
      <c r="D369" s="5">
        <v>0.92986111111111114</v>
      </c>
      <c r="E369">
        <v>66</v>
      </c>
      <c r="F369" t="s">
        <v>11</v>
      </c>
      <c r="G369">
        <v>51</v>
      </c>
      <c r="H369" t="s">
        <v>15</v>
      </c>
      <c r="I369">
        <v>4</v>
      </c>
      <c r="J369" s="6">
        <v>25</v>
      </c>
      <c r="K369">
        <v>8</v>
      </c>
      <c r="L369">
        <v>100</v>
      </c>
      <c r="M369" t="str">
        <f>IF(OR(I369="",J369="",L369=""),"Incomplete","Complete")</f>
        <v>Complete</v>
      </c>
      <c r="N369" t="str">
        <f>IF(M369="Incomplete","Not checked",IF(ROUND(I369*J369,2)=ROUND(L369,2),"Valid","Mismatch"))</f>
        <v>Valid</v>
      </c>
      <c r="O369">
        <f t="shared" si="11"/>
        <v>92</v>
      </c>
    </row>
    <row r="370" spans="1:15">
      <c r="A370">
        <v>1706</v>
      </c>
      <c r="B370" t="str">
        <f t="shared" si="10"/>
        <v>2022-10</v>
      </c>
      <c r="C370" s="1">
        <v>44850</v>
      </c>
      <c r="D370" s="5">
        <v>0.75277777777777777</v>
      </c>
      <c r="E370">
        <v>57</v>
      </c>
      <c r="F370" t="s">
        <v>11</v>
      </c>
      <c r="G370">
        <v>51</v>
      </c>
      <c r="H370" t="s">
        <v>15</v>
      </c>
      <c r="I370">
        <v>4</v>
      </c>
      <c r="J370" s="6">
        <v>25</v>
      </c>
      <c r="K370">
        <v>11.75</v>
      </c>
      <c r="L370">
        <v>100</v>
      </c>
      <c r="M370" t="str">
        <f>IF(OR(I370="",J370="",L370=""),"Incomplete","Complete")</f>
        <v>Complete</v>
      </c>
      <c r="N370" t="str">
        <f>IF(M370="Incomplete","Not checked",IF(ROUND(I370*J370,2)=ROUND(L370,2),"Valid","Mismatch"))</f>
        <v>Valid</v>
      </c>
      <c r="O370">
        <f t="shared" si="11"/>
        <v>88.25</v>
      </c>
    </row>
    <row r="371" spans="1:15">
      <c r="A371">
        <v>778</v>
      </c>
      <c r="B371" t="str">
        <f t="shared" si="10"/>
        <v>2023-12</v>
      </c>
      <c r="C371" s="1">
        <v>45273</v>
      </c>
      <c r="D371" s="5">
        <v>0.76944444444444449</v>
      </c>
      <c r="E371">
        <v>105</v>
      </c>
      <c r="F371" t="s">
        <v>14</v>
      </c>
      <c r="G371">
        <v>47</v>
      </c>
      <c r="H371" t="s">
        <v>13</v>
      </c>
      <c r="I371">
        <v>4</v>
      </c>
      <c r="J371" s="6">
        <v>25</v>
      </c>
      <c r="K371">
        <v>13.75</v>
      </c>
      <c r="L371">
        <v>100</v>
      </c>
      <c r="M371" t="str">
        <f>IF(OR(I371="",J371="",L371=""),"Incomplete","Complete")</f>
        <v>Complete</v>
      </c>
      <c r="N371" t="str">
        <f>IF(M371="Incomplete","Not checked",IF(ROUND(I371*J371,2)=ROUND(L371,2),"Valid","Mismatch"))</f>
        <v>Valid</v>
      </c>
      <c r="O371">
        <f t="shared" si="11"/>
        <v>86.25</v>
      </c>
    </row>
    <row r="372" spans="1:15">
      <c r="A372">
        <v>1778</v>
      </c>
      <c r="B372" t="str">
        <f t="shared" si="10"/>
        <v>2023-12</v>
      </c>
      <c r="C372" s="1">
        <v>45290</v>
      </c>
      <c r="D372" s="5">
        <v>0.83125000000000004</v>
      </c>
      <c r="E372">
        <v>94</v>
      </c>
      <c r="F372" t="s">
        <v>14</v>
      </c>
      <c r="G372">
        <v>47</v>
      </c>
      <c r="H372" t="s">
        <v>13</v>
      </c>
      <c r="I372">
        <v>4</v>
      </c>
      <c r="J372" s="6">
        <v>25</v>
      </c>
      <c r="K372">
        <v>11.25</v>
      </c>
      <c r="L372">
        <v>100</v>
      </c>
      <c r="M372" t="str">
        <f>IF(OR(I372="",J372="",L372=""),"Incomplete","Complete")</f>
        <v>Complete</v>
      </c>
      <c r="N372" t="str">
        <f>IF(M372="Incomplete","Not checked",IF(ROUND(I372*J372,2)=ROUND(L372,2),"Valid","Mismatch"))</f>
        <v>Valid</v>
      </c>
      <c r="O372">
        <f t="shared" si="11"/>
        <v>88.75</v>
      </c>
    </row>
    <row r="373" spans="1:15">
      <c r="A373">
        <v>234</v>
      </c>
      <c r="B373" t="str">
        <f t="shared" si="10"/>
        <v>2023-12</v>
      </c>
      <c r="C373" s="1">
        <v>45269</v>
      </c>
      <c r="D373" s="5">
        <v>0.73750000000000004</v>
      </c>
      <c r="E373">
        <v>64</v>
      </c>
      <c r="F373" t="s">
        <v>14</v>
      </c>
      <c r="G373">
        <v>62</v>
      </c>
      <c r="H373" t="s">
        <v>15</v>
      </c>
      <c r="I373">
        <v>2</v>
      </c>
      <c r="J373" s="6">
        <v>25</v>
      </c>
      <c r="K373">
        <v>13.75</v>
      </c>
      <c r="L373">
        <v>50</v>
      </c>
      <c r="M373" t="str">
        <f>IF(OR(I373="",J373="",L373=""),"Incomplete","Complete")</f>
        <v>Complete</v>
      </c>
      <c r="N373" t="str">
        <f>IF(M373="Incomplete","Not checked",IF(ROUND(I373*J373,2)=ROUND(L373,2),"Valid","Mismatch"))</f>
        <v>Valid</v>
      </c>
      <c r="O373">
        <f t="shared" si="11"/>
        <v>36.25</v>
      </c>
    </row>
    <row r="374" spans="1:15">
      <c r="A374">
        <v>1234</v>
      </c>
      <c r="B374" t="str">
        <f t="shared" si="10"/>
        <v>2023-09</v>
      </c>
      <c r="C374" s="1">
        <v>45176</v>
      </c>
      <c r="D374" s="5">
        <v>0.74027777777777781</v>
      </c>
      <c r="E374">
        <v>78</v>
      </c>
      <c r="F374" t="s">
        <v>14</v>
      </c>
      <c r="G374">
        <v>62</v>
      </c>
      <c r="H374" t="s">
        <v>15</v>
      </c>
      <c r="I374">
        <v>2</v>
      </c>
      <c r="J374" s="6">
        <v>25</v>
      </c>
      <c r="K374">
        <v>8.25</v>
      </c>
      <c r="L374">
        <v>50</v>
      </c>
      <c r="M374" t="str">
        <f>IF(OR(I374="",J374="",L374=""),"Incomplete","Complete")</f>
        <v>Complete</v>
      </c>
      <c r="N374" t="str">
        <f>IF(M374="Incomplete","Not checked",IF(ROUND(I374*J374,2)=ROUND(L374,2),"Valid","Mismatch"))</f>
        <v>Valid</v>
      </c>
      <c r="O374">
        <f t="shared" si="11"/>
        <v>41.75</v>
      </c>
    </row>
    <row r="375" spans="1:15">
      <c r="A375">
        <v>803</v>
      </c>
      <c r="B375" t="str">
        <f t="shared" si="10"/>
        <v>2022-10</v>
      </c>
      <c r="C375" s="1">
        <v>44859</v>
      </c>
      <c r="D375" s="5">
        <v>0.71944444444444444</v>
      </c>
      <c r="E375">
        <v>60</v>
      </c>
      <c r="F375" t="s">
        <v>11</v>
      </c>
      <c r="G375">
        <v>39</v>
      </c>
      <c r="H375" t="s">
        <v>12</v>
      </c>
      <c r="I375">
        <v>4</v>
      </c>
      <c r="J375" s="6">
        <v>25</v>
      </c>
      <c r="K375">
        <v>6.75</v>
      </c>
      <c r="L375">
        <v>100</v>
      </c>
      <c r="M375" t="str">
        <f>IF(OR(I375="",J375="",L375=""),"Incomplete","Complete")</f>
        <v>Complete</v>
      </c>
      <c r="N375" t="str">
        <f>IF(M375="Incomplete","Not checked",IF(ROUND(I375*J375,2)=ROUND(L375,2),"Valid","Mismatch"))</f>
        <v>Valid</v>
      </c>
      <c r="O375">
        <f t="shared" si="11"/>
        <v>93.25</v>
      </c>
    </row>
    <row r="376" spans="1:15">
      <c r="A376">
        <v>1803</v>
      </c>
      <c r="B376" t="str">
        <f t="shared" si="10"/>
        <v>2023-12</v>
      </c>
      <c r="C376" s="1">
        <v>45286</v>
      </c>
      <c r="D376" s="5">
        <v>0.81666666666666665</v>
      </c>
      <c r="E376">
        <v>101</v>
      </c>
      <c r="F376" t="s">
        <v>11</v>
      </c>
      <c r="G376">
        <v>39</v>
      </c>
      <c r="H376" t="s">
        <v>12</v>
      </c>
      <c r="I376">
        <v>4</v>
      </c>
      <c r="J376" s="6">
        <v>25</v>
      </c>
      <c r="K376">
        <v>8.5</v>
      </c>
      <c r="L376">
        <v>100</v>
      </c>
      <c r="M376" t="str">
        <f>IF(OR(I376="",J376="",L376=""),"Incomplete","Complete")</f>
        <v>Complete</v>
      </c>
      <c r="N376" t="str">
        <f>IF(M376="Incomplete","Not checked",IF(ROUND(I376*J376,2)=ROUND(L376,2),"Valid","Mismatch"))</f>
        <v>Valid</v>
      </c>
      <c r="O376">
        <f t="shared" si="11"/>
        <v>91.5</v>
      </c>
    </row>
    <row r="377" spans="1:15">
      <c r="A377">
        <v>156</v>
      </c>
      <c r="B377" t="str">
        <f t="shared" si="10"/>
        <v>2022-12</v>
      </c>
      <c r="C377" s="1">
        <v>44897</v>
      </c>
      <c r="D377" s="5">
        <v>0.81527777777777777</v>
      </c>
      <c r="E377">
        <v>60</v>
      </c>
      <c r="F377" t="s">
        <v>14</v>
      </c>
      <c r="G377">
        <v>43</v>
      </c>
      <c r="H377" t="s">
        <v>12</v>
      </c>
      <c r="I377">
        <v>4</v>
      </c>
      <c r="J377" s="6">
        <v>25</v>
      </c>
      <c r="K377">
        <v>7</v>
      </c>
      <c r="L377">
        <v>100</v>
      </c>
      <c r="M377" t="str">
        <f>IF(OR(I377="",J377="",L377=""),"Incomplete","Complete")</f>
        <v>Complete</v>
      </c>
      <c r="N377" t="str">
        <f>IF(M377="Incomplete","Not checked",IF(ROUND(I377*J377,2)=ROUND(L377,2),"Valid","Mismatch"))</f>
        <v>Valid</v>
      </c>
      <c r="O377">
        <f t="shared" si="11"/>
        <v>93</v>
      </c>
    </row>
    <row r="378" spans="1:15">
      <c r="A378">
        <v>493</v>
      </c>
      <c r="B378" t="str">
        <f t="shared" si="10"/>
        <v>2022-12</v>
      </c>
      <c r="C378" s="1">
        <v>44896</v>
      </c>
      <c r="D378" s="5">
        <v>0.84027777777777779</v>
      </c>
      <c r="E378">
        <v>95</v>
      </c>
      <c r="F378" t="s">
        <v>11</v>
      </c>
      <c r="G378">
        <v>41</v>
      </c>
      <c r="H378" t="s">
        <v>13</v>
      </c>
      <c r="I378">
        <v>2</v>
      </c>
      <c r="J378" s="6">
        <v>25</v>
      </c>
      <c r="K378">
        <v>7.75</v>
      </c>
      <c r="L378">
        <v>50</v>
      </c>
      <c r="M378" t="str">
        <f>IF(OR(I378="",J378="",L378=""),"Incomplete","Complete")</f>
        <v>Complete</v>
      </c>
      <c r="N378" t="str">
        <f>IF(M378="Incomplete","Not checked",IF(ROUND(I378*J378,2)=ROUND(L378,2),"Valid","Mismatch"))</f>
        <v>Valid</v>
      </c>
      <c r="O378">
        <f t="shared" si="11"/>
        <v>42.25</v>
      </c>
    </row>
    <row r="379" spans="1:15">
      <c r="A379">
        <v>1156</v>
      </c>
      <c r="B379" t="str">
        <f t="shared" si="10"/>
        <v>2022-12</v>
      </c>
      <c r="C379" s="1">
        <v>44921</v>
      </c>
      <c r="D379" s="5">
        <v>0.88194444444444442</v>
      </c>
      <c r="E379">
        <v>68</v>
      </c>
      <c r="F379" t="s">
        <v>14</v>
      </c>
      <c r="G379">
        <v>43</v>
      </c>
      <c r="H379" t="s">
        <v>12</v>
      </c>
      <c r="I379">
        <v>4</v>
      </c>
      <c r="J379" s="6">
        <v>25</v>
      </c>
      <c r="K379">
        <v>13.5</v>
      </c>
      <c r="L379">
        <v>100</v>
      </c>
      <c r="M379" t="str">
        <f>IF(OR(I379="",J379="",L379=""),"Incomplete","Complete")</f>
        <v>Complete</v>
      </c>
      <c r="N379" t="str">
        <f>IF(M379="Incomplete","Not checked",IF(ROUND(I379*J379,2)=ROUND(L379,2),"Valid","Mismatch"))</f>
        <v>Valid</v>
      </c>
      <c r="O379">
        <f t="shared" si="11"/>
        <v>86.5</v>
      </c>
    </row>
    <row r="380" spans="1:15">
      <c r="A380">
        <v>1493</v>
      </c>
      <c r="B380" t="str">
        <f t="shared" si="10"/>
        <v>2023-11</v>
      </c>
      <c r="C380" s="1">
        <v>45256</v>
      </c>
      <c r="D380" s="5">
        <v>0.90902777777777777</v>
      </c>
      <c r="E380">
        <v>58</v>
      </c>
      <c r="F380" t="s">
        <v>11</v>
      </c>
      <c r="G380">
        <v>41</v>
      </c>
      <c r="H380" t="s">
        <v>13</v>
      </c>
      <c r="I380">
        <v>2</v>
      </c>
      <c r="J380" s="6">
        <v>25</v>
      </c>
      <c r="K380">
        <v>6.75</v>
      </c>
      <c r="L380">
        <v>50</v>
      </c>
      <c r="M380" t="str">
        <f>IF(OR(I380="",J380="",L380=""),"Incomplete","Complete")</f>
        <v>Complete</v>
      </c>
      <c r="N380" t="str">
        <f>IF(M380="Incomplete","Not checked",IF(ROUND(I380*J380,2)=ROUND(L380,2),"Valid","Mismatch"))</f>
        <v>Valid</v>
      </c>
      <c r="O380">
        <f t="shared" si="11"/>
        <v>43.25</v>
      </c>
    </row>
    <row r="381" spans="1:15">
      <c r="A381">
        <v>715</v>
      </c>
      <c r="B381" t="str">
        <f t="shared" si="10"/>
        <v>2022-10</v>
      </c>
      <c r="C381" s="1">
        <v>44845</v>
      </c>
      <c r="D381" s="5">
        <v>0.87291666666666667</v>
      </c>
      <c r="E381">
        <v>55</v>
      </c>
      <c r="F381" t="s">
        <v>14</v>
      </c>
      <c r="G381">
        <v>42</v>
      </c>
      <c r="H381" t="s">
        <v>13</v>
      </c>
      <c r="I381">
        <v>4</v>
      </c>
      <c r="J381" s="6">
        <v>25</v>
      </c>
      <c r="K381">
        <v>6.25</v>
      </c>
      <c r="L381">
        <v>100</v>
      </c>
      <c r="M381" t="str">
        <f>IF(OR(I381="",J381="",L381=""),"Incomplete","Complete")</f>
        <v>Complete</v>
      </c>
      <c r="N381" t="str">
        <f>IF(M381="Incomplete","Not checked",IF(ROUND(I381*J381,2)=ROUND(L381,2),"Valid","Mismatch"))</f>
        <v>Valid</v>
      </c>
      <c r="O381">
        <f t="shared" si="11"/>
        <v>93.75</v>
      </c>
    </row>
    <row r="382" spans="1:15">
      <c r="A382">
        <v>1715</v>
      </c>
      <c r="B382" t="str">
        <f t="shared" si="10"/>
        <v>2022-12</v>
      </c>
      <c r="C382" s="1">
        <v>44925</v>
      </c>
      <c r="D382" s="5">
        <v>0.81597222222222221</v>
      </c>
      <c r="E382">
        <v>89</v>
      </c>
      <c r="F382" t="s">
        <v>14</v>
      </c>
      <c r="G382">
        <v>42</v>
      </c>
      <c r="H382" t="s">
        <v>13</v>
      </c>
      <c r="I382">
        <v>4</v>
      </c>
      <c r="J382" s="6">
        <v>25</v>
      </c>
      <c r="K382">
        <v>9.75</v>
      </c>
      <c r="L382">
        <v>100</v>
      </c>
      <c r="M382" t="str">
        <f>IF(OR(I382="",J382="",L382=""),"Incomplete","Complete")</f>
        <v>Complete</v>
      </c>
      <c r="N382" t="str">
        <f>IF(M382="Incomplete","Not checked",IF(ROUND(I382*J382,2)=ROUND(L382,2),"Valid","Mismatch"))</f>
        <v>Valid</v>
      </c>
      <c r="O382">
        <f t="shared" si="11"/>
        <v>90.25</v>
      </c>
    </row>
    <row r="383" spans="1:15">
      <c r="A383">
        <v>362</v>
      </c>
      <c r="B383" t="str">
        <f t="shared" si="10"/>
        <v>2023-09</v>
      </c>
      <c r="C383" s="1">
        <v>45196</v>
      </c>
      <c r="D383" s="5">
        <v>0.94652777777777775</v>
      </c>
      <c r="E383">
        <v>101</v>
      </c>
      <c r="F383" t="s">
        <v>11</v>
      </c>
      <c r="G383">
        <v>50</v>
      </c>
      <c r="H383" t="s">
        <v>12</v>
      </c>
      <c r="I383">
        <v>1</v>
      </c>
      <c r="J383" s="6">
        <v>25</v>
      </c>
      <c r="K383">
        <v>10.25</v>
      </c>
      <c r="L383">
        <v>25</v>
      </c>
      <c r="M383" t="str">
        <f>IF(OR(I383="",J383="",L383=""),"Incomplete","Complete")</f>
        <v>Complete</v>
      </c>
      <c r="N383" t="str">
        <f>IF(M383="Incomplete","Not checked",IF(ROUND(I383*J383,2)=ROUND(L383,2),"Valid","Mismatch"))</f>
        <v>Valid</v>
      </c>
      <c r="O383">
        <f t="shared" si="11"/>
        <v>14.75</v>
      </c>
    </row>
    <row r="384" spans="1:15">
      <c r="A384">
        <v>1362</v>
      </c>
      <c r="B384" t="str">
        <f t="shared" si="10"/>
        <v>2023-11</v>
      </c>
      <c r="C384" s="1">
        <v>45251</v>
      </c>
      <c r="D384" s="5">
        <v>0.78680555555555554</v>
      </c>
      <c r="E384">
        <v>104</v>
      </c>
      <c r="F384" t="s">
        <v>11</v>
      </c>
      <c r="G384">
        <v>50</v>
      </c>
      <c r="H384" t="s">
        <v>12</v>
      </c>
      <c r="I384">
        <v>1</v>
      </c>
      <c r="J384" s="6">
        <v>25</v>
      </c>
      <c r="K384">
        <v>11</v>
      </c>
      <c r="L384">
        <v>25</v>
      </c>
      <c r="M384" t="str">
        <f>IF(OR(I384="",J384="",L384=""),"Incomplete","Complete")</f>
        <v>Complete</v>
      </c>
      <c r="N384" t="str">
        <f>IF(M384="Incomplete","Not checked",IF(ROUND(I384*J384,2)=ROUND(L384,2),"Valid","Mismatch"))</f>
        <v>Valid</v>
      </c>
      <c r="O384">
        <f t="shared" si="11"/>
        <v>14</v>
      </c>
    </row>
    <row r="385" spans="1:15">
      <c r="A385">
        <v>739</v>
      </c>
      <c r="B385" t="str">
        <f t="shared" si="10"/>
        <v>2023-10</v>
      </c>
      <c r="C385" s="1">
        <v>45213</v>
      </c>
      <c r="D385" s="5">
        <v>0.71458333333333335</v>
      </c>
      <c r="E385">
        <v>57</v>
      </c>
      <c r="F385" t="s">
        <v>11</v>
      </c>
      <c r="G385">
        <v>36</v>
      </c>
      <c r="H385" t="s">
        <v>13</v>
      </c>
      <c r="I385">
        <v>1</v>
      </c>
      <c r="J385" s="6">
        <v>25</v>
      </c>
      <c r="K385">
        <v>10.25</v>
      </c>
      <c r="L385">
        <v>25</v>
      </c>
      <c r="M385" t="str">
        <f>IF(OR(I385="",J385="",L385=""),"Incomplete","Complete")</f>
        <v>Complete</v>
      </c>
      <c r="N385" t="str">
        <f>IF(M385="Incomplete","Not checked",IF(ROUND(I385*J385,2)=ROUND(L385,2),"Valid","Mismatch"))</f>
        <v>Valid</v>
      </c>
      <c r="O385">
        <f t="shared" si="11"/>
        <v>14.75</v>
      </c>
    </row>
    <row r="386" spans="1:15">
      <c r="A386">
        <v>1739</v>
      </c>
      <c r="B386" t="str">
        <f t="shared" ref="B386:B449" si="12">TEXT(C386,"yyyy-mm")</f>
        <v>2023-10</v>
      </c>
      <c r="C386" s="1">
        <v>45224</v>
      </c>
      <c r="D386" s="5">
        <v>0.74444444444444446</v>
      </c>
      <c r="E386">
        <v>67</v>
      </c>
      <c r="F386" t="s">
        <v>11</v>
      </c>
      <c r="G386">
        <v>36</v>
      </c>
      <c r="H386" t="s">
        <v>13</v>
      </c>
      <c r="I386">
        <v>1</v>
      </c>
      <c r="J386" s="6">
        <v>25</v>
      </c>
      <c r="K386">
        <v>11.25</v>
      </c>
      <c r="L386">
        <v>25</v>
      </c>
      <c r="M386" t="str">
        <f>IF(OR(I386="",J386="",L386=""),"Incomplete","Complete")</f>
        <v>Complete</v>
      </c>
      <c r="N386" t="str">
        <f>IF(M386="Incomplete","Not checked",IF(ROUND(I386*J386,2)=ROUND(L386,2),"Valid","Mismatch"))</f>
        <v>Valid</v>
      </c>
      <c r="O386">
        <f t="shared" ref="O386:O449" si="13">IF(M386="Incomplete","",L386-K386)</f>
        <v>13.75</v>
      </c>
    </row>
    <row r="387" spans="1:15">
      <c r="A387">
        <v>810</v>
      </c>
      <c r="B387" t="str">
        <f t="shared" si="12"/>
        <v>2022-12</v>
      </c>
      <c r="C387" s="1">
        <v>44896</v>
      </c>
      <c r="D387" s="5">
        <v>0.75277777777777777</v>
      </c>
      <c r="E387">
        <v>76</v>
      </c>
      <c r="F387" t="s">
        <v>11</v>
      </c>
      <c r="G387">
        <v>59</v>
      </c>
      <c r="H387" t="s">
        <v>15</v>
      </c>
      <c r="I387">
        <v>4</v>
      </c>
      <c r="J387" s="6">
        <v>25</v>
      </c>
      <c r="K387">
        <v>13.75</v>
      </c>
      <c r="L387">
        <v>100</v>
      </c>
      <c r="M387" t="str">
        <f>IF(OR(I387="",J387="",L387=""),"Incomplete","Complete")</f>
        <v>Complete</v>
      </c>
      <c r="N387" t="str">
        <f>IF(M387="Incomplete","Not checked",IF(ROUND(I387*J387,2)=ROUND(L387,2),"Valid","Mismatch"))</f>
        <v>Valid</v>
      </c>
      <c r="O387">
        <f t="shared" si="13"/>
        <v>86.25</v>
      </c>
    </row>
    <row r="388" spans="1:15">
      <c r="A388">
        <v>1810</v>
      </c>
      <c r="B388" t="str">
        <f t="shared" si="12"/>
        <v>2023-09</v>
      </c>
      <c r="C388" s="1">
        <v>45191</v>
      </c>
      <c r="D388" s="5">
        <v>0.77013888888888893</v>
      </c>
      <c r="E388">
        <v>106</v>
      </c>
      <c r="F388" t="s">
        <v>11</v>
      </c>
      <c r="G388">
        <v>59</v>
      </c>
      <c r="H388" t="s">
        <v>15</v>
      </c>
      <c r="I388">
        <v>4</v>
      </c>
      <c r="J388" s="6">
        <v>25</v>
      </c>
      <c r="K388">
        <v>13.5</v>
      </c>
      <c r="L388">
        <v>100</v>
      </c>
      <c r="M388" t="str">
        <f>IF(OR(I388="",J388="",L388=""),"Incomplete","Complete")</f>
        <v>Complete</v>
      </c>
      <c r="N388" t="str">
        <f>IF(M388="Incomplete","Not checked",IF(ROUND(I388*J388,2)=ROUND(L388,2),"Valid","Mismatch"))</f>
        <v>Valid</v>
      </c>
      <c r="O388">
        <f t="shared" si="13"/>
        <v>86.5</v>
      </c>
    </row>
    <row r="389" spans="1:15">
      <c r="A389">
        <v>389</v>
      </c>
      <c r="B389" t="str">
        <f t="shared" si="12"/>
        <v>2022-11</v>
      </c>
      <c r="C389" s="1">
        <v>44876</v>
      </c>
      <c r="D389" s="5">
        <v>0.79583333333333328</v>
      </c>
      <c r="E389">
        <v>109</v>
      </c>
      <c r="F389" t="s">
        <v>11</v>
      </c>
      <c r="G389">
        <v>21</v>
      </c>
      <c r="H389" t="s">
        <v>12</v>
      </c>
      <c r="I389">
        <v>2</v>
      </c>
      <c r="J389" s="6">
        <v>25</v>
      </c>
      <c r="K389">
        <v>12.25</v>
      </c>
      <c r="L389">
        <v>50</v>
      </c>
      <c r="M389" t="str">
        <f>IF(OR(I389="",J389="",L389=""),"Incomplete","Complete")</f>
        <v>Complete</v>
      </c>
      <c r="N389" t="str">
        <f>IF(M389="Incomplete","Not checked",IF(ROUND(I389*J389,2)=ROUND(L389,2),"Valid","Mismatch"))</f>
        <v>Valid</v>
      </c>
      <c r="O389">
        <f t="shared" si="13"/>
        <v>37.75</v>
      </c>
    </row>
    <row r="390" spans="1:15">
      <c r="A390">
        <v>1389</v>
      </c>
      <c r="B390" t="str">
        <f t="shared" si="12"/>
        <v>2023-09</v>
      </c>
      <c r="C390" s="1">
        <v>45196</v>
      </c>
      <c r="D390" s="5">
        <v>0.75763888888888886</v>
      </c>
      <c r="E390">
        <v>60</v>
      </c>
      <c r="F390" t="s">
        <v>11</v>
      </c>
      <c r="G390">
        <v>21</v>
      </c>
      <c r="H390" t="s">
        <v>12</v>
      </c>
      <c r="I390">
        <v>2</v>
      </c>
      <c r="J390" s="6">
        <v>25</v>
      </c>
      <c r="K390">
        <v>9.5</v>
      </c>
      <c r="L390">
        <v>50</v>
      </c>
      <c r="M390" t="str">
        <f>IF(OR(I390="",J390="",L390=""),"Incomplete","Complete")</f>
        <v>Complete</v>
      </c>
      <c r="N390" t="str">
        <f>IF(M390="Incomplete","Not checked",IF(ROUND(I390*J390,2)=ROUND(L390,2),"Valid","Mismatch"))</f>
        <v>Valid</v>
      </c>
      <c r="O390">
        <f t="shared" si="13"/>
        <v>40.5</v>
      </c>
    </row>
    <row r="391" spans="1:15">
      <c r="A391">
        <v>311</v>
      </c>
      <c r="B391" t="str">
        <f t="shared" si="12"/>
        <v>2023-11</v>
      </c>
      <c r="C391" s="1">
        <v>45250</v>
      </c>
      <c r="D391" s="5">
        <v>0.87569444444444444</v>
      </c>
      <c r="E391">
        <v>61</v>
      </c>
      <c r="F391" t="s">
        <v>14</v>
      </c>
      <c r="G391">
        <v>32</v>
      </c>
      <c r="H391" t="s">
        <v>13</v>
      </c>
      <c r="I391">
        <v>4</v>
      </c>
      <c r="J391" s="6">
        <v>25</v>
      </c>
      <c r="K391">
        <v>9.75</v>
      </c>
      <c r="L391">
        <v>100</v>
      </c>
      <c r="M391" t="str">
        <f>IF(OR(I391="",J391="",L391=""),"Incomplete","Complete")</f>
        <v>Complete</v>
      </c>
      <c r="N391" t="str">
        <f>IF(M391="Incomplete","Not checked",IF(ROUND(I391*J391,2)=ROUND(L391,2),"Valid","Mismatch"))</f>
        <v>Valid</v>
      </c>
      <c r="O391">
        <f t="shared" si="13"/>
        <v>90.25</v>
      </c>
    </row>
    <row r="392" spans="1:15">
      <c r="A392">
        <v>791</v>
      </c>
      <c r="B392" t="str">
        <f t="shared" si="12"/>
        <v>2022-09</v>
      </c>
      <c r="C392" s="1">
        <v>44808</v>
      </c>
      <c r="D392" s="5">
        <v>0.68611111111111112</v>
      </c>
      <c r="E392">
        <v>106</v>
      </c>
      <c r="F392" t="s">
        <v>14</v>
      </c>
      <c r="G392">
        <v>51</v>
      </c>
      <c r="H392" t="s">
        <v>13</v>
      </c>
      <c r="I392">
        <v>1</v>
      </c>
      <c r="J392" s="6">
        <v>25</v>
      </c>
      <c r="K392">
        <v>11.75</v>
      </c>
      <c r="L392">
        <v>25</v>
      </c>
      <c r="M392" t="str">
        <f>IF(OR(I392="",J392="",L392=""),"Incomplete","Complete")</f>
        <v>Complete</v>
      </c>
      <c r="N392" t="str">
        <f>IF(M392="Incomplete","Not checked",IF(ROUND(I392*J392,2)=ROUND(L392,2),"Valid","Mismatch"))</f>
        <v>Valid</v>
      </c>
      <c r="O392">
        <f t="shared" si="13"/>
        <v>13.25</v>
      </c>
    </row>
    <row r="393" spans="1:15">
      <c r="A393">
        <v>1311</v>
      </c>
      <c r="B393" t="str">
        <f t="shared" si="12"/>
        <v>2023-11</v>
      </c>
      <c r="C393" s="1">
        <v>45254</v>
      </c>
      <c r="D393" s="5">
        <v>0.64027777777777772</v>
      </c>
      <c r="E393">
        <v>84</v>
      </c>
      <c r="F393" t="s">
        <v>14</v>
      </c>
      <c r="G393">
        <v>32</v>
      </c>
      <c r="H393" t="s">
        <v>13</v>
      </c>
      <c r="I393">
        <v>4</v>
      </c>
      <c r="J393" s="6">
        <v>25</v>
      </c>
      <c r="K393">
        <v>9.25</v>
      </c>
      <c r="L393">
        <v>100</v>
      </c>
      <c r="M393" t="str">
        <f>IF(OR(I393="",J393="",L393=""),"Incomplete","Complete")</f>
        <v>Complete</v>
      </c>
      <c r="N393" t="str">
        <f>IF(M393="Incomplete","Not checked",IF(ROUND(I393*J393,2)=ROUND(L393,2),"Valid","Mismatch"))</f>
        <v>Valid</v>
      </c>
      <c r="O393">
        <f t="shared" si="13"/>
        <v>90.75</v>
      </c>
    </row>
    <row r="394" spans="1:15">
      <c r="A394">
        <v>1791</v>
      </c>
      <c r="B394" t="str">
        <f t="shared" si="12"/>
        <v>2022-10</v>
      </c>
      <c r="C394" s="1">
        <v>44840</v>
      </c>
      <c r="D394" s="5">
        <v>0.61944444444444446</v>
      </c>
      <c r="E394">
        <v>87</v>
      </c>
      <c r="F394" t="s">
        <v>14</v>
      </c>
      <c r="G394">
        <v>51</v>
      </c>
      <c r="H394" t="s">
        <v>13</v>
      </c>
      <c r="I394">
        <v>1</v>
      </c>
      <c r="J394" s="6">
        <v>25</v>
      </c>
      <c r="K394">
        <v>7</v>
      </c>
      <c r="L394">
        <v>25</v>
      </c>
      <c r="M394" t="str">
        <f>IF(OR(I394="",J394="",L394=""),"Incomplete","Complete")</f>
        <v>Complete</v>
      </c>
      <c r="N394" t="str">
        <f>IF(M394="Incomplete","Not checked",IF(ROUND(I394*J394,2)=ROUND(L394,2),"Valid","Mismatch"))</f>
        <v>Valid</v>
      </c>
      <c r="O394">
        <f t="shared" si="13"/>
        <v>18</v>
      </c>
    </row>
    <row r="395" spans="1:15">
      <c r="A395">
        <v>712</v>
      </c>
      <c r="B395" t="str">
        <f t="shared" si="12"/>
        <v>2023-09</v>
      </c>
      <c r="C395" s="1">
        <v>45181</v>
      </c>
      <c r="D395" s="5">
        <v>0.59375</v>
      </c>
      <c r="E395">
        <v>108</v>
      </c>
      <c r="F395" t="s">
        <v>14</v>
      </c>
      <c r="G395">
        <v>57</v>
      </c>
      <c r="H395" t="s">
        <v>13</v>
      </c>
      <c r="I395">
        <v>2</v>
      </c>
      <c r="J395" s="6">
        <v>25</v>
      </c>
      <c r="K395">
        <v>11.5</v>
      </c>
      <c r="L395">
        <v>50</v>
      </c>
      <c r="M395" t="str">
        <f>IF(OR(I395="",J395="",L395=""),"Incomplete","Complete")</f>
        <v>Complete</v>
      </c>
      <c r="N395" t="str">
        <f>IF(M395="Incomplete","Not checked",IF(ROUND(I395*J395,2)=ROUND(L395,2),"Valid","Mismatch"))</f>
        <v>Valid</v>
      </c>
      <c r="O395">
        <f t="shared" si="13"/>
        <v>38.5</v>
      </c>
    </row>
    <row r="396" spans="1:15">
      <c r="A396">
        <v>1712</v>
      </c>
      <c r="B396" t="str">
        <f t="shared" si="12"/>
        <v>2023-11</v>
      </c>
      <c r="C396" s="1">
        <v>45255</v>
      </c>
      <c r="D396" s="5">
        <v>0.69236111111111109</v>
      </c>
      <c r="E396">
        <v>92</v>
      </c>
      <c r="F396" t="s">
        <v>14</v>
      </c>
      <c r="G396">
        <v>57</v>
      </c>
      <c r="H396" t="s">
        <v>13</v>
      </c>
      <c r="I396">
        <v>2</v>
      </c>
      <c r="J396" s="6">
        <v>25</v>
      </c>
      <c r="K396">
        <v>8.75</v>
      </c>
      <c r="L396">
        <v>50</v>
      </c>
      <c r="M396" t="str">
        <f>IF(OR(I396="",J396="",L396=""),"Incomplete","Complete")</f>
        <v>Complete</v>
      </c>
      <c r="N396" t="str">
        <f>IF(M396="Incomplete","Not checked",IF(ROUND(I396*J396,2)=ROUND(L396,2),"Valid","Mismatch"))</f>
        <v>Valid</v>
      </c>
      <c r="O396">
        <f t="shared" si="13"/>
        <v>41.25</v>
      </c>
    </row>
    <row r="397" spans="1:15">
      <c r="A397">
        <v>468</v>
      </c>
      <c r="B397" t="str">
        <f t="shared" si="12"/>
        <v>2022-12</v>
      </c>
      <c r="C397" s="1">
        <v>44900</v>
      </c>
      <c r="D397" s="5">
        <v>0.60555555555555551</v>
      </c>
      <c r="E397">
        <v>86</v>
      </c>
      <c r="F397" t="s">
        <v>11</v>
      </c>
      <c r="G397">
        <v>40</v>
      </c>
      <c r="H397" t="s">
        <v>15</v>
      </c>
      <c r="I397">
        <v>1</v>
      </c>
      <c r="J397" s="6">
        <v>25</v>
      </c>
      <c r="K397">
        <v>12.25</v>
      </c>
      <c r="L397">
        <v>25</v>
      </c>
      <c r="M397" t="str">
        <f>IF(OR(I397="",J397="",L397=""),"Incomplete","Complete")</f>
        <v>Complete</v>
      </c>
      <c r="N397" t="str">
        <f>IF(M397="Incomplete","Not checked",IF(ROUND(I397*J397,2)=ROUND(L397,2),"Valid","Mismatch"))</f>
        <v>Valid</v>
      </c>
      <c r="O397">
        <f t="shared" si="13"/>
        <v>12.75</v>
      </c>
    </row>
    <row r="398" spans="1:15">
      <c r="A398">
        <v>1468</v>
      </c>
      <c r="B398" t="str">
        <f t="shared" si="12"/>
        <v>2023-11</v>
      </c>
      <c r="C398" s="1">
        <v>45238</v>
      </c>
      <c r="D398" s="5">
        <v>0.55138888888888893</v>
      </c>
      <c r="E398">
        <v>73</v>
      </c>
      <c r="F398" t="s">
        <v>11</v>
      </c>
      <c r="G398">
        <v>40</v>
      </c>
      <c r="H398" t="s">
        <v>15</v>
      </c>
      <c r="I398">
        <v>1</v>
      </c>
      <c r="J398" s="6">
        <v>25</v>
      </c>
      <c r="K398">
        <v>9.75</v>
      </c>
      <c r="L398">
        <v>25</v>
      </c>
      <c r="M398" t="str">
        <f>IF(OR(I398="",J398="",L398=""),"Incomplete","Complete")</f>
        <v>Complete</v>
      </c>
      <c r="N398" t="str">
        <f>IF(M398="Incomplete","Not checked",IF(ROUND(I398*J398,2)=ROUND(L398,2),"Valid","Mismatch"))</f>
        <v>Valid</v>
      </c>
      <c r="O398">
        <f t="shared" si="13"/>
        <v>15.25</v>
      </c>
    </row>
    <row r="399" spans="1:15">
      <c r="A399">
        <v>552</v>
      </c>
      <c r="B399" t="str">
        <f t="shared" si="12"/>
        <v>2022-10</v>
      </c>
      <c r="C399" s="1">
        <v>44863</v>
      </c>
      <c r="D399" s="5">
        <v>0.56388888888888888</v>
      </c>
      <c r="E399">
        <v>85</v>
      </c>
      <c r="F399" t="s">
        <v>14</v>
      </c>
      <c r="G399">
        <v>49</v>
      </c>
      <c r="H399" t="s">
        <v>15</v>
      </c>
      <c r="I399">
        <v>3</v>
      </c>
      <c r="J399" s="6">
        <v>25</v>
      </c>
      <c r="K399">
        <v>9.75</v>
      </c>
      <c r="L399">
        <v>75</v>
      </c>
      <c r="M399" t="str">
        <f>IF(OR(I399="",J399="",L399=""),"Incomplete","Complete")</f>
        <v>Complete</v>
      </c>
      <c r="N399" t="str">
        <f>IF(M399="Incomplete","Not checked",IF(ROUND(I399*J399,2)=ROUND(L399,2),"Valid","Mismatch"))</f>
        <v>Valid</v>
      </c>
      <c r="O399">
        <f t="shared" si="13"/>
        <v>65.25</v>
      </c>
    </row>
    <row r="400" spans="1:15">
      <c r="A400">
        <v>771</v>
      </c>
      <c r="B400" t="str">
        <f t="shared" si="12"/>
        <v>2023-12</v>
      </c>
      <c r="C400" s="1">
        <v>45284</v>
      </c>
      <c r="D400" s="5">
        <v>0.51597222222222228</v>
      </c>
      <c r="E400">
        <v>70</v>
      </c>
      <c r="F400" t="s">
        <v>11</v>
      </c>
      <c r="G400">
        <v>24</v>
      </c>
      <c r="H400" t="s">
        <v>15</v>
      </c>
      <c r="I400">
        <v>2</v>
      </c>
      <c r="J400" s="6">
        <v>25</v>
      </c>
      <c r="K400">
        <v>11.75</v>
      </c>
      <c r="L400">
        <v>50</v>
      </c>
      <c r="M400" t="str">
        <f>IF(OR(I400="",J400="",L400=""),"Incomplete","Complete")</f>
        <v>Complete</v>
      </c>
      <c r="N400" t="str">
        <f>IF(M400="Incomplete","Not checked",IF(ROUND(I400*J400,2)=ROUND(L400,2),"Valid","Mismatch"))</f>
        <v>Valid</v>
      </c>
      <c r="O400">
        <f t="shared" si="13"/>
        <v>38.25</v>
      </c>
    </row>
    <row r="401" spans="1:15">
      <c r="A401">
        <v>1552</v>
      </c>
      <c r="B401" t="str">
        <f t="shared" si="12"/>
        <v>2022-09</v>
      </c>
      <c r="C401" s="1">
        <v>44829</v>
      </c>
      <c r="D401" s="5">
        <v>0.50763888888888886</v>
      </c>
      <c r="E401">
        <v>55</v>
      </c>
      <c r="F401" t="s">
        <v>14</v>
      </c>
      <c r="G401">
        <v>49</v>
      </c>
      <c r="H401" t="s">
        <v>15</v>
      </c>
      <c r="I401">
        <v>3</v>
      </c>
      <c r="J401" s="6">
        <v>25</v>
      </c>
      <c r="K401">
        <v>13</v>
      </c>
      <c r="L401">
        <v>75</v>
      </c>
      <c r="M401" t="str">
        <f>IF(OR(I401="",J401="",L401=""),"Incomplete","Complete")</f>
        <v>Complete</v>
      </c>
      <c r="N401" t="str">
        <f>IF(M401="Incomplete","Not checked",IF(ROUND(I401*J401,2)=ROUND(L401,2),"Valid","Mismatch"))</f>
        <v>Valid</v>
      </c>
      <c r="O401">
        <f t="shared" si="13"/>
        <v>62</v>
      </c>
    </row>
    <row r="402" spans="1:15">
      <c r="A402">
        <v>1771</v>
      </c>
      <c r="B402" t="str">
        <f t="shared" si="12"/>
        <v>2023-09</v>
      </c>
      <c r="C402" s="1">
        <v>45182</v>
      </c>
      <c r="D402" s="5">
        <v>0.57013888888888886</v>
      </c>
      <c r="E402">
        <v>108</v>
      </c>
      <c r="F402" t="s">
        <v>11</v>
      </c>
      <c r="G402">
        <v>24</v>
      </c>
      <c r="H402" t="s">
        <v>15</v>
      </c>
      <c r="I402">
        <v>2</v>
      </c>
      <c r="J402" s="6">
        <v>25</v>
      </c>
      <c r="K402">
        <v>10.75</v>
      </c>
      <c r="L402">
        <v>50</v>
      </c>
      <c r="M402" t="str">
        <f>IF(OR(I402="",J402="",L402=""),"Incomplete","Complete")</f>
        <v>Complete</v>
      </c>
      <c r="N402" t="str">
        <f>IF(M402="Incomplete","Not checked",IF(ROUND(I402*J402,2)=ROUND(L402,2),"Valid","Mismatch"))</f>
        <v>Valid</v>
      </c>
      <c r="O402">
        <f t="shared" si="13"/>
        <v>39.25</v>
      </c>
    </row>
    <row r="403" spans="1:15">
      <c r="A403">
        <v>525</v>
      </c>
      <c r="B403" t="str">
        <f t="shared" si="12"/>
        <v>2022-09</v>
      </c>
      <c r="C403" s="1">
        <v>44809</v>
      </c>
      <c r="D403" s="5">
        <v>0.59375</v>
      </c>
      <c r="E403">
        <v>98</v>
      </c>
      <c r="F403" t="s">
        <v>14</v>
      </c>
      <c r="G403">
        <v>47</v>
      </c>
      <c r="H403" t="s">
        <v>13</v>
      </c>
      <c r="I403">
        <v>2</v>
      </c>
      <c r="J403" s="6">
        <v>25</v>
      </c>
      <c r="K403">
        <v>7</v>
      </c>
      <c r="L403">
        <v>50</v>
      </c>
      <c r="M403" t="str">
        <f>IF(OR(I403="",J403="",L403=""),"Incomplete","Complete")</f>
        <v>Complete</v>
      </c>
      <c r="N403" t="str">
        <f>IF(M403="Incomplete","Not checked",IF(ROUND(I403*J403,2)=ROUND(L403,2),"Valid","Mismatch"))</f>
        <v>Valid</v>
      </c>
      <c r="O403">
        <f t="shared" si="13"/>
        <v>43</v>
      </c>
    </row>
    <row r="404" spans="1:15">
      <c r="A404">
        <v>1525</v>
      </c>
      <c r="B404" t="str">
        <f t="shared" si="12"/>
        <v>2022-12</v>
      </c>
      <c r="C404" s="1">
        <v>44908</v>
      </c>
      <c r="D404" s="5">
        <v>0.56597222222222221</v>
      </c>
      <c r="E404">
        <v>106</v>
      </c>
      <c r="F404" t="s">
        <v>14</v>
      </c>
      <c r="G404">
        <v>47</v>
      </c>
      <c r="H404" t="s">
        <v>13</v>
      </c>
      <c r="I404">
        <v>2</v>
      </c>
      <c r="J404" s="6">
        <v>25</v>
      </c>
      <c r="K404">
        <v>12</v>
      </c>
      <c r="L404">
        <v>50</v>
      </c>
      <c r="M404" t="str">
        <f>IF(OR(I404="",J404="",L404=""),"Incomplete","Complete")</f>
        <v>Complete</v>
      </c>
      <c r="N404" t="str">
        <f>IF(M404="Incomplete","Not checked",IF(ROUND(I404*J404,2)=ROUND(L404,2),"Valid","Mismatch"))</f>
        <v>Valid</v>
      </c>
      <c r="O404">
        <f t="shared" si="13"/>
        <v>38</v>
      </c>
    </row>
    <row r="405" spans="1:15">
      <c r="A405">
        <v>890</v>
      </c>
      <c r="B405" t="str">
        <f t="shared" si="12"/>
        <v>2023-12</v>
      </c>
      <c r="C405" s="1">
        <v>45285</v>
      </c>
      <c r="D405" s="5">
        <v>0.61388888888888893</v>
      </c>
      <c r="E405">
        <v>76</v>
      </c>
      <c r="F405" t="s">
        <v>11</v>
      </c>
      <c r="G405">
        <v>34</v>
      </c>
      <c r="H405" t="s">
        <v>15</v>
      </c>
      <c r="I405">
        <v>2</v>
      </c>
      <c r="J405" s="6">
        <v>25</v>
      </c>
      <c r="K405">
        <v>13.5</v>
      </c>
      <c r="L405">
        <v>50</v>
      </c>
      <c r="M405" t="str">
        <f>IF(OR(I405="",J405="",L405=""),"Incomplete","Complete")</f>
        <v>Complete</v>
      </c>
      <c r="N405" t="str">
        <f>IF(M405="Incomplete","Not checked",IF(ROUND(I405*J405,2)=ROUND(L405,2),"Valid","Mismatch"))</f>
        <v>Valid</v>
      </c>
      <c r="O405">
        <f t="shared" si="13"/>
        <v>36.5</v>
      </c>
    </row>
    <row r="406" spans="1:15">
      <c r="A406">
        <v>1890</v>
      </c>
      <c r="B406" t="str">
        <f t="shared" si="12"/>
        <v>2023-10</v>
      </c>
      <c r="C406" s="1">
        <v>45217</v>
      </c>
      <c r="D406" s="5">
        <v>0.59722222222222221</v>
      </c>
      <c r="E406">
        <v>51</v>
      </c>
      <c r="F406" t="s">
        <v>11</v>
      </c>
      <c r="G406">
        <v>34</v>
      </c>
      <c r="H406" t="s">
        <v>15</v>
      </c>
      <c r="I406">
        <v>2</v>
      </c>
      <c r="J406" s="6">
        <v>25</v>
      </c>
      <c r="K406">
        <v>6.25</v>
      </c>
      <c r="L406">
        <v>50</v>
      </c>
      <c r="M406" t="str">
        <f>IF(OR(I406="",J406="",L406=""),"Incomplete","Complete")</f>
        <v>Complete</v>
      </c>
      <c r="N406" t="str">
        <f>IF(M406="Incomplete","Not checked",IF(ROUND(I406*J406,2)=ROUND(L406,2),"Valid","Mismatch"))</f>
        <v>Valid</v>
      </c>
      <c r="O406">
        <f t="shared" si="13"/>
        <v>43.75</v>
      </c>
    </row>
    <row r="407" spans="1:15">
      <c r="A407">
        <v>309</v>
      </c>
      <c r="B407" t="str">
        <f t="shared" si="12"/>
        <v>2023-10</v>
      </c>
      <c r="C407" s="1">
        <v>45211</v>
      </c>
      <c r="D407" s="5">
        <v>0.65208333333333335</v>
      </c>
      <c r="E407">
        <v>78</v>
      </c>
      <c r="F407" t="s">
        <v>14</v>
      </c>
      <c r="G407">
        <v>26</v>
      </c>
      <c r="H407" t="s">
        <v>13</v>
      </c>
      <c r="I407">
        <v>1</v>
      </c>
      <c r="J407" s="6">
        <v>25</v>
      </c>
      <c r="K407">
        <v>9</v>
      </c>
      <c r="L407">
        <v>25</v>
      </c>
      <c r="M407" t="str">
        <f>IF(OR(I407="",J407="",L407=""),"Incomplete","Complete")</f>
        <v>Complete</v>
      </c>
      <c r="N407" t="str">
        <f>IF(M407="Incomplete","Not checked",IF(ROUND(I407*J407,2)=ROUND(L407,2),"Valid","Mismatch"))</f>
        <v>Valid</v>
      </c>
      <c r="O407">
        <f t="shared" si="13"/>
        <v>16</v>
      </c>
    </row>
    <row r="408" spans="1:15">
      <c r="A408">
        <v>544</v>
      </c>
      <c r="B408" t="str">
        <f t="shared" si="12"/>
        <v>2023-10</v>
      </c>
      <c r="C408" s="1">
        <v>45230</v>
      </c>
      <c r="D408" s="5">
        <v>0.57361111111111107</v>
      </c>
      <c r="E408">
        <v>95</v>
      </c>
      <c r="F408" t="s">
        <v>14</v>
      </c>
      <c r="G408">
        <v>27</v>
      </c>
      <c r="H408" t="s">
        <v>15</v>
      </c>
      <c r="I408">
        <v>1</v>
      </c>
      <c r="J408" s="6">
        <v>25</v>
      </c>
      <c r="K408">
        <v>10.25</v>
      </c>
      <c r="L408">
        <v>25</v>
      </c>
      <c r="M408" t="str">
        <f>IF(OR(I408="",J408="",L408=""),"Incomplete","Complete")</f>
        <v>Complete</v>
      </c>
      <c r="N408" t="str">
        <f>IF(M408="Incomplete","Not checked",IF(ROUND(I408*J408,2)=ROUND(L408,2),"Valid","Mismatch"))</f>
        <v>Valid</v>
      </c>
      <c r="O408">
        <f t="shared" si="13"/>
        <v>14.75</v>
      </c>
    </row>
    <row r="409" spans="1:15">
      <c r="A409">
        <v>615</v>
      </c>
      <c r="B409" t="str">
        <f t="shared" si="12"/>
        <v>2022-10</v>
      </c>
      <c r="C409" s="1">
        <v>44865</v>
      </c>
      <c r="D409" s="5">
        <v>0.62916666666666665</v>
      </c>
      <c r="E409">
        <v>58</v>
      </c>
      <c r="F409" t="s">
        <v>14</v>
      </c>
      <c r="G409">
        <v>61</v>
      </c>
      <c r="H409" t="s">
        <v>12</v>
      </c>
      <c r="I409">
        <v>4</v>
      </c>
      <c r="J409" s="6">
        <v>25</v>
      </c>
      <c r="K409">
        <v>10.5</v>
      </c>
      <c r="L409">
        <v>100</v>
      </c>
      <c r="M409" t="str">
        <f>IF(OR(I409="",J409="",L409=""),"Incomplete","Complete")</f>
        <v>Complete</v>
      </c>
      <c r="N409" t="str">
        <f>IF(M409="Incomplete","Not checked",IF(ROUND(I409*J409,2)=ROUND(L409,2),"Valid","Mismatch"))</f>
        <v>Valid</v>
      </c>
      <c r="O409">
        <f t="shared" si="13"/>
        <v>89.5</v>
      </c>
    </row>
    <row r="410" spans="1:15">
      <c r="A410">
        <v>1309</v>
      </c>
      <c r="B410" t="str">
        <f t="shared" si="12"/>
        <v>2022-09</v>
      </c>
      <c r="C410" s="1">
        <v>44834</v>
      </c>
      <c r="D410" s="5">
        <v>0.70138888888888884</v>
      </c>
      <c r="E410">
        <v>93</v>
      </c>
      <c r="F410" t="s">
        <v>14</v>
      </c>
      <c r="G410">
        <v>26</v>
      </c>
      <c r="H410" t="s">
        <v>13</v>
      </c>
      <c r="I410">
        <v>1</v>
      </c>
      <c r="J410" s="6">
        <v>25</v>
      </c>
      <c r="K410">
        <v>9.5</v>
      </c>
      <c r="L410">
        <v>25</v>
      </c>
      <c r="M410" t="str">
        <f>IF(OR(I410="",J410="",L410=""),"Incomplete","Complete")</f>
        <v>Complete</v>
      </c>
      <c r="N410" t="str">
        <f>IF(M410="Incomplete","Not checked",IF(ROUND(I410*J410,2)=ROUND(L410,2),"Valid","Mismatch"))</f>
        <v>Valid</v>
      </c>
      <c r="O410">
        <f t="shared" si="13"/>
        <v>15.5</v>
      </c>
    </row>
    <row r="411" spans="1:15">
      <c r="A411">
        <v>1544</v>
      </c>
      <c r="B411" t="str">
        <f t="shared" si="12"/>
        <v>2022-12</v>
      </c>
      <c r="C411" s="1">
        <v>44911</v>
      </c>
      <c r="D411" s="5">
        <v>0.66527777777777775</v>
      </c>
      <c r="E411">
        <v>70</v>
      </c>
      <c r="F411" t="s">
        <v>14</v>
      </c>
      <c r="G411">
        <v>27</v>
      </c>
      <c r="H411" t="s">
        <v>15</v>
      </c>
      <c r="I411">
        <v>1</v>
      </c>
      <c r="J411" s="6">
        <v>25</v>
      </c>
      <c r="K411">
        <v>11.25</v>
      </c>
      <c r="L411">
        <v>25</v>
      </c>
      <c r="M411" t="str">
        <f>IF(OR(I411="",J411="",L411=""),"Incomplete","Complete")</f>
        <v>Complete</v>
      </c>
      <c r="N411" t="str">
        <f>IF(M411="Incomplete","Not checked",IF(ROUND(I411*J411,2)=ROUND(L411,2),"Valid","Mismatch"))</f>
        <v>Valid</v>
      </c>
      <c r="O411">
        <f t="shared" si="13"/>
        <v>13.75</v>
      </c>
    </row>
    <row r="412" spans="1:15">
      <c r="A412">
        <v>1615</v>
      </c>
      <c r="B412" t="str">
        <f t="shared" si="12"/>
        <v>2022-11</v>
      </c>
      <c r="C412" s="1">
        <v>44882</v>
      </c>
      <c r="D412" s="5">
        <v>0.57152777777777775</v>
      </c>
      <c r="E412">
        <v>82</v>
      </c>
      <c r="F412" t="s">
        <v>14</v>
      </c>
      <c r="G412">
        <v>61</v>
      </c>
      <c r="H412" t="s">
        <v>12</v>
      </c>
      <c r="I412">
        <v>4</v>
      </c>
      <c r="J412" s="6">
        <v>25</v>
      </c>
      <c r="K412">
        <v>13.5</v>
      </c>
      <c r="L412">
        <v>100</v>
      </c>
      <c r="M412" t="str">
        <f>IF(OR(I412="",J412="",L412=""),"Incomplete","Complete")</f>
        <v>Complete</v>
      </c>
      <c r="N412" t="str">
        <f>IF(M412="Incomplete","Not checked",IF(ROUND(I412*J412,2)=ROUND(L412,2),"Valid","Mismatch"))</f>
        <v>Valid</v>
      </c>
      <c r="O412">
        <f t="shared" si="13"/>
        <v>86.5</v>
      </c>
    </row>
    <row r="413" spans="1:15">
      <c r="A413">
        <v>429</v>
      </c>
      <c r="B413" t="str">
        <f t="shared" si="12"/>
        <v>2023-09</v>
      </c>
      <c r="C413" s="1">
        <v>45177</v>
      </c>
      <c r="D413" s="5">
        <v>0.60347222222222219</v>
      </c>
      <c r="E413">
        <v>80</v>
      </c>
      <c r="F413" t="s">
        <v>11</v>
      </c>
      <c r="G413">
        <v>64</v>
      </c>
      <c r="H413" t="s">
        <v>15</v>
      </c>
      <c r="I413">
        <v>2</v>
      </c>
      <c r="J413" s="6">
        <v>25</v>
      </c>
      <c r="K413">
        <v>6.75</v>
      </c>
      <c r="L413">
        <v>50</v>
      </c>
      <c r="M413" t="str">
        <f>IF(OR(I413="",J413="",L413=""),"Incomplete","Complete")</f>
        <v>Complete</v>
      </c>
      <c r="N413" t="str">
        <f>IF(M413="Incomplete","Not checked",IF(ROUND(I413*J413,2)=ROUND(L413,2),"Valid","Mismatch"))</f>
        <v>Valid</v>
      </c>
      <c r="O413">
        <f t="shared" si="13"/>
        <v>43.25</v>
      </c>
    </row>
    <row r="414" spans="1:15">
      <c r="A414">
        <v>989</v>
      </c>
      <c r="B414" t="str">
        <f t="shared" si="12"/>
        <v>2022-10</v>
      </c>
      <c r="C414" s="1">
        <v>44865</v>
      </c>
      <c r="D414" s="5">
        <v>0.5625</v>
      </c>
      <c r="E414">
        <v>97</v>
      </c>
      <c r="F414" t="s">
        <v>14</v>
      </c>
      <c r="G414">
        <v>44</v>
      </c>
      <c r="H414" t="s">
        <v>15</v>
      </c>
      <c r="I414">
        <v>1</v>
      </c>
      <c r="J414" s="6">
        <v>25</v>
      </c>
      <c r="K414">
        <v>8.25</v>
      </c>
      <c r="L414">
        <v>25</v>
      </c>
      <c r="M414" t="str">
        <f>IF(OR(I414="",J414="",L414=""),"Incomplete","Complete")</f>
        <v>Complete</v>
      </c>
      <c r="N414" t="str">
        <f>IF(M414="Incomplete","Not checked",IF(ROUND(I414*J414,2)=ROUND(L414,2),"Valid","Mismatch"))</f>
        <v>Valid</v>
      </c>
      <c r="O414">
        <f t="shared" si="13"/>
        <v>16.75</v>
      </c>
    </row>
    <row r="415" spans="1:15">
      <c r="A415">
        <v>1429</v>
      </c>
      <c r="B415" t="str">
        <f t="shared" si="12"/>
        <v>2023-11</v>
      </c>
      <c r="C415" s="1">
        <v>45252</v>
      </c>
      <c r="D415" s="5">
        <v>0.55138888888888893</v>
      </c>
      <c r="E415">
        <v>102</v>
      </c>
      <c r="F415" t="s">
        <v>11</v>
      </c>
      <c r="G415">
        <v>64</v>
      </c>
      <c r="H415" t="s">
        <v>15</v>
      </c>
      <c r="I415">
        <v>2</v>
      </c>
      <c r="J415" s="6">
        <v>25</v>
      </c>
      <c r="K415">
        <v>12</v>
      </c>
      <c r="L415">
        <v>50</v>
      </c>
      <c r="M415" t="str">
        <f>IF(OR(I415="",J415="",L415=""),"Incomplete","Complete")</f>
        <v>Complete</v>
      </c>
      <c r="N415" t="str">
        <f>IF(M415="Incomplete","Not checked",IF(ROUND(I415*J415,2)=ROUND(L415,2),"Valid","Mismatch"))</f>
        <v>Valid</v>
      </c>
      <c r="O415">
        <f t="shared" si="13"/>
        <v>38</v>
      </c>
    </row>
    <row r="416" spans="1:15">
      <c r="A416">
        <v>1989</v>
      </c>
      <c r="B416" t="str">
        <f t="shared" si="12"/>
        <v>2022-09</v>
      </c>
      <c r="C416" s="1">
        <v>44810</v>
      </c>
      <c r="D416" s="5">
        <v>0.68125000000000002</v>
      </c>
      <c r="E416">
        <v>109</v>
      </c>
      <c r="F416" t="s">
        <v>14</v>
      </c>
      <c r="G416">
        <v>44</v>
      </c>
      <c r="H416" t="s">
        <v>15</v>
      </c>
      <c r="I416">
        <v>1</v>
      </c>
      <c r="J416" s="6">
        <v>25</v>
      </c>
      <c r="K416">
        <v>13.25</v>
      </c>
      <c r="L416">
        <v>25</v>
      </c>
      <c r="M416" t="str">
        <f>IF(OR(I416="",J416="",L416=""),"Incomplete","Complete")</f>
        <v>Complete</v>
      </c>
      <c r="N416" t="str">
        <f>IF(M416="Incomplete","Not checked",IF(ROUND(I416*J416,2)=ROUND(L416,2),"Valid","Mismatch"))</f>
        <v>Valid</v>
      </c>
      <c r="O416">
        <f t="shared" si="13"/>
        <v>11.75</v>
      </c>
    </row>
    <row r="417" spans="1:15">
      <c r="A417">
        <v>520</v>
      </c>
      <c r="B417" t="str">
        <f t="shared" si="12"/>
        <v>2022-10</v>
      </c>
      <c r="C417" s="1">
        <v>44850</v>
      </c>
      <c r="D417" s="5">
        <v>0.52916666666666667</v>
      </c>
      <c r="E417">
        <v>79</v>
      </c>
      <c r="F417" t="s">
        <v>14</v>
      </c>
      <c r="G417">
        <v>49</v>
      </c>
      <c r="H417" t="s">
        <v>15</v>
      </c>
      <c r="I417">
        <v>4</v>
      </c>
      <c r="J417" s="6">
        <v>25</v>
      </c>
      <c r="K417">
        <v>13</v>
      </c>
      <c r="L417">
        <v>100</v>
      </c>
      <c r="M417" t="str">
        <f>IF(OR(I417="",J417="",L417=""),"Incomplete","Complete")</f>
        <v>Complete</v>
      </c>
      <c r="N417" t="str">
        <f>IF(M417="Incomplete","Not checked",IF(ROUND(I417*J417,2)=ROUND(L417,2),"Valid","Mismatch"))</f>
        <v>Valid</v>
      </c>
      <c r="O417">
        <f t="shared" si="13"/>
        <v>87</v>
      </c>
    </row>
    <row r="418" spans="1:15">
      <c r="A418">
        <v>1520</v>
      </c>
      <c r="B418" t="str">
        <f t="shared" si="12"/>
        <v>2022-11</v>
      </c>
      <c r="C418" s="1">
        <v>44886</v>
      </c>
      <c r="D418" s="5">
        <v>0.64444444444444449</v>
      </c>
      <c r="E418">
        <v>88</v>
      </c>
      <c r="F418" t="s">
        <v>14</v>
      </c>
      <c r="G418">
        <v>49</v>
      </c>
      <c r="H418" t="s">
        <v>15</v>
      </c>
      <c r="I418">
        <v>4</v>
      </c>
      <c r="J418" s="6">
        <v>25</v>
      </c>
      <c r="K418">
        <v>10.5</v>
      </c>
      <c r="L418">
        <v>100</v>
      </c>
      <c r="M418" t="str">
        <f>IF(OR(I418="",J418="",L418=""),"Incomplete","Complete")</f>
        <v>Complete</v>
      </c>
      <c r="N418" t="str">
        <f>IF(M418="Incomplete","Not checked",IF(ROUND(I418*J418,2)=ROUND(L418,2),"Valid","Mismatch"))</f>
        <v>Valid</v>
      </c>
      <c r="O418">
        <f t="shared" si="13"/>
        <v>89.5</v>
      </c>
    </row>
    <row r="419" spans="1:15">
      <c r="A419">
        <v>857</v>
      </c>
      <c r="B419" t="str">
        <f t="shared" si="12"/>
        <v>2023-11</v>
      </c>
      <c r="C419" s="1">
        <v>45250</v>
      </c>
      <c r="D419" s="5">
        <v>0.50624999999999998</v>
      </c>
      <c r="E419">
        <v>62</v>
      </c>
      <c r="F419" t="s">
        <v>11</v>
      </c>
      <c r="G419">
        <v>60</v>
      </c>
      <c r="H419" t="s">
        <v>15</v>
      </c>
      <c r="I419">
        <v>2</v>
      </c>
      <c r="J419" s="6">
        <v>25</v>
      </c>
      <c r="K419">
        <v>12</v>
      </c>
      <c r="L419">
        <v>50</v>
      </c>
      <c r="M419" t="str">
        <f>IF(OR(I419="",J419="",L419=""),"Incomplete","Complete")</f>
        <v>Complete</v>
      </c>
      <c r="N419" t="str">
        <f>IF(M419="Incomplete","Not checked",IF(ROUND(I419*J419,2)=ROUND(L419,2),"Valid","Mismatch"))</f>
        <v>Valid</v>
      </c>
      <c r="O419">
        <f t="shared" si="13"/>
        <v>38</v>
      </c>
    </row>
    <row r="420" spans="1:15">
      <c r="A420">
        <v>1857</v>
      </c>
      <c r="B420" t="str">
        <f t="shared" si="12"/>
        <v>2022-11</v>
      </c>
      <c r="C420" s="1">
        <v>44874</v>
      </c>
      <c r="D420" s="5">
        <v>0.51041666666666663</v>
      </c>
      <c r="E420">
        <v>109</v>
      </c>
      <c r="F420" t="s">
        <v>11</v>
      </c>
      <c r="G420">
        <v>60</v>
      </c>
      <c r="H420" t="s">
        <v>15</v>
      </c>
      <c r="I420">
        <v>2</v>
      </c>
      <c r="J420" s="6">
        <v>25</v>
      </c>
      <c r="K420">
        <v>7.5</v>
      </c>
      <c r="L420">
        <v>50</v>
      </c>
      <c r="M420" t="str">
        <f>IF(OR(I420="",J420="",L420=""),"Incomplete","Complete")</f>
        <v>Complete</v>
      </c>
      <c r="N420" t="str">
        <f>IF(M420="Incomplete","Not checked",IF(ROUND(I420*J420,2)=ROUND(L420,2),"Valid","Mismatch"))</f>
        <v>Valid</v>
      </c>
      <c r="O420">
        <f t="shared" si="13"/>
        <v>42.5</v>
      </c>
    </row>
    <row r="421" spans="1:15">
      <c r="A421">
        <v>303</v>
      </c>
      <c r="B421" t="str">
        <f t="shared" si="12"/>
        <v>2022-04</v>
      </c>
      <c r="C421" s="1">
        <v>44673</v>
      </c>
      <c r="D421" s="5">
        <v>0.46458333333333335</v>
      </c>
      <c r="E421">
        <v>54</v>
      </c>
      <c r="F421" t="s">
        <v>11</v>
      </c>
      <c r="G421">
        <v>19</v>
      </c>
      <c r="H421" t="s">
        <v>15</v>
      </c>
      <c r="I421">
        <v>3</v>
      </c>
      <c r="J421" s="6">
        <v>30</v>
      </c>
      <c r="K421">
        <v>14.7</v>
      </c>
      <c r="L421">
        <v>90</v>
      </c>
      <c r="M421" t="str">
        <f>IF(OR(I421="",J421="",L421=""),"Incomplete","Complete")</f>
        <v>Complete</v>
      </c>
      <c r="N421" t="str">
        <f>IF(M421="Incomplete","Not checked",IF(ROUND(I421*J421,2)=ROUND(L421,2),"Valid","Mismatch"))</f>
        <v>Valid</v>
      </c>
      <c r="O421">
        <f t="shared" si="13"/>
        <v>75.3</v>
      </c>
    </row>
    <row r="422" spans="1:15">
      <c r="A422">
        <v>1303</v>
      </c>
      <c r="B422" t="str">
        <f t="shared" si="12"/>
        <v>2022-03</v>
      </c>
      <c r="C422" s="1">
        <v>44639</v>
      </c>
      <c r="D422" s="5">
        <v>0.37430555555555556</v>
      </c>
      <c r="E422">
        <v>58</v>
      </c>
      <c r="F422" t="s">
        <v>11</v>
      </c>
      <c r="G422">
        <v>19</v>
      </c>
      <c r="H422" t="s">
        <v>15</v>
      </c>
      <c r="I422">
        <v>3</v>
      </c>
      <c r="J422" s="6">
        <v>30</v>
      </c>
      <c r="K422">
        <v>15</v>
      </c>
      <c r="L422">
        <v>90</v>
      </c>
      <c r="M422" t="str">
        <f>IF(OR(I422="",J422="",L422=""),"Incomplete","Complete")</f>
        <v>Complete</v>
      </c>
      <c r="N422" t="str">
        <f>IF(M422="Incomplete","Not checked",IF(ROUND(I422*J422,2)=ROUND(L422,2),"Valid","Mismatch"))</f>
        <v>Valid</v>
      </c>
      <c r="O422">
        <f t="shared" si="13"/>
        <v>75</v>
      </c>
    </row>
    <row r="423" spans="1:15">
      <c r="A423">
        <v>32</v>
      </c>
      <c r="B423" t="str">
        <f t="shared" si="12"/>
        <v>2022-07</v>
      </c>
      <c r="C423" s="1">
        <v>44758</v>
      </c>
      <c r="D423" s="5">
        <v>0.38263888888888886</v>
      </c>
      <c r="E423">
        <v>150</v>
      </c>
      <c r="F423" t="s">
        <v>11</v>
      </c>
      <c r="G423">
        <v>30</v>
      </c>
      <c r="H423" t="s">
        <v>13</v>
      </c>
      <c r="I423">
        <v>3</v>
      </c>
      <c r="J423" s="6">
        <v>30</v>
      </c>
      <c r="K423">
        <v>8.4</v>
      </c>
      <c r="L423">
        <v>90</v>
      </c>
      <c r="M423" t="str">
        <f>IF(OR(I423="",J423="",L423=""),"Incomplete","Complete")</f>
        <v>Complete</v>
      </c>
      <c r="N423" t="str">
        <f>IF(M423="Incomplete","Not checked",IF(ROUND(I423*J423,2)=ROUND(L423,2),"Valid","Mismatch"))</f>
        <v>Valid</v>
      </c>
      <c r="O423">
        <f t="shared" si="13"/>
        <v>81.599999999999994</v>
      </c>
    </row>
    <row r="424" spans="1:15">
      <c r="A424">
        <v>1032</v>
      </c>
      <c r="B424" t="str">
        <f t="shared" si="12"/>
        <v>2022-04</v>
      </c>
      <c r="C424" s="1">
        <v>44652</v>
      </c>
      <c r="D424" s="5">
        <v>0.34375</v>
      </c>
      <c r="E424">
        <v>1</v>
      </c>
      <c r="F424" t="s">
        <v>11</v>
      </c>
      <c r="G424">
        <v>30</v>
      </c>
      <c r="H424" t="s">
        <v>13</v>
      </c>
      <c r="I424">
        <v>3</v>
      </c>
      <c r="J424" s="6">
        <v>30</v>
      </c>
      <c r="K424">
        <v>10.5</v>
      </c>
      <c r="L424">
        <v>90</v>
      </c>
      <c r="M424" t="str">
        <f>IF(OR(I424="",J424="",L424=""),"Incomplete","Complete")</f>
        <v>Complete</v>
      </c>
      <c r="N424" t="str">
        <f>IF(M424="Incomplete","Not checked",IF(ROUND(I424*J424,2)=ROUND(L424,2),"Valid","Mismatch"))</f>
        <v>Valid</v>
      </c>
      <c r="O424">
        <f t="shared" si="13"/>
        <v>79.5</v>
      </c>
    </row>
    <row r="425" spans="1:15">
      <c r="A425">
        <v>150</v>
      </c>
      <c r="B425" t="str">
        <f t="shared" si="12"/>
        <v>2022-04</v>
      </c>
      <c r="C425" s="1">
        <v>44664</v>
      </c>
      <c r="D425" s="5">
        <v>0.35069444444444442</v>
      </c>
      <c r="E425">
        <v>89</v>
      </c>
      <c r="F425" t="s">
        <v>14</v>
      </c>
      <c r="H425" t="s">
        <v>15</v>
      </c>
      <c r="I425">
        <v>4</v>
      </c>
      <c r="J425" s="6">
        <v>30</v>
      </c>
      <c r="K425">
        <v>16.2</v>
      </c>
      <c r="L425">
        <v>120</v>
      </c>
      <c r="M425" t="str">
        <f>IF(OR(I425="",J425="",L425=""),"Incomplete","Complete")</f>
        <v>Complete</v>
      </c>
      <c r="N425" t="str">
        <f>IF(M425="Incomplete","Not checked",IF(ROUND(I425*J425,2)=ROUND(L425,2),"Valid","Mismatch"))</f>
        <v>Valid</v>
      </c>
      <c r="O425">
        <f t="shared" si="13"/>
        <v>103.8</v>
      </c>
    </row>
    <row r="426" spans="1:15">
      <c r="A426">
        <v>1150</v>
      </c>
      <c r="B426" t="str">
        <f t="shared" si="12"/>
        <v>2022-08</v>
      </c>
      <c r="C426" s="1">
        <v>44795</v>
      </c>
      <c r="D426" s="5">
        <v>0.41944444444444445</v>
      </c>
      <c r="E426">
        <v>77</v>
      </c>
      <c r="F426" t="s">
        <v>14</v>
      </c>
      <c r="H426" t="s">
        <v>15</v>
      </c>
      <c r="I426">
        <v>4</v>
      </c>
      <c r="J426" s="6">
        <v>30</v>
      </c>
      <c r="K426">
        <v>10.199999999999999</v>
      </c>
      <c r="L426">
        <v>120</v>
      </c>
      <c r="M426" t="str">
        <f>IF(OR(I426="",J426="",L426=""),"Incomplete","Complete")</f>
        <v>Complete</v>
      </c>
      <c r="N426" t="str">
        <f>IF(M426="Incomplete","Not checked",IF(ROUND(I426*J426,2)=ROUND(L426,2),"Valid","Mismatch"))</f>
        <v>Valid</v>
      </c>
      <c r="O426">
        <f t="shared" si="13"/>
        <v>109.8</v>
      </c>
    </row>
    <row r="427" spans="1:15">
      <c r="A427">
        <v>734</v>
      </c>
      <c r="B427" t="str">
        <f t="shared" si="12"/>
        <v>2022-03</v>
      </c>
      <c r="C427" s="1">
        <v>44632</v>
      </c>
      <c r="D427" s="5">
        <v>0.37083333333333335</v>
      </c>
      <c r="E427">
        <v>77</v>
      </c>
      <c r="F427" t="s">
        <v>14</v>
      </c>
      <c r="G427">
        <v>27</v>
      </c>
      <c r="H427" t="s">
        <v>12</v>
      </c>
      <c r="I427">
        <v>1</v>
      </c>
      <c r="J427" s="6">
        <v>30</v>
      </c>
      <c r="K427">
        <v>15.6</v>
      </c>
      <c r="L427">
        <v>30</v>
      </c>
      <c r="M427" t="str">
        <f>IF(OR(I427="",J427="",L427=""),"Incomplete","Complete")</f>
        <v>Complete</v>
      </c>
      <c r="N427" t="str">
        <f>IF(M427="Incomplete","Not checked",IF(ROUND(I427*J427,2)=ROUND(L427,2),"Valid","Mismatch"))</f>
        <v>Valid</v>
      </c>
      <c r="O427">
        <f t="shared" si="13"/>
        <v>14.4</v>
      </c>
    </row>
    <row r="428" spans="1:15">
      <c r="A428">
        <v>1734</v>
      </c>
      <c r="B428" t="str">
        <f t="shared" si="12"/>
        <v>2022-02</v>
      </c>
      <c r="C428" s="1">
        <v>44620</v>
      </c>
      <c r="D428" s="5">
        <v>0.37361111111111112</v>
      </c>
      <c r="E428">
        <v>72</v>
      </c>
      <c r="F428" t="s">
        <v>14</v>
      </c>
      <c r="G428">
        <v>27</v>
      </c>
      <c r="H428" t="s">
        <v>12</v>
      </c>
      <c r="I428">
        <v>1</v>
      </c>
      <c r="J428" s="6">
        <v>30</v>
      </c>
      <c r="K428">
        <v>14.4</v>
      </c>
      <c r="L428">
        <v>30</v>
      </c>
      <c r="M428" t="str">
        <f>IF(OR(I428="",J428="",L428=""),"Incomplete","Complete")</f>
        <v>Complete</v>
      </c>
      <c r="N428" t="str">
        <f>IF(M428="Incomplete","Not checked",IF(ROUND(I428*J428,2)=ROUND(L428,2),"Valid","Mismatch"))</f>
        <v>Valid</v>
      </c>
      <c r="O428">
        <f t="shared" si="13"/>
        <v>15.6</v>
      </c>
    </row>
    <row r="429" spans="1:15">
      <c r="A429">
        <v>1679</v>
      </c>
      <c r="B429" t="str">
        <f t="shared" si="12"/>
        <v>2022-09</v>
      </c>
      <c r="C429" s="1">
        <v>44827</v>
      </c>
      <c r="D429" s="5">
        <v>0.33888888888888891</v>
      </c>
      <c r="E429">
        <v>71</v>
      </c>
      <c r="F429" t="s">
        <v>14</v>
      </c>
      <c r="G429">
        <v>18</v>
      </c>
      <c r="H429" t="s">
        <v>13</v>
      </c>
      <c r="I429">
        <v>3</v>
      </c>
      <c r="J429" s="6">
        <v>30</v>
      </c>
      <c r="K429">
        <v>15.3</v>
      </c>
      <c r="L429">
        <v>90</v>
      </c>
      <c r="M429" t="str">
        <f>IF(OR(I429="",J429="",L429=""),"Incomplete","Complete")</f>
        <v>Complete</v>
      </c>
      <c r="N429" t="str">
        <f>IF(M429="Incomplete","Not checked",IF(ROUND(I429*J429,2)=ROUND(L429,2),"Valid","Mismatch"))</f>
        <v>Valid</v>
      </c>
      <c r="O429">
        <f t="shared" si="13"/>
        <v>74.7</v>
      </c>
    </row>
    <row r="430" spans="1:15">
      <c r="A430">
        <v>1746</v>
      </c>
      <c r="B430" t="str">
        <f t="shared" si="12"/>
        <v>2022-06</v>
      </c>
      <c r="C430" s="1">
        <v>44725</v>
      </c>
      <c r="D430" s="5">
        <v>0.33263888888888887</v>
      </c>
      <c r="E430">
        <v>88</v>
      </c>
      <c r="F430" t="s">
        <v>14</v>
      </c>
      <c r="G430">
        <v>33</v>
      </c>
      <c r="H430" t="s">
        <v>12</v>
      </c>
      <c r="I430">
        <v>3</v>
      </c>
      <c r="J430" s="6">
        <v>30</v>
      </c>
      <c r="K430">
        <v>10.8</v>
      </c>
      <c r="L430">
        <v>90</v>
      </c>
      <c r="M430" t="str">
        <f>IF(OR(I430="",J430="",L430=""),"Incomplete","Complete")</f>
        <v>Complete</v>
      </c>
      <c r="N430" t="str">
        <f>IF(M430="Incomplete","Not checked",IF(ROUND(I430*J430,2)=ROUND(L430,2),"Valid","Mismatch"))</f>
        <v>Valid</v>
      </c>
      <c r="O430">
        <f t="shared" si="13"/>
        <v>79.2</v>
      </c>
    </row>
    <row r="431" spans="1:15">
      <c r="A431">
        <v>3</v>
      </c>
      <c r="B431" t="str">
        <f t="shared" si="12"/>
        <v>2022-06</v>
      </c>
      <c r="C431" s="1">
        <v>44726</v>
      </c>
      <c r="D431" s="5">
        <v>0.29722222222222222</v>
      </c>
      <c r="E431">
        <v>114</v>
      </c>
      <c r="F431" t="s">
        <v>11</v>
      </c>
      <c r="G431">
        <v>50</v>
      </c>
      <c r="H431" t="s">
        <v>15</v>
      </c>
      <c r="I431">
        <v>1</v>
      </c>
      <c r="J431" s="6">
        <v>30</v>
      </c>
      <c r="K431">
        <v>8.1</v>
      </c>
      <c r="L431">
        <v>30</v>
      </c>
      <c r="M431" t="str">
        <f>IF(OR(I431="",J431="",L431=""),"Incomplete","Complete")</f>
        <v>Complete</v>
      </c>
      <c r="N431" t="str">
        <f>IF(M431="Incomplete","Not checked",IF(ROUND(I431*J431,2)=ROUND(L431,2),"Valid","Mismatch"))</f>
        <v>Valid</v>
      </c>
      <c r="O431">
        <f t="shared" si="13"/>
        <v>21.9</v>
      </c>
    </row>
    <row r="432" spans="1:15">
      <c r="A432">
        <v>1003</v>
      </c>
      <c r="B432" t="str">
        <f t="shared" si="12"/>
        <v>2022-01</v>
      </c>
      <c r="C432" s="1">
        <v>44587</v>
      </c>
      <c r="D432" s="5">
        <v>0.33263888888888887</v>
      </c>
      <c r="E432">
        <v>80</v>
      </c>
      <c r="F432" t="s">
        <v>11</v>
      </c>
      <c r="G432">
        <v>50</v>
      </c>
      <c r="H432" t="s">
        <v>15</v>
      </c>
      <c r="I432">
        <v>1</v>
      </c>
      <c r="J432" s="6">
        <v>30</v>
      </c>
      <c r="K432">
        <v>15.9</v>
      </c>
      <c r="L432">
        <v>30</v>
      </c>
      <c r="M432" t="str">
        <f>IF(OR(I432="",J432="",L432=""),"Incomplete","Complete")</f>
        <v>Complete</v>
      </c>
      <c r="N432" t="str">
        <f>IF(M432="Incomplete","Not checked",IF(ROUND(I432*J432,2)=ROUND(L432,2),"Valid","Mismatch"))</f>
        <v>Valid</v>
      </c>
      <c r="O432">
        <f t="shared" si="13"/>
        <v>14.1</v>
      </c>
    </row>
    <row r="433" spans="1:15">
      <c r="A433">
        <v>499</v>
      </c>
      <c r="B433" t="str">
        <f t="shared" si="12"/>
        <v>2022-04</v>
      </c>
      <c r="C433" s="1">
        <v>44654</v>
      </c>
      <c r="D433" s="5">
        <v>0.45277777777777778</v>
      </c>
      <c r="E433">
        <v>15</v>
      </c>
      <c r="F433" t="s">
        <v>11</v>
      </c>
      <c r="G433">
        <v>46</v>
      </c>
      <c r="H433" t="s">
        <v>13</v>
      </c>
      <c r="I433">
        <v>2</v>
      </c>
      <c r="J433" s="6">
        <v>30</v>
      </c>
      <c r="K433">
        <v>16.5</v>
      </c>
      <c r="L433">
        <v>60</v>
      </c>
      <c r="M433" t="str">
        <f>IF(OR(I433="",J433="",L433=""),"Incomplete","Complete")</f>
        <v>Complete</v>
      </c>
      <c r="N433" t="str">
        <f>IF(M433="Incomplete","Not checked",IF(ROUND(I433*J433,2)=ROUND(L433,2),"Valid","Mismatch"))</f>
        <v>Valid</v>
      </c>
      <c r="O433">
        <f t="shared" si="13"/>
        <v>43.5</v>
      </c>
    </row>
    <row r="434" spans="1:15">
      <c r="A434">
        <v>1499</v>
      </c>
      <c r="B434" t="str">
        <f t="shared" si="12"/>
        <v>2022-09</v>
      </c>
      <c r="C434" s="1">
        <v>44827</v>
      </c>
      <c r="D434" s="5">
        <v>0.40694444444444444</v>
      </c>
      <c r="E434">
        <v>3</v>
      </c>
      <c r="F434" t="s">
        <v>11</v>
      </c>
      <c r="G434">
        <v>46</v>
      </c>
      <c r="H434" t="s">
        <v>13</v>
      </c>
      <c r="I434">
        <v>2</v>
      </c>
      <c r="J434" s="6">
        <v>30</v>
      </c>
      <c r="K434">
        <v>11.7</v>
      </c>
      <c r="L434">
        <v>60</v>
      </c>
      <c r="M434" t="str">
        <f>IF(OR(I434="",J434="",L434=""),"Incomplete","Complete")</f>
        <v>Complete</v>
      </c>
      <c r="N434" t="str">
        <f>IF(M434="Incomplete","Not checked",IF(ROUND(I434*J434,2)=ROUND(L434,2),"Valid","Mismatch"))</f>
        <v>Valid</v>
      </c>
      <c r="O434">
        <f t="shared" si="13"/>
        <v>48.3</v>
      </c>
    </row>
    <row r="435" spans="1:15">
      <c r="A435">
        <v>14</v>
      </c>
      <c r="B435" t="str">
        <f t="shared" si="12"/>
        <v>2022-05</v>
      </c>
      <c r="C435" s="1">
        <v>44699</v>
      </c>
      <c r="D435" s="5">
        <v>0.29930555555555555</v>
      </c>
      <c r="E435">
        <v>8</v>
      </c>
      <c r="F435" t="s">
        <v>11</v>
      </c>
      <c r="G435">
        <v>64</v>
      </c>
      <c r="H435" t="s">
        <v>12</v>
      </c>
      <c r="I435">
        <v>4</v>
      </c>
      <c r="J435" s="6">
        <v>30</v>
      </c>
      <c r="K435">
        <v>13.2</v>
      </c>
      <c r="L435">
        <v>120</v>
      </c>
      <c r="M435" t="str">
        <f>IF(OR(I435="",J435="",L435=""),"Incomplete","Complete")</f>
        <v>Complete</v>
      </c>
      <c r="N435" t="str">
        <f>IF(M435="Incomplete","Not checked",IF(ROUND(I435*J435,2)=ROUND(L435,2),"Valid","Mismatch"))</f>
        <v>Valid</v>
      </c>
      <c r="O435">
        <f t="shared" si="13"/>
        <v>106.8</v>
      </c>
    </row>
    <row r="436" spans="1:15">
      <c r="A436">
        <v>1014</v>
      </c>
      <c r="B436" t="str">
        <f t="shared" si="12"/>
        <v>2022-02</v>
      </c>
      <c r="C436" s="1">
        <v>44596</v>
      </c>
      <c r="D436" s="5">
        <v>0.43472222222222223</v>
      </c>
      <c r="E436">
        <v>147</v>
      </c>
      <c r="F436" t="s">
        <v>11</v>
      </c>
      <c r="G436">
        <v>64</v>
      </c>
      <c r="H436" t="s">
        <v>12</v>
      </c>
      <c r="I436">
        <v>4</v>
      </c>
      <c r="J436" s="6">
        <v>30</v>
      </c>
      <c r="K436">
        <v>11.4</v>
      </c>
      <c r="L436">
        <v>120</v>
      </c>
      <c r="M436" t="str">
        <f>IF(OR(I436="",J436="",L436=""),"Incomplete","Complete")</f>
        <v>Complete</v>
      </c>
      <c r="N436" t="str">
        <f>IF(M436="Incomplete","Not checked",IF(ROUND(I436*J436,2)=ROUND(L436,2),"Valid","Mismatch"))</f>
        <v>Valid</v>
      </c>
      <c r="O436">
        <f t="shared" si="13"/>
        <v>108.6</v>
      </c>
    </row>
    <row r="437" spans="1:15">
      <c r="A437">
        <v>438</v>
      </c>
      <c r="B437" t="str">
        <f t="shared" si="12"/>
        <v>2022-08</v>
      </c>
      <c r="C437" s="1">
        <v>44804</v>
      </c>
      <c r="D437" s="5">
        <v>0.42708333333333331</v>
      </c>
      <c r="E437">
        <v>88</v>
      </c>
      <c r="F437" t="s">
        <v>14</v>
      </c>
      <c r="G437">
        <v>42</v>
      </c>
      <c r="H437" t="s">
        <v>12</v>
      </c>
      <c r="I437">
        <v>1</v>
      </c>
      <c r="J437" s="6">
        <v>30</v>
      </c>
      <c r="K437">
        <v>15.9</v>
      </c>
      <c r="L437">
        <v>30</v>
      </c>
      <c r="M437" t="str">
        <f>IF(OR(I437="",J437="",L437=""),"Incomplete","Complete")</f>
        <v>Complete</v>
      </c>
      <c r="N437" t="str">
        <f>IF(M437="Incomplete","Not checked",IF(ROUND(I437*J437,2)=ROUND(L437,2),"Valid","Mismatch"))</f>
        <v>Valid</v>
      </c>
      <c r="O437">
        <f t="shared" si="13"/>
        <v>14.1</v>
      </c>
    </row>
    <row r="438" spans="1:15">
      <c r="A438">
        <v>1438</v>
      </c>
      <c r="B438" t="str">
        <f t="shared" si="12"/>
        <v>2022-01</v>
      </c>
      <c r="C438" s="1">
        <v>44568</v>
      </c>
      <c r="D438" s="5">
        <v>0.41666666666666669</v>
      </c>
      <c r="E438">
        <v>72</v>
      </c>
      <c r="F438" t="s">
        <v>14</v>
      </c>
      <c r="G438">
        <v>42</v>
      </c>
      <c r="H438" t="s">
        <v>12</v>
      </c>
      <c r="I438">
        <v>1</v>
      </c>
      <c r="J438" s="6">
        <v>30</v>
      </c>
      <c r="K438">
        <v>13.8</v>
      </c>
      <c r="L438">
        <v>30</v>
      </c>
      <c r="M438" t="str">
        <f>IF(OR(I438="",J438="",L438=""),"Incomplete","Complete")</f>
        <v>Complete</v>
      </c>
      <c r="N438" t="str">
        <f>IF(M438="Incomplete","Not checked",IF(ROUND(I438*J438,2)=ROUND(L438,2),"Valid","Mismatch"))</f>
        <v>Valid</v>
      </c>
      <c r="O438">
        <f t="shared" si="13"/>
        <v>16.2</v>
      </c>
    </row>
    <row r="439" spans="1:15">
      <c r="A439">
        <v>344</v>
      </c>
      <c r="B439" t="str">
        <f t="shared" si="12"/>
        <v>2022-07</v>
      </c>
      <c r="C439" s="1">
        <v>44759</v>
      </c>
      <c r="D439" s="5">
        <v>0.40763888888888888</v>
      </c>
      <c r="E439">
        <v>69</v>
      </c>
      <c r="F439" t="s">
        <v>14</v>
      </c>
      <c r="G439">
        <v>42</v>
      </c>
      <c r="H439" t="s">
        <v>13</v>
      </c>
      <c r="I439">
        <v>1</v>
      </c>
      <c r="J439" s="6">
        <v>30</v>
      </c>
      <c r="K439">
        <v>7.5</v>
      </c>
      <c r="L439">
        <v>30</v>
      </c>
      <c r="M439" t="str">
        <f>IF(OR(I439="",J439="",L439=""),"Incomplete","Complete")</f>
        <v>Complete</v>
      </c>
      <c r="N439" t="str">
        <f>IF(M439="Incomplete","Not checked",IF(ROUND(I439*J439,2)=ROUND(L439,2),"Valid","Mismatch"))</f>
        <v>Valid</v>
      </c>
      <c r="O439">
        <f t="shared" si="13"/>
        <v>22.5</v>
      </c>
    </row>
    <row r="440" spans="1:15">
      <c r="A440">
        <v>448</v>
      </c>
      <c r="B440" t="str">
        <f t="shared" si="12"/>
        <v>2022-03</v>
      </c>
      <c r="C440" s="1">
        <v>44639</v>
      </c>
      <c r="D440" s="5">
        <v>0.4</v>
      </c>
      <c r="E440">
        <v>86</v>
      </c>
      <c r="F440" t="s">
        <v>14</v>
      </c>
      <c r="G440">
        <v>54</v>
      </c>
      <c r="H440" t="s">
        <v>13</v>
      </c>
      <c r="I440">
        <v>2</v>
      </c>
      <c r="J440" s="6">
        <v>30</v>
      </c>
      <c r="K440">
        <v>16.2</v>
      </c>
      <c r="L440">
        <v>60</v>
      </c>
      <c r="M440" t="str">
        <f>IF(OR(I440="",J440="",L440=""),"Incomplete","Complete")</f>
        <v>Complete</v>
      </c>
      <c r="N440" t="str">
        <f>IF(M440="Incomplete","Not checked",IF(ROUND(I440*J440,2)=ROUND(L440,2),"Valid","Mismatch"))</f>
        <v>Valid</v>
      </c>
      <c r="O440">
        <f t="shared" si="13"/>
        <v>43.8</v>
      </c>
    </row>
    <row r="441" spans="1:15">
      <c r="A441">
        <v>1344</v>
      </c>
      <c r="B441" t="str">
        <f t="shared" si="12"/>
        <v>2022-12</v>
      </c>
      <c r="C441" s="1">
        <v>44913</v>
      </c>
      <c r="D441" s="5">
        <v>0.25833333333333336</v>
      </c>
      <c r="E441">
        <v>144</v>
      </c>
      <c r="F441" t="s">
        <v>14</v>
      </c>
      <c r="G441">
        <v>42</v>
      </c>
      <c r="H441" t="s">
        <v>13</v>
      </c>
      <c r="I441">
        <v>1</v>
      </c>
      <c r="J441" s="6">
        <v>30</v>
      </c>
      <c r="K441">
        <v>11.1</v>
      </c>
      <c r="L441">
        <v>30</v>
      </c>
      <c r="M441" t="str">
        <f>IF(OR(I441="",J441="",L441=""),"Incomplete","Complete")</f>
        <v>Complete</v>
      </c>
      <c r="N441" t="str">
        <f>IF(M441="Incomplete","Not checked",IF(ROUND(I441*J441,2)=ROUND(L441,2),"Valid","Mismatch"))</f>
        <v>Valid</v>
      </c>
      <c r="O441">
        <f t="shared" si="13"/>
        <v>18.899999999999999</v>
      </c>
    </row>
    <row r="442" spans="1:15">
      <c r="A442">
        <v>1448</v>
      </c>
      <c r="B442" t="str">
        <f t="shared" si="12"/>
        <v>2022-05</v>
      </c>
      <c r="C442" s="1">
        <v>44697</v>
      </c>
      <c r="D442" s="5">
        <v>0.26944444444444443</v>
      </c>
      <c r="E442">
        <v>51</v>
      </c>
      <c r="F442" t="s">
        <v>14</v>
      </c>
      <c r="G442">
        <v>54</v>
      </c>
      <c r="H442" t="s">
        <v>13</v>
      </c>
      <c r="I442">
        <v>2</v>
      </c>
      <c r="J442" s="6">
        <v>30</v>
      </c>
      <c r="K442">
        <v>9.3000000000000007</v>
      </c>
      <c r="L442">
        <v>60</v>
      </c>
      <c r="M442" t="str">
        <f>IF(OR(I442="",J442="",L442=""),"Incomplete","Complete")</f>
        <v>Complete</v>
      </c>
      <c r="N442" t="str">
        <f>IF(M442="Incomplete","Not checked",IF(ROUND(I442*J442,2)=ROUND(L442,2),"Valid","Mismatch"))</f>
        <v>Valid</v>
      </c>
      <c r="O442">
        <f t="shared" si="13"/>
        <v>50.7</v>
      </c>
    </row>
    <row r="443" spans="1:15">
      <c r="A443">
        <v>519</v>
      </c>
      <c r="B443" t="str">
        <f t="shared" si="12"/>
        <v>2022-04</v>
      </c>
      <c r="C443" s="1">
        <v>44659</v>
      </c>
      <c r="D443" s="5">
        <v>0.4284722222222222</v>
      </c>
      <c r="E443">
        <v>52</v>
      </c>
      <c r="F443" t="s">
        <v>14</v>
      </c>
      <c r="G443">
        <v>36</v>
      </c>
      <c r="H443" t="s">
        <v>15</v>
      </c>
      <c r="I443">
        <v>4</v>
      </c>
      <c r="J443" s="6">
        <v>30</v>
      </c>
      <c r="K443">
        <v>16.5</v>
      </c>
      <c r="L443">
        <v>120</v>
      </c>
      <c r="M443" t="str">
        <f>IF(OR(I443="",J443="",L443=""),"Incomplete","Complete")</f>
        <v>Complete</v>
      </c>
      <c r="N443" t="str">
        <f>IF(M443="Incomplete","Not checked",IF(ROUND(I443*J443,2)=ROUND(L443,2),"Valid","Mismatch"))</f>
        <v>Valid</v>
      </c>
      <c r="O443">
        <f t="shared" si="13"/>
        <v>103.5</v>
      </c>
    </row>
    <row r="444" spans="1:15">
      <c r="A444">
        <v>1519</v>
      </c>
      <c r="B444" t="str">
        <f t="shared" si="12"/>
        <v>2022-01</v>
      </c>
      <c r="C444" s="1">
        <v>44569</v>
      </c>
      <c r="D444" s="5">
        <v>0.31597222222222221</v>
      </c>
      <c r="E444">
        <v>139</v>
      </c>
      <c r="F444" t="s">
        <v>14</v>
      </c>
      <c r="G444">
        <v>36</v>
      </c>
      <c r="H444" t="s">
        <v>15</v>
      </c>
      <c r="I444">
        <v>4</v>
      </c>
      <c r="J444" s="6">
        <v>30</v>
      </c>
      <c r="K444">
        <v>9.3000000000000007</v>
      </c>
      <c r="L444">
        <v>120</v>
      </c>
      <c r="M444" t="str">
        <f>IF(OR(I444="",J444="",L444=""),"Incomplete","Complete")</f>
        <v>Complete</v>
      </c>
      <c r="N444" t="str">
        <f>IF(M444="Incomplete","Not checked",IF(ROUND(I444*J444,2)=ROUND(L444,2),"Valid","Mismatch"))</f>
        <v>Valid</v>
      </c>
      <c r="O444">
        <f t="shared" si="13"/>
        <v>110.7</v>
      </c>
    </row>
    <row r="445" spans="1:15">
      <c r="A445">
        <v>288</v>
      </c>
      <c r="B445" t="str">
        <f t="shared" si="12"/>
        <v>2022-05</v>
      </c>
      <c r="C445" s="1">
        <v>44683</v>
      </c>
      <c r="D445" s="5">
        <v>0.41597222222222224</v>
      </c>
      <c r="E445">
        <v>27</v>
      </c>
      <c r="F445" t="s">
        <v>11</v>
      </c>
      <c r="G445">
        <v>28</v>
      </c>
      <c r="H445" t="s">
        <v>12</v>
      </c>
      <c r="I445">
        <v>4</v>
      </c>
      <c r="J445" s="6">
        <v>30</v>
      </c>
      <c r="K445">
        <v>12</v>
      </c>
      <c r="L445">
        <v>120</v>
      </c>
      <c r="M445" t="str">
        <f>IF(OR(I445="",J445="",L445=""),"Incomplete","Complete")</f>
        <v>Complete</v>
      </c>
      <c r="N445" t="str">
        <f>IF(M445="Incomplete","Not checked",IF(ROUND(I445*J445,2)=ROUND(L445,2),"Valid","Mismatch"))</f>
        <v>Valid</v>
      </c>
      <c r="O445">
        <f t="shared" si="13"/>
        <v>108</v>
      </c>
    </row>
    <row r="446" spans="1:15">
      <c r="A446">
        <v>1288</v>
      </c>
      <c r="B446" t="str">
        <f t="shared" si="12"/>
        <v>2022-04</v>
      </c>
      <c r="C446" s="1">
        <v>44656</v>
      </c>
      <c r="D446" s="5">
        <v>0.49722222222222223</v>
      </c>
      <c r="E446">
        <v>26</v>
      </c>
      <c r="F446" t="s">
        <v>11</v>
      </c>
      <c r="G446">
        <v>28</v>
      </c>
      <c r="H446" t="s">
        <v>12</v>
      </c>
      <c r="I446">
        <v>4</v>
      </c>
      <c r="J446" s="6">
        <v>30</v>
      </c>
      <c r="K446">
        <v>9</v>
      </c>
      <c r="L446">
        <v>120</v>
      </c>
      <c r="M446" t="str">
        <f>IF(OR(I446="",J446="",L446=""),"Incomplete","Complete")</f>
        <v>Complete</v>
      </c>
      <c r="N446" t="str">
        <f>IF(M446="Incomplete","Not checked",IF(ROUND(I446*J446,2)=ROUND(L446,2),"Valid","Mismatch"))</f>
        <v>Valid</v>
      </c>
      <c r="O446">
        <f t="shared" si="13"/>
        <v>111</v>
      </c>
    </row>
    <row r="447" spans="1:15">
      <c r="A447">
        <v>415</v>
      </c>
      <c r="B447" t="str">
        <f t="shared" si="12"/>
        <v>2022-01</v>
      </c>
      <c r="C447" s="1">
        <v>44566</v>
      </c>
      <c r="D447" s="5">
        <v>0.41597222222222224</v>
      </c>
      <c r="E447">
        <v>85</v>
      </c>
      <c r="F447" t="s">
        <v>11</v>
      </c>
      <c r="G447">
        <v>53</v>
      </c>
      <c r="H447" t="s">
        <v>12</v>
      </c>
      <c r="I447">
        <v>2</v>
      </c>
      <c r="J447" s="6">
        <v>30</v>
      </c>
      <c r="K447">
        <v>8.1</v>
      </c>
      <c r="L447">
        <v>60</v>
      </c>
      <c r="M447" t="str">
        <f>IF(OR(I447="",J447="",L447=""),"Incomplete","Complete")</f>
        <v>Complete</v>
      </c>
      <c r="N447" t="str">
        <f>IF(M447="Incomplete","Not checked",IF(ROUND(I447*J447,2)=ROUND(L447,2),"Valid","Mismatch"))</f>
        <v>Valid</v>
      </c>
      <c r="O447">
        <f t="shared" si="13"/>
        <v>51.9</v>
      </c>
    </row>
    <row r="448" spans="1:15">
      <c r="A448">
        <v>1415</v>
      </c>
      <c r="B448" t="str">
        <f t="shared" si="12"/>
        <v>2022-03</v>
      </c>
      <c r="C448" s="1">
        <v>44626</v>
      </c>
      <c r="D448" s="5">
        <v>0.29930555555555555</v>
      </c>
      <c r="E448">
        <v>146</v>
      </c>
      <c r="F448" t="s">
        <v>11</v>
      </c>
      <c r="G448">
        <v>53</v>
      </c>
      <c r="H448" t="s">
        <v>12</v>
      </c>
      <c r="I448">
        <v>2</v>
      </c>
      <c r="J448" s="6">
        <v>30</v>
      </c>
      <c r="K448">
        <v>15.3</v>
      </c>
      <c r="L448">
        <v>60</v>
      </c>
      <c r="M448" t="str">
        <f>IF(OR(I448="",J448="",L448=""),"Incomplete","Complete")</f>
        <v>Complete</v>
      </c>
      <c r="N448" t="str">
        <f>IF(M448="Incomplete","Not checked",IF(ROUND(I448*J448,2)=ROUND(L448,2),"Valid","Mismatch"))</f>
        <v>Valid</v>
      </c>
      <c r="O448">
        <f t="shared" si="13"/>
        <v>44.7</v>
      </c>
    </row>
    <row r="449" spans="1:15">
      <c r="A449">
        <v>913</v>
      </c>
      <c r="B449" t="str">
        <f t="shared" si="12"/>
        <v>2022-10</v>
      </c>
      <c r="C449" s="1">
        <v>44846</v>
      </c>
      <c r="D449" s="5">
        <v>0.45277777777777778</v>
      </c>
      <c r="E449">
        <v>78</v>
      </c>
      <c r="F449" t="s">
        <v>11</v>
      </c>
      <c r="G449">
        <v>29</v>
      </c>
      <c r="H449" t="s">
        <v>15</v>
      </c>
      <c r="I449">
        <v>3</v>
      </c>
      <c r="J449" s="6">
        <v>30</v>
      </c>
      <c r="K449">
        <v>16.5</v>
      </c>
      <c r="L449">
        <v>90</v>
      </c>
      <c r="M449" t="str">
        <f>IF(OR(I449="",J449="",L449=""),"Incomplete","Complete")</f>
        <v>Complete</v>
      </c>
      <c r="N449" t="str">
        <f>IF(M449="Incomplete","Not checked",IF(ROUND(I449*J449,2)=ROUND(L449,2),"Valid","Mismatch"))</f>
        <v>Valid</v>
      </c>
      <c r="O449">
        <f t="shared" si="13"/>
        <v>73.5</v>
      </c>
    </row>
    <row r="450" spans="1:15">
      <c r="A450">
        <v>940</v>
      </c>
      <c r="B450" t="str">
        <f t="shared" ref="B450:B513" si="14">TEXT(C450,"yyyy-mm")</f>
        <v>2022-01</v>
      </c>
      <c r="C450" s="1">
        <v>44566</v>
      </c>
      <c r="D450" s="5">
        <v>0.34097222222222223</v>
      </c>
      <c r="E450">
        <v>46</v>
      </c>
      <c r="F450" t="s">
        <v>14</v>
      </c>
      <c r="G450">
        <v>20</v>
      </c>
      <c r="H450" t="s">
        <v>15</v>
      </c>
      <c r="I450">
        <v>1</v>
      </c>
      <c r="J450" s="6">
        <v>30</v>
      </c>
      <c r="K450">
        <v>9.6</v>
      </c>
      <c r="L450">
        <v>30</v>
      </c>
      <c r="M450" t="str">
        <f>IF(OR(I450="",J450="",L450=""),"Incomplete","Complete")</f>
        <v>Complete</v>
      </c>
      <c r="N450" t="str">
        <f>IF(M450="Incomplete","Not checked",IF(ROUND(I450*J450,2)=ROUND(L450,2),"Valid","Mismatch"))</f>
        <v>Valid</v>
      </c>
      <c r="O450">
        <f t="shared" ref="O450:O513" si="15">IF(M450="Incomplete","",L450-K450)</f>
        <v>20.399999999999999</v>
      </c>
    </row>
    <row r="451" spans="1:15">
      <c r="A451">
        <v>1913</v>
      </c>
      <c r="B451" t="str">
        <f t="shared" si="14"/>
        <v>2022-06</v>
      </c>
      <c r="C451" s="1">
        <v>44735</v>
      </c>
      <c r="D451" s="5">
        <v>0.2986111111111111</v>
      </c>
      <c r="E451">
        <v>101</v>
      </c>
      <c r="F451" t="s">
        <v>11</v>
      </c>
      <c r="G451">
        <v>29</v>
      </c>
      <c r="H451" t="s">
        <v>15</v>
      </c>
      <c r="I451">
        <v>3</v>
      </c>
      <c r="J451" s="6">
        <v>30</v>
      </c>
      <c r="K451">
        <v>14.1</v>
      </c>
      <c r="L451">
        <v>90</v>
      </c>
      <c r="M451" t="str">
        <f>IF(OR(I451="",J451="",L451=""),"Incomplete","Complete")</f>
        <v>Complete</v>
      </c>
      <c r="N451" t="str">
        <f>IF(M451="Incomplete","Not checked",IF(ROUND(I451*J451,2)=ROUND(L451,2),"Valid","Mismatch"))</f>
        <v>Valid</v>
      </c>
      <c r="O451">
        <f t="shared" si="15"/>
        <v>75.900000000000006</v>
      </c>
    </row>
    <row r="452" spans="1:15">
      <c r="A452">
        <v>1940</v>
      </c>
      <c r="B452" t="str">
        <f t="shared" si="14"/>
        <v>2022-06</v>
      </c>
      <c r="C452" s="1">
        <v>44727</v>
      </c>
      <c r="D452" s="5">
        <v>0.40763888888888888</v>
      </c>
      <c r="E452">
        <v>56</v>
      </c>
      <c r="F452" t="s">
        <v>14</v>
      </c>
      <c r="G452">
        <v>20</v>
      </c>
      <c r="H452" t="s">
        <v>15</v>
      </c>
      <c r="I452">
        <v>1</v>
      </c>
      <c r="J452" s="6">
        <v>30</v>
      </c>
      <c r="K452">
        <v>11.1</v>
      </c>
      <c r="L452">
        <v>30</v>
      </c>
      <c r="M452" t="str">
        <f>IF(OR(I452="",J452="",L452=""),"Incomplete","Complete")</f>
        <v>Complete</v>
      </c>
      <c r="N452" t="str">
        <f>IF(M452="Incomplete","Not checked",IF(ROUND(I452*J452,2)=ROUND(L452,2),"Valid","Mismatch"))</f>
        <v>Valid</v>
      </c>
      <c r="O452">
        <f t="shared" si="15"/>
        <v>18.899999999999999</v>
      </c>
    </row>
    <row r="453" spans="1:15">
      <c r="A453">
        <v>317</v>
      </c>
      <c r="B453" t="str">
        <f t="shared" si="14"/>
        <v>2022-05</v>
      </c>
      <c r="C453" s="1">
        <v>44685</v>
      </c>
      <c r="D453" s="5">
        <v>0.32916666666666666</v>
      </c>
      <c r="E453">
        <v>117</v>
      </c>
      <c r="F453" t="s">
        <v>11</v>
      </c>
      <c r="G453">
        <v>22</v>
      </c>
      <c r="H453" t="s">
        <v>15</v>
      </c>
      <c r="I453">
        <v>3</v>
      </c>
      <c r="J453" s="6">
        <v>30</v>
      </c>
      <c r="K453">
        <v>12</v>
      </c>
      <c r="L453">
        <v>90</v>
      </c>
      <c r="M453" t="str">
        <f>IF(OR(I453="",J453="",L453=""),"Incomplete","Complete")</f>
        <v>Complete</v>
      </c>
      <c r="N453" t="str">
        <f>IF(M453="Incomplete","Not checked",IF(ROUND(I453*J453,2)=ROUND(L453,2),"Valid","Mismatch"))</f>
        <v>Valid</v>
      </c>
      <c r="O453">
        <f t="shared" si="15"/>
        <v>78</v>
      </c>
    </row>
    <row r="454" spans="1:15">
      <c r="A454">
        <v>1317</v>
      </c>
      <c r="B454" t="str">
        <f t="shared" si="14"/>
        <v>2022-08</v>
      </c>
      <c r="C454" s="1">
        <v>44798</v>
      </c>
      <c r="D454" s="5">
        <v>0.3347222222222222</v>
      </c>
      <c r="E454">
        <v>144</v>
      </c>
      <c r="F454" t="s">
        <v>11</v>
      </c>
      <c r="G454">
        <v>22</v>
      </c>
      <c r="H454" t="s">
        <v>15</v>
      </c>
      <c r="I454">
        <v>3</v>
      </c>
      <c r="J454" s="6">
        <v>30</v>
      </c>
      <c r="K454">
        <v>12</v>
      </c>
      <c r="L454">
        <v>90</v>
      </c>
      <c r="M454" t="str">
        <f>IF(OR(I454="",J454="",L454=""),"Incomplete","Complete")</f>
        <v>Complete</v>
      </c>
      <c r="N454" t="str">
        <f>IF(M454="Incomplete","Not checked",IF(ROUND(I454*J454,2)=ROUND(L454,2),"Valid","Mismatch"))</f>
        <v>Valid</v>
      </c>
      <c r="O454">
        <f t="shared" si="15"/>
        <v>78</v>
      </c>
    </row>
    <row r="455" spans="1:15">
      <c r="A455">
        <v>933</v>
      </c>
      <c r="B455" t="str">
        <f t="shared" si="14"/>
        <v>2022-09</v>
      </c>
      <c r="C455" s="1">
        <v>44823</v>
      </c>
      <c r="D455" s="5">
        <v>0.32847222222222222</v>
      </c>
      <c r="E455">
        <v>81</v>
      </c>
      <c r="F455" t="s">
        <v>11</v>
      </c>
      <c r="G455">
        <v>22</v>
      </c>
      <c r="H455" t="s">
        <v>13</v>
      </c>
      <c r="I455">
        <v>1</v>
      </c>
      <c r="J455" s="6">
        <v>30</v>
      </c>
      <c r="K455">
        <v>12.9</v>
      </c>
      <c r="L455">
        <v>30</v>
      </c>
      <c r="M455" t="str">
        <f>IF(OR(I455="",J455="",L455=""),"Incomplete","Complete")</f>
        <v>Complete</v>
      </c>
      <c r="N455" t="str">
        <f>IF(M455="Incomplete","Not checked",IF(ROUND(I455*J455,2)=ROUND(L455,2),"Valid","Mismatch"))</f>
        <v>Valid</v>
      </c>
      <c r="O455">
        <f t="shared" si="15"/>
        <v>17.100000000000001</v>
      </c>
    </row>
    <row r="456" spans="1:15">
      <c r="A456">
        <v>1933</v>
      </c>
      <c r="B456" t="str">
        <f t="shared" si="14"/>
        <v>2022-01</v>
      </c>
      <c r="C456" s="1">
        <v>44573</v>
      </c>
      <c r="D456" s="5">
        <v>0.46111111111111114</v>
      </c>
      <c r="E456">
        <v>121</v>
      </c>
      <c r="F456" t="s">
        <v>11</v>
      </c>
      <c r="G456">
        <v>22</v>
      </c>
      <c r="H456" t="s">
        <v>13</v>
      </c>
      <c r="I456">
        <v>1</v>
      </c>
      <c r="J456" s="6">
        <v>30</v>
      </c>
      <c r="K456">
        <v>14.4</v>
      </c>
      <c r="L456">
        <v>30</v>
      </c>
      <c r="M456" t="str">
        <f>IF(OR(I456="",J456="",L456=""),"Incomplete","Complete")</f>
        <v>Complete</v>
      </c>
      <c r="N456" t="str">
        <f>IF(M456="Incomplete","Not checked",IF(ROUND(I456*J456,2)=ROUND(L456,2),"Valid","Mismatch"))</f>
        <v>Valid</v>
      </c>
      <c r="O456">
        <f t="shared" si="15"/>
        <v>15.6</v>
      </c>
    </row>
    <row r="457" spans="1:15">
      <c r="A457">
        <v>335</v>
      </c>
      <c r="B457" t="str">
        <f t="shared" si="14"/>
        <v>2022-02</v>
      </c>
      <c r="C457" s="1">
        <v>44594</v>
      </c>
      <c r="D457" s="5">
        <v>0.39097222222222222</v>
      </c>
      <c r="E457">
        <v>2</v>
      </c>
      <c r="F457" t="s">
        <v>14</v>
      </c>
      <c r="G457">
        <v>47</v>
      </c>
      <c r="H457" t="s">
        <v>13</v>
      </c>
      <c r="I457">
        <v>4</v>
      </c>
      <c r="J457" s="6">
        <v>30</v>
      </c>
      <c r="K457">
        <v>10.8</v>
      </c>
      <c r="L457">
        <v>120</v>
      </c>
      <c r="M457" t="str">
        <f>IF(OR(I457="",J457="",L457=""),"Incomplete","Complete")</f>
        <v>Complete</v>
      </c>
      <c r="N457" t="str">
        <f>IF(M457="Incomplete","Not checked",IF(ROUND(I457*J457,2)=ROUND(L457,2),"Valid","Mismatch"))</f>
        <v>Valid</v>
      </c>
      <c r="O457">
        <f t="shared" si="15"/>
        <v>109.2</v>
      </c>
    </row>
    <row r="458" spans="1:15">
      <c r="A458">
        <v>1335</v>
      </c>
      <c r="B458" t="str">
        <f t="shared" si="14"/>
        <v>2022-05</v>
      </c>
      <c r="C458" s="1">
        <v>44708</v>
      </c>
      <c r="D458" s="5">
        <v>0.36458333333333331</v>
      </c>
      <c r="E458">
        <v>117</v>
      </c>
      <c r="F458" t="s">
        <v>14</v>
      </c>
      <c r="G458">
        <v>47</v>
      </c>
      <c r="H458" t="s">
        <v>13</v>
      </c>
      <c r="I458">
        <v>4</v>
      </c>
      <c r="J458" s="6">
        <v>30</v>
      </c>
      <c r="K458">
        <v>8.6999999999999993</v>
      </c>
      <c r="L458">
        <v>120</v>
      </c>
      <c r="M458" t="str">
        <f>IF(OR(I458="",J458="",L458=""),"Incomplete","Complete")</f>
        <v>Complete</v>
      </c>
      <c r="N458" t="str">
        <f>IF(M458="Incomplete","Not checked",IF(ROUND(I458*J458,2)=ROUND(L458,2),"Valid","Mismatch"))</f>
        <v>Valid</v>
      </c>
      <c r="O458">
        <f t="shared" si="15"/>
        <v>111.3</v>
      </c>
    </row>
    <row r="459" spans="1:15">
      <c r="A459">
        <v>195</v>
      </c>
      <c r="B459" t="str">
        <f t="shared" si="14"/>
        <v>2022-08</v>
      </c>
      <c r="C459" s="1">
        <v>44787</v>
      </c>
      <c r="D459" s="5">
        <v>0.49375000000000002</v>
      </c>
      <c r="E459">
        <v>10</v>
      </c>
      <c r="F459" t="s">
        <v>11</v>
      </c>
      <c r="G459">
        <v>52</v>
      </c>
      <c r="H459" t="s">
        <v>12</v>
      </c>
      <c r="I459">
        <v>1</v>
      </c>
      <c r="J459" s="6">
        <v>30</v>
      </c>
      <c r="K459">
        <v>9.3000000000000007</v>
      </c>
      <c r="L459">
        <v>30</v>
      </c>
      <c r="M459" t="str">
        <f>IF(OR(I459="",J459="",L459=""),"Incomplete","Complete")</f>
        <v>Complete</v>
      </c>
      <c r="N459" t="str">
        <f>IF(M459="Incomplete","Not checked",IF(ROUND(I459*J459,2)=ROUND(L459,2),"Valid","Mismatch"))</f>
        <v>Valid</v>
      </c>
      <c r="O459">
        <f t="shared" si="15"/>
        <v>20.7</v>
      </c>
    </row>
    <row r="460" spans="1:15">
      <c r="A460">
        <v>530</v>
      </c>
      <c r="B460" t="str">
        <f t="shared" si="14"/>
        <v>2022-05</v>
      </c>
      <c r="C460" s="1">
        <v>44682</v>
      </c>
      <c r="D460" s="5">
        <v>0.32777777777777778</v>
      </c>
      <c r="E460">
        <v>8</v>
      </c>
      <c r="F460" t="s">
        <v>14</v>
      </c>
      <c r="G460">
        <v>18</v>
      </c>
      <c r="H460" t="s">
        <v>15</v>
      </c>
      <c r="I460">
        <v>4</v>
      </c>
      <c r="J460" s="6">
        <v>30</v>
      </c>
      <c r="K460">
        <v>9</v>
      </c>
      <c r="L460">
        <v>120</v>
      </c>
      <c r="M460" t="str">
        <f>IF(OR(I460="",J460="",L460=""),"Incomplete","Complete")</f>
        <v>Complete</v>
      </c>
      <c r="N460" t="str">
        <f>IF(M460="Incomplete","Not checked",IF(ROUND(I460*J460,2)=ROUND(L460,2),"Valid","Mismatch"))</f>
        <v>Valid</v>
      </c>
      <c r="O460">
        <f t="shared" si="15"/>
        <v>111</v>
      </c>
    </row>
    <row r="461" spans="1:15">
      <c r="A461">
        <v>793</v>
      </c>
      <c r="B461" t="str">
        <f t="shared" si="14"/>
        <v>2022-05</v>
      </c>
      <c r="C461" s="1">
        <v>44708</v>
      </c>
      <c r="D461" s="5">
        <v>0.45347222222222222</v>
      </c>
      <c r="E461">
        <v>1</v>
      </c>
      <c r="F461" t="s">
        <v>11</v>
      </c>
      <c r="G461">
        <v>54</v>
      </c>
      <c r="H461" t="s">
        <v>13</v>
      </c>
      <c r="I461">
        <v>1</v>
      </c>
      <c r="J461" s="6">
        <v>30</v>
      </c>
      <c r="K461">
        <v>14.7</v>
      </c>
      <c r="L461">
        <v>30</v>
      </c>
      <c r="M461" t="str">
        <f>IF(OR(I461="",J461="",L461=""),"Incomplete","Complete")</f>
        <v>Complete</v>
      </c>
      <c r="N461" t="str">
        <f>IF(M461="Incomplete","Not checked",IF(ROUND(I461*J461,2)=ROUND(L461,2),"Valid","Mismatch"))</f>
        <v>Valid</v>
      </c>
      <c r="O461">
        <f t="shared" si="15"/>
        <v>15.3</v>
      </c>
    </row>
    <row r="462" spans="1:15">
      <c r="A462">
        <v>1195</v>
      </c>
      <c r="B462" t="str">
        <f t="shared" si="14"/>
        <v>2022-09</v>
      </c>
      <c r="C462" s="1">
        <v>44825</v>
      </c>
      <c r="D462" s="5">
        <v>0.29652777777777778</v>
      </c>
      <c r="E462">
        <v>55</v>
      </c>
      <c r="F462" t="s">
        <v>11</v>
      </c>
      <c r="G462">
        <v>52</v>
      </c>
      <c r="H462" t="s">
        <v>12</v>
      </c>
      <c r="I462">
        <v>1</v>
      </c>
      <c r="J462" s="6">
        <v>30</v>
      </c>
      <c r="K462">
        <v>12</v>
      </c>
      <c r="L462">
        <v>30</v>
      </c>
      <c r="M462" t="str">
        <f>IF(OR(I462="",J462="",L462=""),"Incomplete","Complete")</f>
        <v>Complete</v>
      </c>
      <c r="N462" t="str">
        <f>IF(M462="Incomplete","Not checked",IF(ROUND(I462*J462,2)=ROUND(L462,2),"Valid","Mismatch"))</f>
        <v>Valid</v>
      </c>
      <c r="O462">
        <f t="shared" si="15"/>
        <v>18</v>
      </c>
    </row>
    <row r="463" spans="1:15">
      <c r="A463">
        <v>1530</v>
      </c>
      <c r="B463" t="str">
        <f t="shared" si="14"/>
        <v>2022-12</v>
      </c>
      <c r="C463" s="1">
        <v>44905</v>
      </c>
      <c r="D463" s="5">
        <v>0.34513888888888888</v>
      </c>
      <c r="E463">
        <v>93</v>
      </c>
      <c r="F463" t="s">
        <v>14</v>
      </c>
      <c r="G463">
        <v>18</v>
      </c>
      <c r="H463" t="s">
        <v>15</v>
      </c>
      <c r="I463">
        <v>4</v>
      </c>
      <c r="J463" s="6">
        <v>30</v>
      </c>
      <c r="K463">
        <v>12.3</v>
      </c>
      <c r="L463">
        <v>120</v>
      </c>
      <c r="M463" t="str">
        <f>IF(OR(I463="",J463="",L463=""),"Incomplete","Complete")</f>
        <v>Complete</v>
      </c>
      <c r="N463" t="str">
        <f>IF(M463="Incomplete","Not checked",IF(ROUND(I463*J463,2)=ROUND(L463,2),"Valid","Mismatch"))</f>
        <v>Valid</v>
      </c>
      <c r="O463">
        <f t="shared" si="15"/>
        <v>107.7</v>
      </c>
    </row>
    <row r="464" spans="1:15">
      <c r="A464">
        <v>1793</v>
      </c>
      <c r="B464" t="str">
        <f t="shared" si="14"/>
        <v>2022-12</v>
      </c>
      <c r="C464" s="1">
        <v>44906</v>
      </c>
      <c r="D464" s="5">
        <v>0.25347222222222221</v>
      </c>
      <c r="E464">
        <v>88</v>
      </c>
      <c r="F464" t="s">
        <v>11</v>
      </c>
      <c r="G464">
        <v>54</v>
      </c>
      <c r="H464" t="s">
        <v>13</v>
      </c>
      <c r="I464">
        <v>1</v>
      </c>
      <c r="J464" s="6">
        <v>30</v>
      </c>
      <c r="K464">
        <v>10.8</v>
      </c>
      <c r="L464">
        <v>30</v>
      </c>
      <c r="M464" t="str">
        <f>IF(OR(I464="",J464="",L464=""),"Incomplete","Complete")</f>
        <v>Complete</v>
      </c>
      <c r="N464" t="str">
        <f>IF(M464="Incomplete","Not checked",IF(ROUND(I464*J464,2)=ROUND(L464,2),"Valid","Mismatch"))</f>
        <v>Valid</v>
      </c>
      <c r="O464">
        <f t="shared" si="15"/>
        <v>19.2</v>
      </c>
    </row>
    <row r="465" spans="1:15">
      <c r="A465">
        <v>331</v>
      </c>
      <c r="B465" t="str">
        <f t="shared" si="14"/>
        <v>2022-08</v>
      </c>
      <c r="C465" s="1">
        <v>44789</v>
      </c>
      <c r="D465" s="5">
        <v>0.35625000000000001</v>
      </c>
      <c r="E465">
        <v>28</v>
      </c>
      <c r="F465" t="s">
        <v>11</v>
      </c>
      <c r="G465">
        <v>28</v>
      </c>
      <c r="H465" t="s">
        <v>15</v>
      </c>
      <c r="I465">
        <v>3</v>
      </c>
      <c r="J465" s="6">
        <v>30</v>
      </c>
      <c r="K465">
        <v>10.199999999999999</v>
      </c>
      <c r="L465">
        <v>90</v>
      </c>
      <c r="M465" t="str">
        <f>IF(OR(I465="",J465="",L465=""),"Incomplete","Complete")</f>
        <v>Complete</v>
      </c>
      <c r="N465" t="str">
        <f>IF(M465="Incomplete","Not checked",IF(ROUND(I465*J465,2)=ROUND(L465,2),"Valid","Mismatch"))</f>
        <v>Valid</v>
      </c>
      <c r="O465">
        <f t="shared" si="15"/>
        <v>79.8</v>
      </c>
    </row>
    <row r="466" spans="1:15">
      <c r="A466">
        <v>1331</v>
      </c>
      <c r="B466" t="str">
        <f t="shared" si="14"/>
        <v>2022-05</v>
      </c>
      <c r="C466" s="1">
        <v>44696</v>
      </c>
      <c r="D466" s="5">
        <v>0.39513888888888887</v>
      </c>
      <c r="E466">
        <v>36</v>
      </c>
      <c r="F466" t="s">
        <v>11</v>
      </c>
      <c r="G466">
        <v>28</v>
      </c>
      <c r="H466" t="s">
        <v>15</v>
      </c>
      <c r="I466">
        <v>3</v>
      </c>
      <c r="J466" s="6">
        <v>30</v>
      </c>
      <c r="K466">
        <v>13.8</v>
      </c>
      <c r="L466">
        <v>90</v>
      </c>
      <c r="M466" t="str">
        <f>IF(OR(I466="",J466="",L466=""),"Incomplete","Complete")</f>
        <v>Complete</v>
      </c>
      <c r="N466" t="str">
        <f>IF(M466="Incomplete","Not checked",IF(ROUND(I466*J466,2)=ROUND(L466,2),"Valid","Mismatch"))</f>
        <v>Valid</v>
      </c>
      <c r="O466">
        <f t="shared" si="15"/>
        <v>76.2</v>
      </c>
    </row>
    <row r="467" spans="1:15">
      <c r="A467">
        <v>861</v>
      </c>
      <c r="B467" t="str">
        <f t="shared" si="14"/>
        <v>2022-09</v>
      </c>
      <c r="C467" s="1">
        <v>44834</v>
      </c>
      <c r="D467" s="5">
        <v>0.37291666666666667</v>
      </c>
      <c r="E467">
        <v>22</v>
      </c>
      <c r="F467" t="s">
        <v>14</v>
      </c>
      <c r="G467">
        <v>41</v>
      </c>
      <c r="H467" t="s">
        <v>12</v>
      </c>
      <c r="I467">
        <v>3</v>
      </c>
      <c r="J467" s="6">
        <v>30</v>
      </c>
      <c r="K467">
        <v>9.6</v>
      </c>
      <c r="L467">
        <v>90</v>
      </c>
      <c r="M467" t="str">
        <f>IF(OR(I467="",J467="",L467=""),"Incomplete","Complete")</f>
        <v>Complete</v>
      </c>
      <c r="N467" t="str">
        <f>IF(M467="Incomplete","Not checked",IF(ROUND(I467*J467,2)=ROUND(L467,2),"Valid","Mismatch"))</f>
        <v>Valid</v>
      </c>
      <c r="O467">
        <f t="shared" si="15"/>
        <v>80.400000000000006</v>
      </c>
    </row>
    <row r="468" spans="1:15">
      <c r="A468">
        <v>1861</v>
      </c>
      <c r="B468" t="str">
        <f t="shared" si="14"/>
        <v>2022-07</v>
      </c>
      <c r="C468" s="1">
        <v>44746</v>
      </c>
      <c r="D468" s="5">
        <v>0.44513888888888886</v>
      </c>
      <c r="E468">
        <v>145</v>
      </c>
      <c r="F468" t="s">
        <v>14</v>
      </c>
      <c r="G468">
        <v>41</v>
      </c>
      <c r="H468" t="s">
        <v>12</v>
      </c>
      <c r="I468">
        <v>3</v>
      </c>
      <c r="J468" s="6">
        <v>30</v>
      </c>
      <c r="K468">
        <v>10.199999999999999</v>
      </c>
      <c r="L468">
        <v>90</v>
      </c>
      <c r="M468" t="str">
        <f>IF(OR(I468="",J468="",L468=""),"Incomplete","Complete")</f>
        <v>Complete</v>
      </c>
      <c r="N468" t="str">
        <f>IF(M468="Incomplete","Not checked",IF(ROUND(I468*J468,2)=ROUND(L468,2),"Valid","Mismatch"))</f>
        <v>Valid</v>
      </c>
      <c r="O468">
        <f t="shared" si="15"/>
        <v>79.8</v>
      </c>
    </row>
    <row r="469" spans="1:15">
      <c r="A469">
        <v>268</v>
      </c>
      <c r="B469" t="str">
        <f t="shared" si="14"/>
        <v>2022-04</v>
      </c>
      <c r="C469" s="1">
        <v>44665</v>
      </c>
      <c r="D469" s="5">
        <v>0.35138888888888886</v>
      </c>
      <c r="E469">
        <v>93</v>
      </c>
      <c r="F469" t="s">
        <v>14</v>
      </c>
      <c r="G469">
        <v>28</v>
      </c>
      <c r="H469" t="s">
        <v>15</v>
      </c>
      <c r="I469">
        <v>1</v>
      </c>
      <c r="J469" s="6">
        <v>30</v>
      </c>
      <c r="K469">
        <v>8.6999999999999993</v>
      </c>
      <c r="L469">
        <v>30</v>
      </c>
      <c r="M469" t="str">
        <f>IF(OR(I469="",J469="",L469=""),"Incomplete","Complete")</f>
        <v>Complete</v>
      </c>
      <c r="N469" t="str">
        <f>IF(M469="Incomplete","Not checked",IF(ROUND(I469*J469,2)=ROUND(L469,2),"Valid","Mismatch"))</f>
        <v>Valid</v>
      </c>
      <c r="O469">
        <f t="shared" si="15"/>
        <v>21.3</v>
      </c>
    </row>
    <row r="470" spans="1:15">
      <c r="A470">
        <v>1268</v>
      </c>
      <c r="B470" t="str">
        <f t="shared" si="14"/>
        <v>2022-06</v>
      </c>
      <c r="C470" s="1">
        <v>44721</v>
      </c>
      <c r="D470" s="5">
        <v>0.39791666666666664</v>
      </c>
      <c r="E470">
        <v>15</v>
      </c>
      <c r="F470" t="s">
        <v>14</v>
      </c>
      <c r="G470">
        <v>28</v>
      </c>
      <c r="H470" t="s">
        <v>15</v>
      </c>
      <c r="I470">
        <v>1</v>
      </c>
      <c r="J470" s="6">
        <v>30</v>
      </c>
      <c r="K470">
        <v>14.1</v>
      </c>
      <c r="L470">
        <v>30</v>
      </c>
      <c r="M470" t="str">
        <f>IF(OR(I470="",J470="",L470=""),"Incomplete","Complete")</f>
        <v>Complete</v>
      </c>
      <c r="N470" t="str">
        <f>IF(M470="Incomplete","Not checked",IF(ROUND(I470*J470,2)=ROUND(L470,2),"Valid","Mismatch"))</f>
        <v>Valid</v>
      </c>
      <c r="O470">
        <f t="shared" si="15"/>
        <v>15.9</v>
      </c>
    </row>
    <row r="471" spans="1:15">
      <c r="A471">
        <v>900</v>
      </c>
      <c r="B471" t="str">
        <f t="shared" si="14"/>
        <v>2022-11</v>
      </c>
      <c r="C471" s="1">
        <v>44875</v>
      </c>
      <c r="D471" s="5">
        <v>0.36180555555555555</v>
      </c>
      <c r="E471">
        <v>130</v>
      </c>
      <c r="F471" t="s">
        <v>11</v>
      </c>
      <c r="G471">
        <v>21</v>
      </c>
      <c r="H471" t="s">
        <v>12</v>
      </c>
      <c r="I471">
        <v>2</v>
      </c>
      <c r="J471" s="6">
        <v>30</v>
      </c>
      <c r="K471">
        <v>15.6</v>
      </c>
      <c r="L471">
        <v>60</v>
      </c>
      <c r="M471" t="str">
        <f>IF(OR(I471="",J471="",L471=""),"Incomplete","Complete")</f>
        <v>Complete</v>
      </c>
      <c r="N471" t="str">
        <f>IF(M471="Incomplete","Not checked",IF(ROUND(I471*J471,2)=ROUND(L471,2),"Valid","Mismatch"))</f>
        <v>Valid</v>
      </c>
      <c r="O471">
        <f t="shared" si="15"/>
        <v>44.4</v>
      </c>
    </row>
    <row r="472" spans="1:15">
      <c r="A472">
        <v>1900</v>
      </c>
      <c r="B472" t="str">
        <f t="shared" si="14"/>
        <v>2022-01</v>
      </c>
      <c r="C472" s="1">
        <v>44582</v>
      </c>
      <c r="D472" s="5">
        <v>0.27986111111111112</v>
      </c>
      <c r="E472">
        <v>65</v>
      </c>
      <c r="F472" t="s">
        <v>11</v>
      </c>
      <c r="G472">
        <v>21</v>
      </c>
      <c r="H472" t="s">
        <v>12</v>
      </c>
      <c r="I472">
        <v>2</v>
      </c>
      <c r="J472" s="6">
        <v>30</v>
      </c>
      <c r="K472">
        <v>10.8</v>
      </c>
      <c r="L472">
        <v>60</v>
      </c>
      <c r="M472" t="str">
        <f>IF(OR(I472="",J472="",L472=""),"Incomplete","Complete")</f>
        <v>Complete</v>
      </c>
      <c r="N472" t="str">
        <f>IF(M472="Incomplete","Not checked",IF(ROUND(I472*J472,2)=ROUND(L472,2),"Valid","Mismatch"))</f>
        <v>Valid</v>
      </c>
      <c r="O472">
        <f t="shared" si="15"/>
        <v>49.2</v>
      </c>
    </row>
    <row r="473" spans="1:15">
      <c r="A473">
        <v>396</v>
      </c>
      <c r="B473" t="str">
        <f t="shared" si="14"/>
        <v>2022-12</v>
      </c>
      <c r="C473" s="1">
        <v>44910</v>
      </c>
      <c r="D473" s="5">
        <v>0.29930555555555555</v>
      </c>
      <c r="E473">
        <v>29</v>
      </c>
      <c r="F473" t="s">
        <v>14</v>
      </c>
      <c r="G473">
        <v>55</v>
      </c>
      <c r="H473" t="s">
        <v>13</v>
      </c>
      <c r="I473">
        <v>1</v>
      </c>
      <c r="J473" s="6">
        <v>30</v>
      </c>
      <c r="K473">
        <v>10.8</v>
      </c>
      <c r="L473">
        <v>30</v>
      </c>
      <c r="M473" t="str">
        <f>IF(OR(I473="",J473="",L473=""),"Incomplete","Complete")</f>
        <v>Complete</v>
      </c>
      <c r="N473" t="str">
        <f>IF(M473="Incomplete","Not checked",IF(ROUND(I473*J473,2)=ROUND(L473,2),"Valid","Mismatch"))</f>
        <v>Valid</v>
      </c>
      <c r="O473">
        <f t="shared" si="15"/>
        <v>19.2</v>
      </c>
    </row>
    <row r="474" spans="1:15">
      <c r="A474">
        <v>1396</v>
      </c>
      <c r="B474" t="str">
        <f t="shared" si="14"/>
        <v>2022-06</v>
      </c>
      <c r="C474" s="1">
        <v>44719</v>
      </c>
      <c r="D474" s="5">
        <v>0.26597222222222222</v>
      </c>
      <c r="E474">
        <v>9</v>
      </c>
      <c r="F474" t="s">
        <v>14</v>
      </c>
      <c r="G474">
        <v>55</v>
      </c>
      <c r="H474" t="s">
        <v>13</v>
      </c>
      <c r="I474">
        <v>1</v>
      </c>
      <c r="J474" s="6">
        <v>30</v>
      </c>
      <c r="K474">
        <v>8.4</v>
      </c>
      <c r="L474">
        <v>30</v>
      </c>
      <c r="M474" t="str">
        <f>IF(OR(I474="",J474="",L474=""),"Incomplete","Complete")</f>
        <v>Complete</v>
      </c>
      <c r="N474" t="str">
        <f>IF(M474="Incomplete","Not checked",IF(ROUND(I474*J474,2)=ROUND(L474,2),"Valid","Mismatch"))</f>
        <v>Valid</v>
      </c>
      <c r="O474">
        <f t="shared" si="15"/>
        <v>21.6</v>
      </c>
    </row>
    <row r="475" spans="1:15">
      <c r="A475">
        <v>753</v>
      </c>
      <c r="B475" t="str">
        <f t="shared" si="14"/>
        <v>2022-07</v>
      </c>
      <c r="C475" s="1">
        <v>44748</v>
      </c>
      <c r="D475" s="5">
        <v>0.42152777777777778</v>
      </c>
      <c r="E475">
        <v>70</v>
      </c>
      <c r="F475" t="s">
        <v>14</v>
      </c>
      <c r="G475">
        <v>32</v>
      </c>
      <c r="H475" t="s">
        <v>12</v>
      </c>
      <c r="I475">
        <v>1</v>
      </c>
      <c r="J475" s="6">
        <v>30</v>
      </c>
      <c r="K475">
        <v>15.9</v>
      </c>
      <c r="L475">
        <v>30</v>
      </c>
      <c r="M475" t="str">
        <f>IF(OR(I475="",J475="",L475=""),"Incomplete","Complete")</f>
        <v>Complete</v>
      </c>
      <c r="N475" t="str">
        <f>IF(M475="Incomplete","Not checked",IF(ROUND(I475*J475,2)=ROUND(L475,2),"Valid","Mismatch"))</f>
        <v>Valid</v>
      </c>
      <c r="O475">
        <f t="shared" si="15"/>
        <v>14.1</v>
      </c>
    </row>
    <row r="476" spans="1:15">
      <c r="A476">
        <v>1753</v>
      </c>
      <c r="B476" t="str">
        <f t="shared" si="14"/>
        <v>2022-07</v>
      </c>
      <c r="C476" s="1">
        <v>44759</v>
      </c>
      <c r="D476" s="5">
        <v>0.31944444444444442</v>
      </c>
      <c r="E476">
        <v>28</v>
      </c>
      <c r="F476" t="s">
        <v>14</v>
      </c>
      <c r="G476">
        <v>32</v>
      </c>
      <c r="H476" t="s">
        <v>12</v>
      </c>
      <c r="I476">
        <v>1</v>
      </c>
      <c r="J476" s="6">
        <v>30</v>
      </c>
      <c r="K476">
        <v>10.5</v>
      </c>
      <c r="L476">
        <v>30</v>
      </c>
      <c r="M476" t="str">
        <f>IF(OR(I476="",J476="",L476=""),"Incomplete","Complete")</f>
        <v>Complete</v>
      </c>
      <c r="N476" t="str">
        <f>IF(M476="Incomplete","Not checked",IF(ROUND(I476*J476,2)=ROUND(L476,2),"Valid","Mismatch"))</f>
        <v>Valid</v>
      </c>
      <c r="O476">
        <f t="shared" si="15"/>
        <v>19.5</v>
      </c>
    </row>
    <row r="477" spans="1:15">
      <c r="A477">
        <v>399</v>
      </c>
      <c r="B477" t="str">
        <f t="shared" si="14"/>
        <v>2022-12</v>
      </c>
      <c r="C477" s="1">
        <v>44902</v>
      </c>
      <c r="D477" s="5">
        <v>0.3923611111111111</v>
      </c>
      <c r="E477">
        <v>136</v>
      </c>
      <c r="F477" t="s">
        <v>14</v>
      </c>
      <c r="G477">
        <v>64</v>
      </c>
      <c r="H477" t="s">
        <v>13</v>
      </c>
      <c r="I477">
        <v>2</v>
      </c>
      <c r="J477" s="6">
        <v>30</v>
      </c>
      <c r="K477">
        <v>12.9</v>
      </c>
      <c r="L477">
        <v>60</v>
      </c>
      <c r="M477" t="str">
        <f>IF(OR(I477="",J477="",L477=""),"Incomplete","Complete")</f>
        <v>Complete</v>
      </c>
      <c r="N477" t="str">
        <f>IF(M477="Incomplete","Not checked",IF(ROUND(I477*J477,2)=ROUND(L477,2),"Valid","Mismatch"))</f>
        <v>Valid</v>
      </c>
      <c r="O477">
        <f t="shared" si="15"/>
        <v>47.1</v>
      </c>
    </row>
    <row r="478" spans="1:15">
      <c r="A478">
        <v>1399</v>
      </c>
      <c r="B478" t="str">
        <f t="shared" si="14"/>
        <v>2022-01</v>
      </c>
      <c r="C478" s="1">
        <v>44589</v>
      </c>
      <c r="D478" s="5">
        <v>0.3972222222222222</v>
      </c>
      <c r="E478">
        <v>15</v>
      </c>
      <c r="F478" t="s">
        <v>14</v>
      </c>
      <c r="G478">
        <v>64</v>
      </c>
      <c r="H478" t="s">
        <v>13</v>
      </c>
      <c r="I478">
        <v>2</v>
      </c>
      <c r="J478" s="6">
        <v>30</v>
      </c>
      <c r="K478">
        <v>16.2</v>
      </c>
      <c r="L478">
        <v>60</v>
      </c>
      <c r="M478" t="str">
        <f>IF(OR(I478="",J478="",L478=""),"Incomplete","Complete")</f>
        <v>Complete</v>
      </c>
      <c r="N478" t="str">
        <f>IF(M478="Incomplete","Not checked",IF(ROUND(I478*J478,2)=ROUND(L478,2),"Valid","Mismatch"))</f>
        <v>Valid</v>
      </c>
      <c r="O478">
        <f t="shared" si="15"/>
        <v>43.8</v>
      </c>
    </row>
    <row r="479" spans="1:15">
      <c r="A479">
        <v>885</v>
      </c>
      <c r="B479" t="str">
        <f t="shared" si="14"/>
        <v>2022-09</v>
      </c>
      <c r="C479" s="1">
        <v>44821</v>
      </c>
      <c r="D479" s="5">
        <v>0.4236111111111111</v>
      </c>
      <c r="E479">
        <v>121</v>
      </c>
      <c r="F479" t="s">
        <v>14</v>
      </c>
      <c r="G479">
        <v>52</v>
      </c>
      <c r="H479" t="s">
        <v>12</v>
      </c>
      <c r="I479">
        <v>4</v>
      </c>
      <c r="J479" s="6">
        <v>30</v>
      </c>
      <c r="K479">
        <v>14.4</v>
      </c>
      <c r="L479">
        <v>120</v>
      </c>
      <c r="M479" t="str">
        <f>IF(OR(I479="",J479="",L479=""),"Incomplete","Complete")</f>
        <v>Complete</v>
      </c>
      <c r="N479" t="str">
        <f>IF(M479="Incomplete","Not checked",IF(ROUND(I479*J479,2)=ROUND(L479,2),"Valid","Mismatch"))</f>
        <v>Valid</v>
      </c>
      <c r="O479">
        <f t="shared" si="15"/>
        <v>105.6</v>
      </c>
    </row>
    <row r="480" spans="1:15">
      <c r="A480">
        <v>1885</v>
      </c>
      <c r="B480" t="str">
        <f t="shared" si="14"/>
        <v>2022-11</v>
      </c>
      <c r="C480" s="1">
        <v>44874</v>
      </c>
      <c r="D480" s="5">
        <v>0.31388888888888888</v>
      </c>
      <c r="E480">
        <v>148</v>
      </c>
      <c r="F480" t="s">
        <v>14</v>
      </c>
      <c r="G480">
        <v>52</v>
      </c>
      <c r="H480" t="s">
        <v>12</v>
      </c>
      <c r="I480">
        <v>4</v>
      </c>
      <c r="J480" s="6">
        <v>30</v>
      </c>
      <c r="K480">
        <v>10.8</v>
      </c>
      <c r="L480">
        <v>120</v>
      </c>
      <c r="M480" t="str">
        <f>IF(OR(I480="",J480="",L480=""),"Incomplete","Complete")</f>
        <v>Complete</v>
      </c>
      <c r="N480" t="str">
        <f>IF(M480="Incomplete","Not checked",IF(ROUND(I480*J480,2)=ROUND(L480,2),"Valid","Mismatch"))</f>
        <v>Valid</v>
      </c>
      <c r="O480">
        <f t="shared" si="15"/>
        <v>109.2</v>
      </c>
    </row>
    <row r="481" spans="1:15">
      <c r="A481">
        <v>536</v>
      </c>
      <c r="B481" t="str">
        <f t="shared" si="14"/>
        <v>2022-08</v>
      </c>
      <c r="C481" s="1">
        <v>44793</v>
      </c>
      <c r="D481" s="5">
        <v>0.2673611111111111</v>
      </c>
      <c r="E481">
        <v>17</v>
      </c>
      <c r="F481" t="s">
        <v>14</v>
      </c>
      <c r="G481">
        <v>55</v>
      </c>
      <c r="H481" t="s">
        <v>13</v>
      </c>
      <c r="I481">
        <v>4</v>
      </c>
      <c r="J481" s="6">
        <v>30</v>
      </c>
      <c r="K481">
        <v>8.6999999999999993</v>
      </c>
      <c r="L481">
        <v>120</v>
      </c>
      <c r="M481" t="str">
        <f>IF(OR(I481="",J481="",L481=""),"Incomplete","Complete")</f>
        <v>Complete</v>
      </c>
      <c r="N481" t="str">
        <f>IF(M481="Incomplete","Not checked",IF(ROUND(I481*J481,2)=ROUND(L481,2),"Valid","Mismatch"))</f>
        <v>Valid</v>
      </c>
      <c r="O481">
        <f t="shared" si="15"/>
        <v>111.3</v>
      </c>
    </row>
    <row r="482" spans="1:15">
      <c r="A482">
        <v>1536</v>
      </c>
      <c r="B482" t="str">
        <f t="shared" si="14"/>
        <v>2022-05</v>
      </c>
      <c r="C482" s="1">
        <v>44692</v>
      </c>
      <c r="D482" s="5">
        <v>0.30763888888888891</v>
      </c>
      <c r="E482">
        <v>14</v>
      </c>
      <c r="F482" t="s">
        <v>14</v>
      </c>
      <c r="G482">
        <v>55</v>
      </c>
      <c r="H482" t="s">
        <v>13</v>
      </c>
      <c r="I482">
        <v>4</v>
      </c>
      <c r="J482" s="6">
        <v>30</v>
      </c>
      <c r="K482">
        <v>13.5</v>
      </c>
      <c r="L482">
        <v>120</v>
      </c>
      <c r="M482" t="str">
        <f>IF(OR(I482="",J482="",L482=""),"Incomplete","Complete")</f>
        <v>Complete</v>
      </c>
      <c r="N482" t="str">
        <f>IF(M482="Incomplete","Not checked",IF(ROUND(I482*J482,2)=ROUND(L482,2),"Valid","Mismatch"))</f>
        <v>Valid</v>
      </c>
      <c r="O482">
        <f t="shared" si="15"/>
        <v>106.5</v>
      </c>
    </row>
    <row r="483" spans="1:15">
      <c r="A483">
        <v>444</v>
      </c>
      <c r="B483" t="str">
        <f t="shared" si="14"/>
        <v>2022-10</v>
      </c>
      <c r="C483" s="1">
        <v>44840</v>
      </c>
      <c r="D483" s="5">
        <v>0.29583333333333334</v>
      </c>
      <c r="E483">
        <v>51</v>
      </c>
      <c r="F483" t="s">
        <v>14</v>
      </c>
      <c r="G483">
        <v>61</v>
      </c>
      <c r="H483" t="s">
        <v>12</v>
      </c>
      <c r="I483">
        <v>3</v>
      </c>
      <c r="J483" s="6">
        <v>30</v>
      </c>
      <c r="K483">
        <v>15.9</v>
      </c>
      <c r="L483">
        <v>90</v>
      </c>
      <c r="M483" t="str">
        <f>IF(OR(I483="",J483="",L483=""),"Incomplete","Complete")</f>
        <v>Complete</v>
      </c>
      <c r="N483" t="str">
        <f>IF(M483="Incomplete","Not checked",IF(ROUND(I483*J483,2)=ROUND(L483,2),"Valid","Mismatch"))</f>
        <v>Valid</v>
      </c>
      <c r="O483">
        <f t="shared" si="15"/>
        <v>74.099999999999994</v>
      </c>
    </row>
    <row r="484" spans="1:15">
      <c r="A484">
        <v>1444</v>
      </c>
      <c r="B484" t="str">
        <f t="shared" si="14"/>
        <v>2022-04</v>
      </c>
      <c r="C484" s="1">
        <v>44680</v>
      </c>
      <c r="D484" s="5">
        <v>0.26250000000000001</v>
      </c>
      <c r="E484">
        <v>135</v>
      </c>
      <c r="F484" t="s">
        <v>14</v>
      </c>
      <c r="G484">
        <v>61</v>
      </c>
      <c r="H484" t="s">
        <v>12</v>
      </c>
      <c r="I484">
        <v>3</v>
      </c>
      <c r="J484" s="6">
        <v>30</v>
      </c>
      <c r="K484">
        <v>14.1</v>
      </c>
      <c r="L484">
        <v>90</v>
      </c>
      <c r="M484" t="str">
        <f>IF(OR(I484="",J484="",L484=""),"Incomplete","Complete")</f>
        <v>Complete</v>
      </c>
      <c r="N484" t="str">
        <f>IF(M484="Incomplete","Not checked",IF(ROUND(I484*J484,2)=ROUND(L484,2),"Valid","Mismatch"))</f>
        <v>Valid</v>
      </c>
      <c r="O484">
        <f t="shared" si="15"/>
        <v>75.900000000000006</v>
      </c>
    </row>
    <row r="485" spans="1:15">
      <c r="A485">
        <v>436</v>
      </c>
      <c r="B485" t="str">
        <f t="shared" si="14"/>
        <v>2023-10</v>
      </c>
      <c r="C485" s="1">
        <v>45221</v>
      </c>
      <c r="D485" s="5">
        <v>0.49583333333333335</v>
      </c>
      <c r="E485">
        <v>21</v>
      </c>
      <c r="F485" t="s">
        <v>14</v>
      </c>
      <c r="G485">
        <v>57</v>
      </c>
      <c r="H485" t="s">
        <v>12</v>
      </c>
      <c r="I485">
        <v>4</v>
      </c>
      <c r="J485" s="6">
        <v>30</v>
      </c>
      <c r="K485">
        <v>13.5</v>
      </c>
      <c r="L485">
        <v>120</v>
      </c>
      <c r="M485" t="str">
        <f>IF(OR(I485="",J485="",L485=""),"Incomplete","Complete")</f>
        <v>Complete</v>
      </c>
      <c r="N485" t="str">
        <f>IF(M485="Incomplete","Not checked",IF(ROUND(I485*J485,2)=ROUND(L485,2),"Valid","Mismatch"))</f>
        <v>Valid</v>
      </c>
      <c r="O485">
        <f t="shared" si="15"/>
        <v>106.5</v>
      </c>
    </row>
    <row r="486" spans="1:15">
      <c r="A486">
        <v>1436</v>
      </c>
      <c r="B486" t="str">
        <f t="shared" si="14"/>
        <v>2023-01</v>
      </c>
      <c r="C486" s="1">
        <v>44946</v>
      </c>
      <c r="D486" s="5">
        <v>0.47847222222222224</v>
      </c>
      <c r="E486">
        <v>1</v>
      </c>
      <c r="F486" t="s">
        <v>14</v>
      </c>
      <c r="G486">
        <v>57</v>
      </c>
      <c r="H486" t="s">
        <v>12</v>
      </c>
      <c r="I486">
        <v>4</v>
      </c>
      <c r="J486" s="6">
        <v>30</v>
      </c>
      <c r="K486">
        <v>9.9</v>
      </c>
      <c r="L486">
        <v>120</v>
      </c>
      <c r="M486" t="str">
        <f>IF(OR(I486="",J486="",L486=""),"Incomplete","Complete")</f>
        <v>Complete</v>
      </c>
      <c r="N486" t="str">
        <f>IF(M486="Incomplete","Not checked",IF(ROUND(I486*J486,2)=ROUND(L486,2),"Valid","Mismatch"))</f>
        <v>Valid</v>
      </c>
      <c r="O486">
        <f t="shared" si="15"/>
        <v>110.1</v>
      </c>
    </row>
    <row r="487" spans="1:15">
      <c r="A487">
        <v>659</v>
      </c>
      <c r="B487" t="str">
        <f t="shared" si="14"/>
        <v>2023-06</v>
      </c>
      <c r="C487" s="1">
        <v>45086</v>
      </c>
      <c r="D487" s="5">
        <v>0.25555555555555554</v>
      </c>
      <c r="E487">
        <v>75</v>
      </c>
      <c r="F487" t="s">
        <v>14</v>
      </c>
      <c r="G487">
        <v>39</v>
      </c>
      <c r="H487" t="s">
        <v>15</v>
      </c>
      <c r="I487">
        <v>1</v>
      </c>
      <c r="J487" s="6">
        <v>30</v>
      </c>
      <c r="K487">
        <v>8.1</v>
      </c>
      <c r="L487">
        <v>30</v>
      </c>
      <c r="M487" t="str">
        <f>IF(OR(I487="",J487="",L487=""),"Incomplete","Complete")</f>
        <v>Complete</v>
      </c>
      <c r="N487" t="str">
        <f>IF(M487="Incomplete","Not checked",IF(ROUND(I487*J487,2)=ROUND(L487,2),"Valid","Mismatch"))</f>
        <v>Valid</v>
      </c>
      <c r="O487">
        <f t="shared" si="15"/>
        <v>21.9</v>
      </c>
    </row>
    <row r="488" spans="1:15">
      <c r="A488">
        <v>1659</v>
      </c>
      <c r="B488" t="str">
        <f t="shared" si="14"/>
        <v>2023-07</v>
      </c>
      <c r="C488" s="1">
        <v>45134</v>
      </c>
      <c r="D488" s="5">
        <v>0.39513888888888887</v>
      </c>
      <c r="E488">
        <v>22</v>
      </c>
      <c r="F488" t="s">
        <v>14</v>
      </c>
      <c r="G488">
        <v>39</v>
      </c>
      <c r="H488" t="s">
        <v>15</v>
      </c>
      <c r="I488">
        <v>1</v>
      </c>
      <c r="J488" s="6">
        <v>30</v>
      </c>
      <c r="K488">
        <v>9</v>
      </c>
      <c r="L488">
        <v>30</v>
      </c>
      <c r="M488" t="str">
        <f>IF(OR(I488="",J488="",L488=""),"Incomplete","Complete")</f>
        <v>Complete</v>
      </c>
      <c r="N488" t="str">
        <f>IF(M488="Incomplete","Not checked",IF(ROUND(I488*J488,2)=ROUND(L488,2),"Valid","Mismatch"))</f>
        <v>Valid</v>
      </c>
      <c r="O488">
        <f t="shared" si="15"/>
        <v>21</v>
      </c>
    </row>
    <row r="489" spans="1:15">
      <c r="A489">
        <v>383</v>
      </c>
      <c r="B489" t="str">
        <f t="shared" si="14"/>
        <v>2023-03</v>
      </c>
      <c r="C489" s="1">
        <v>45009</v>
      </c>
      <c r="D489" s="5">
        <v>0.37013888888888891</v>
      </c>
      <c r="E489">
        <v>64</v>
      </c>
      <c r="F489" t="s">
        <v>14</v>
      </c>
      <c r="G489">
        <v>46</v>
      </c>
      <c r="H489" t="s">
        <v>13</v>
      </c>
      <c r="I489">
        <v>3</v>
      </c>
      <c r="J489" s="6">
        <v>30</v>
      </c>
      <c r="K489">
        <v>7.8</v>
      </c>
      <c r="L489">
        <v>90</v>
      </c>
      <c r="M489" t="str">
        <f>IF(OR(I489="",J489="",L489=""),"Incomplete","Complete")</f>
        <v>Complete</v>
      </c>
      <c r="N489" t="str">
        <f>IF(M489="Incomplete","Not checked",IF(ROUND(I489*J489,2)=ROUND(L489,2),"Valid","Mismatch"))</f>
        <v>Valid</v>
      </c>
      <c r="O489">
        <f t="shared" si="15"/>
        <v>82.2</v>
      </c>
    </row>
    <row r="490" spans="1:15">
      <c r="A490">
        <v>1383</v>
      </c>
      <c r="B490" t="str">
        <f t="shared" si="14"/>
        <v>2023-09</v>
      </c>
      <c r="C490" s="1">
        <v>45175</v>
      </c>
      <c r="D490" s="5">
        <v>0.3840277777777778</v>
      </c>
      <c r="E490">
        <v>68</v>
      </c>
      <c r="F490" t="s">
        <v>14</v>
      </c>
      <c r="G490">
        <v>46</v>
      </c>
      <c r="H490" t="s">
        <v>13</v>
      </c>
      <c r="I490">
        <v>3</v>
      </c>
      <c r="J490" s="6">
        <v>30</v>
      </c>
      <c r="K490">
        <v>14.1</v>
      </c>
      <c r="L490">
        <v>90</v>
      </c>
      <c r="M490" t="str">
        <f>IF(OR(I490="",J490="",L490=""),"Incomplete","Complete")</f>
        <v>Complete</v>
      </c>
      <c r="N490" t="str">
        <f>IF(M490="Incomplete","Not checked",IF(ROUND(I490*J490,2)=ROUND(L490,2),"Valid","Mismatch"))</f>
        <v>Valid</v>
      </c>
      <c r="O490">
        <f t="shared" si="15"/>
        <v>75.900000000000006</v>
      </c>
    </row>
    <row r="491" spans="1:15">
      <c r="A491">
        <v>301</v>
      </c>
      <c r="B491" t="str">
        <f t="shared" si="14"/>
        <v>2023-07</v>
      </c>
      <c r="C491" s="1">
        <v>45137</v>
      </c>
      <c r="D491" s="5">
        <v>0.45694444444444443</v>
      </c>
      <c r="E491">
        <v>104</v>
      </c>
      <c r="F491" t="s">
        <v>11</v>
      </c>
      <c r="G491">
        <v>30</v>
      </c>
      <c r="H491" t="s">
        <v>12</v>
      </c>
      <c r="I491">
        <v>4</v>
      </c>
      <c r="J491" s="6">
        <v>30</v>
      </c>
      <c r="K491">
        <v>9.6</v>
      </c>
      <c r="L491">
        <v>120</v>
      </c>
      <c r="M491" t="str">
        <f>IF(OR(I491="",J491="",L491=""),"Incomplete","Complete")</f>
        <v>Complete</v>
      </c>
      <c r="N491" t="str">
        <f>IF(M491="Incomplete","Not checked",IF(ROUND(I491*J491,2)=ROUND(L491,2),"Valid","Mismatch"))</f>
        <v>Valid</v>
      </c>
      <c r="O491">
        <f t="shared" si="15"/>
        <v>110.4</v>
      </c>
    </row>
    <row r="492" spans="1:15">
      <c r="A492">
        <v>1301</v>
      </c>
      <c r="B492" t="str">
        <f t="shared" si="14"/>
        <v>2023-09</v>
      </c>
      <c r="C492" s="1">
        <v>45193</v>
      </c>
      <c r="D492" s="5">
        <v>0.4152777777777778</v>
      </c>
      <c r="E492">
        <v>70</v>
      </c>
      <c r="F492" t="s">
        <v>11</v>
      </c>
      <c r="G492">
        <v>30</v>
      </c>
      <c r="H492" t="s">
        <v>12</v>
      </c>
      <c r="I492">
        <v>4</v>
      </c>
      <c r="J492" s="6">
        <v>30</v>
      </c>
      <c r="K492">
        <v>10.5</v>
      </c>
      <c r="L492">
        <v>120</v>
      </c>
      <c r="M492" t="str">
        <f>IF(OR(I492="",J492="",L492=""),"Incomplete","Complete")</f>
        <v>Complete</v>
      </c>
      <c r="N492" t="str">
        <f>IF(M492="Incomplete","Not checked",IF(ROUND(I492*J492,2)=ROUND(L492,2),"Valid","Mismatch"))</f>
        <v>Valid</v>
      </c>
      <c r="O492">
        <f t="shared" si="15"/>
        <v>109.5</v>
      </c>
    </row>
    <row r="493" spans="1:15">
      <c r="A493">
        <v>294</v>
      </c>
      <c r="B493" t="str">
        <f t="shared" si="14"/>
        <v>2023-10</v>
      </c>
      <c r="C493" s="1">
        <v>45208</v>
      </c>
      <c r="D493" s="5">
        <v>0.39166666666666666</v>
      </c>
      <c r="E493">
        <v>89</v>
      </c>
      <c r="F493" t="s">
        <v>14</v>
      </c>
      <c r="G493">
        <v>23</v>
      </c>
      <c r="H493" t="s">
        <v>12</v>
      </c>
      <c r="I493">
        <v>3</v>
      </c>
      <c r="J493" s="6">
        <v>30</v>
      </c>
      <c r="K493">
        <v>15.3</v>
      </c>
      <c r="L493">
        <v>90</v>
      </c>
      <c r="M493" t="str">
        <f>IF(OR(I493="",J493="",L493=""),"Incomplete","Complete")</f>
        <v>Complete</v>
      </c>
      <c r="N493" t="str">
        <f>IF(M493="Incomplete","Not checked",IF(ROUND(I493*J493,2)=ROUND(L493,2),"Valid","Mismatch"))</f>
        <v>Valid</v>
      </c>
      <c r="O493">
        <f t="shared" si="15"/>
        <v>74.7</v>
      </c>
    </row>
    <row r="494" spans="1:15">
      <c r="A494">
        <v>1294</v>
      </c>
      <c r="B494" t="str">
        <f t="shared" si="14"/>
        <v>2023-01</v>
      </c>
      <c r="C494" s="1">
        <v>44950</v>
      </c>
      <c r="D494" s="5">
        <v>0.47499999999999998</v>
      </c>
      <c r="E494">
        <v>8</v>
      </c>
      <c r="F494" t="s">
        <v>14</v>
      </c>
      <c r="G494">
        <v>23</v>
      </c>
      <c r="H494" t="s">
        <v>12</v>
      </c>
      <c r="I494">
        <v>3</v>
      </c>
      <c r="J494" s="6">
        <v>30</v>
      </c>
      <c r="K494">
        <v>10.5</v>
      </c>
      <c r="L494">
        <v>90</v>
      </c>
      <c r="M494" t="str">
        <f>IF(OR(I494="",J494="",L494=""),"Incomplete","Complete")</f>
        <v>Complete</v>
      </c>
      <c r="N494" t="str">
        <f>IF(M494="Incomplete","Not checked",IF(ROUND(I494*J494,2)=ROUND(L494,2),"Valid","Mismatch"))</f>
        <v>Valid</v>
      </c>
      <c r="O494">
        <f t="shared" si="15"/>
        <v>79.5</v>
      </c>
    </row>
    <row r="495" spans="1:15">
      <c r="A495">
        <v>719</v>
      </c>
      <c r="B495" t="str">
        <f t="shared" si="14"/>
        <v>2023-07</v>
      </c>
      <c r="C495" s="1">
        <v>45109</v>
      </c>
      <c r="D495" s="5">
        <v>0.30486111111111114</v>
      </c>
      <c r="E495">
        <v>37</v>
      </c>
      <c r="F495" t="s">
        <v>14</v>
      </c>
      <c r="G495">
        <v>42</v>
      </c>
      <c r="H495" t="s">
        <v>12</v>
      </c>
      <c r="I495">
        <v>2</v>
      </c>
      <c r="J495" s="6">
        <v>30</v>
      </c>
      <c r="K495">
        <v>12</v>
      </c>
      <c r="L495">
        <v>60</v>
      </c>
      <c r="M495" t="str">
        <f>IF(OR(I495="",J495="",L495=""),"Incomplete","Complete")</f>
        <v>Complete</v>
      </c>
      <c r="N495" t="str">
        <f>IF(M495="Incomplete","Not checked",IF(ROUND(I495*J495,2)=ROUND(L495,2),"Valid","Mismatch"))</f>
        <v>Valid</v>
      </c>
      <c r="O495">
        <f t="shared" si="15"/>
        <v>48</v>
      </c>
    </row>
    <row r="496" spans="1:15">
      <c r="A496">
        <v>834</v>
      </c>
      <c r="B496" t="str">
        <f t="shared" si="14"/>
        <v>2023-11</v>
      </c>
      <c r="C496" s="1">
        <v>45256</v>
      </c>
      <c r="D496" s="5">
        <v>0.28819444444444442</v>
      </c>
      <c r="E496">
        <v>13</v>
      </c>
      <c r="F496" t="s">
        <v>14</v>
      </c>
      <c r="G496">
        <v>56</v>
      </c>
      <c r="H496" t="s">
        <v>13</v>
      </c>
      <c r="I496">
        <v>2</v>
      </c>
      <c r="J496" s="6">
        <v>30</v>
      </c>
      <c r="K496">
        <v>14.7</v>
      </c>
      <c r="L496">
        <v>60</v>
      </c>
      <c r="M496" t="str">
        <f>IF(OR(I496="",J496="",L496=""),"Incomplete","Complete")</f>
        <v>Complete</v>
      </c>
      <c r="N496" t="str">
        <f>IF(M496="Incomplete","Not checked",IF(ROUND(I496*J496,2)=ROUND(L496,2),"Valid","Mismatch"))</f>
        <v>Valid</v>
      </c>
      <c r="O496">
        <f t="shared" si="15"/>
        <v>45.3</v>
      </c>
    </row>
    <row r="497" spans="1:15">
      <c r="A497">
        <v>1719</v>
      </c>
      <c r="B497" t="str">
        <f t="shared" si="14"/>
        <v>2023-12</v>
      </c>
      <c r="C497" s="1">
        <v>45288</v>
      </c>
      <c r="D497" s="5">
        <v>0.31180555555555556</v>
      </c>
      <c r="E497">
        <v>4</v>
      </c>
      <c r="F497" t="s">
        <v>14</v>
      </c>
      <c r="G497">
        <v>42</v>
      </c>
      <c r="H497" t="s">
        <v>12</v>
      </c>
      <c r="I497">
        <v>2</v>
      </c>
      <c r="J497" s="6">
        <v>30</v>
      </c>
      <c r="K497">
        <v>10.8</v>
      </c>
      <c r="L497">
        <v>60</v>
      </c>
      <c r="M497" t="str">
        <f>IF(OR(I497="",J497="",L497=""),"Incomplete","Complete")</f>
        <v>Complete</v>
      </c>
      <c r="N497" t="str">
        <f>IF(M497="Incomplete","Not checked",IF(ROUND(I497*J497,2)=ROUND(L497,2),"Valid","Mismatch"))</f>
        <v>Valid</v>
      </c>
      <c r="O497">
        <f t="shared" si="15"/>
        <v>49.2</v>
      </c>
    </row>
    <row r="498" spans="1:15">
      <c r="A498">
        <v>1834</v>
      </c>
      <c r="B498" t="str">
        <f t="shared" si="14"/>
        <v>2023-04</v>
      </c>
      <c r="C498" s="1">
        <v>45030</v>
      </c>
      <c r="D498" s="5">
        <v>0.28680555555555554</v>
      </c>
      <c r="E498">
        <v>102</v>
      </c>
      <c r="F498" t="s">
        <v>14</v>
      </c>
      <c r="G498">
        <v>56</v>
      </c>
      <c r="H498" t="s">
        <v>13</v>
      </c>
      <c r="I498">
        <v>2</v>
      </c>
      <c r="J498" s="6">
        <v>30</v>
      </c>
      <c r="K498">
        <v>12.9</v>
      </c>
      <c r="L498">
        <v>60</v>
      </c>
      <c r="M498" t="str">
        <f>IF(OR(I498="",J498="",L498=""),"Incomplete","Complete")</f>
        <v>Complete</v>
      </c>
      <c r="N498" t="str">
        <f>IF(M498="Incomplete","Not checked",IF(ROUND(I498*J498,2)=ROUND(L498,2),"Valid","Mismatch"))</f>
        <v>Valid</v>
      </c>
      <c r="O498">
        <f t="shared" si="15"/>
        <v>47.1</v>
      </c>
    </row>
    <row r="499" spans="1:15">
      <c r="A499">
        <v>255</v>
      </c>
      <c r="B499" t="str">
        <f t="shared" si="14"/>
        <v>2023-10</v>
      </c>
      <c r="C499" s="1">
        <v>45214</v>
      </c>
      <c r="D499" s="5">
        <v>0.48888888888888887</v>
      </c>
      <c r="E499">
        <v>19</v>
      </c>
      <c r="F499" t="s">
        <v>11</v>
      </c>
      <c r="G499">
        <v>48</v>
      </c>
      <c r="H499" t="s">
        <v>12</v>
      </c>
      <c r="I499">
        <v>1</v>
      </c>
      <c r="J499" s="6">
        <v>30</v>
      </c>
      <c r="K499">
        <v>14.7</v>
      </c>
      <c r="L499">
        <v>30</v>
      </c>
      <c r="M499" t="str">
        <f>IF(OR(I499="",J499="",L499=""),"Incomplete","Complete")</f>
        <v>Complete</v>
      </c>
      <c r="N499" t="str">
        <f>IF(M499="Incomplete","Not checked",IF(ROUND(I499*J499,2)=ROUND(L499,2),"Valid","Mismatch"))</f>
        <v>Valid</v>
      </c>
      <c r="O499">
        <f t="shared" si="15"/>
        <v>15.3</v>
      </c>
    </row>
    <row r="500" spans="1:15">
      <c r="A500">
        <v>314</v>
      </c>
      <c r="B500" t="str">
        <f t="shared" si="14"/>
        <v>2023-10</v>
      </c>
      <c r="C500" s="1">
        <v>45214</v>
      </c>
      <c r="D500" s="5">
        <v>0.31736111111111109</v>
      </c>
      <c r="E500">
        <v>1</v>
      </c>
      <c r="F500" t="s">
        <v>11</v>
      </c>
      <c r="G500">
        <v>52</v>
      </c>
      <c r="H500" t="s">
        <v>12</v>
      </c>
      <c r="I500">
        <v>4</v>
      </c>
      <c r="J500" s="6">
        <v>30</v>
      </c>
      <c r="K500">
        <v>7.8</v>
      </c>
      <c r="L500">
        <v>120</v>
      </c>
      <c r="M500" t="str">
        <f>IF(OR(I500="",J500="",L500=""),"Incomplete","Complete")</f>
        <v>Complete</v>
      </c>
      <c r="N500" t="str">
        <f>IF(M500="Incomplete","Not checked",IF(ROUND(I500*J500,2)=ROUND(L500,2),"Valid","Mismatch"))</f>
        <v>Valid</v>
      </c>
      <c r="O500">
        <f t="shared" si="15"/>
        <v>112.2</v>
      </c>
    </row>
    <row r="501" spans="1:15">
      <c r="A501">
        <v>1255</v>
      </c>
      <c r="B501" t="str">
        <f t="shared" si="14"/>
        <v>2023-01</v>
      </c>
      <c r="C501" s="1">
        <v>44946</v>
      </c>
      <c r="D501" s="5">
        <v>0.29722222222222222</v>
      </c>
      <c r="E501">
        <v>4</v>
      </c>
      <c r="F501" t="s">
        <v>11</v>
      </c>
      <c r="G501">
        <v>48</v>
      </c>
      <c r="H501" t="s">
        <v>12</v>
      </c>
      <c r="I501">
        <v>1</v>
      </c>
      <c r="J501" s="6">
        <v>30</v>
      </c>
      <c r="K501">
        <v>7.8</v>
      </c>
      <c r="L501">
        <v>30</v>
      </c>
      <c r="M501" t="str">
        <f>IF(OR(I501="",J501="",L501=""),"Incomplete","Complete")</f>
        <v>Complete</v>
      </c>
      <c r="N501" t="str">
        <f>IF(M501="Incomplete","Not checked",IF(ROUND(I501*J501,2)=ROUND(L501,2),"Valid","Mismatch"))</f>
        <v>Valid</v>
      </c>
      <c r="O501">
        <f t="shared" si="15"/>
        <v>22.2</v>
      </c>
    </row>
    <row r="502" spans="1:15">
      <c r="A502">
        <v>1314</v>
      </c>
      <c r="B502" t="str">
        <f t="shared" si="14"/>
        <v>2023-05</v>
      </c>
      <c r="C502" s="1">
        <v>45069</v>
      </c>
      <c r="D502" s="5">
        <v>0.43472222222222223</v>
      </c>
      <c r="E502">
        <v>2</v>
      </c>
      <c r="F502" t="s">
        <v>11</v>
      </c>
      <c r="G502">
        <v>52</v>
      </c>
      <c r="H502" t="s">
        <v>12</v>
      </c>
      <c r="I502">
        <v>4</v>
      </c>
      <c r="J502" s="6">
        <v>30</v>
      </c>
      <c r="K502">
        <v>16.2</v>
      </c>
      <c r="L502">
        <v>120</v>
      </c>
      <c r="M502" t="str">
        <f>IF(OR(I502="",J502="",L502=""),"Incomplete","Complete")</f>
        <v>Complete</v>
      </c>
      <c r="N502" t="str">
        <f>IF(M502="Incomplete","Not checked",IF(ROUND(I502*J502,2)=ROUND(L502,2),"Valid","Mismatch"))</f>
        <v>Valid</v>
      </c>
      <c r="O502">
        <f t="shared" si="15"/>
        <v>103.8</v>
      </c>
    </row>
    <row r="503" spans="1:15">
      <c r="A503">
        <v>548</v>
      </c>
      <c r="B503" t="str">
        <f t="shared" si="14"/>
        <v>2023-04</v>
      </c>
      <c r="C503" s="1">
        <v>45030</v>
      </c>
      <c r="D503" s="5">
        <v>0.29166666666666669</v>
      </c>
      <c r="E503">
        <v>4</v>
      </c>
      <c r="F503" t="s">
        <v>14</v>
      </c>
      <c r="G503">
        <v>51</v>
      </c>
      <c r="H503" t="s">
        <v>12</v>
      </c>
      <c r="I503">
        <v>2</v>
      </c>
      <c r="J503" s="6">
        <v>30</v>
      </c>
      <c r="K503">
        <v>15.6</v>
      </c>
      <c r="L503">
        <v>60</v>
      </c>
      <c r="M503" t="str">
        <f>IF(OR(I503="",J503="",L503=""),"Incomplete","Complete")</f>
        <v>Complete</v>
      </c>
      <c r="N503" t="str">
        <f>IF(M503="Incomplete","Not checked",IF(ROUND(I503*J503,2)=ROUND(L503,2),"Valid","Mismatch"))</f>
        <v>Valid</v>
      </c>
      <c r="O503">
        <f t="shared" si="15"/>
        <v>44.4</v>
      </c>
    </row>
    <row r="504" spans="1:15">
      <c r="A504">
        <v>1548</v>
      </c>
      <c r="B504" t="str">
        <f t="shared" si="14"/>
        <v>2023-01</v>
      </c>
      <c r="C504" s="1">
        <v>44939</v>
      </c>
      <c r="D504" s="5">
        <v>0.34375</v>
      </c>
      <c r="E504">
        <v>1</v>
      </c>
      <c r="F504" t="s">
        <v>14</v>
      </c>
      <c r="G504">
        <v>51</v>
      </c>
      <c r="H504" t="s">
        <v>12</v>
      </c>
      <c r="I504">
        <v>2</v>
      </c>
      <c r="J504" s="6">
        <v>30</v>
      </c>
      <c r="K504">
        <v>12.6</v>
      </c>
      <c r="L504">
        <v>60</v>
      </c>
      <c r="M504" t="str">
        <f>IF(OR(I504="",J504="",L504=""),"Incomplete","Complete")</f>
        <v>Complete</v>
      </c>
      <c r="N504" t="str">
        <f>IF(M504="Incomplete","Not checked",IF(ROUND(I504*J504,2)=ROUND(L504,2),"Valid","Mismatch"))</f>
        <v>Valid</v>
      </c>
      <c r="O504">
        <f t="shared" si="15"/>
        <v>47.4</v>
      </c>
    </row>
    <row r="505" spans="1:15">
      <c r="A505">
        <v>601</v>
      </c>
      <c r="B505" t="str">
        <f t="shared" si="14"/>
        <v>2023-06</v>
      </c>
      <c r="C505" s="1">
        <v>45082</v>
      </c>
      <c r="D505" s="5">
        <v>0.39097222222222222</v>
      </c>
      <c r="E505">
        <v>5</v>
      </c>
      <c r="F505" t="s">
        <v>11</v>
      </c>
      <c r="G505">
        <v>19</v>
      </c>
      <c r="H505" t="s">
        <v>12</v>
      </c>
      <c r="I505">
        <v>1</v>
      </c>
      <c r="J505" s="6">
        <v>30</v>
      </c>
      <c r="K505">
        <v>13.2</v>
      </c>
      <c r="L505">
        <v>30</v>
      </c>
      <c r="M505" t="str">
        <f>IF(OR(I505="",J505="",L505=""),"Incomplete","Complete")</f>
        <v>Complete</v>
      </c>
      <c r="N505" t="str">
        <f>IF(M505="Incomplete","Not checked",IF(ROUND(I505*J505,2)=ROUND(L505,2),"Valid","Mismatch"))</f>
        <v>Valid</v>
      </c>
      <c r="O505">
        <f t="shared" si="15"/>
        <v>16.8</v>
      </c>
    </row>
    <row r="506" spans="1:15">
      <c r="A506">
        <v>901</v>
      </c>
      <c r="B506" t="str">
        <f t="shared" si="14"/>
        <v>2023-08</v>
      </c>
      <c r="C506" s="1">
        <v>45140</v>
      </c>
      <c r="D506" s="5">
        <v>0.27638888888888891</v>
      </c>
      <c r="E506">
        <v>2</v>
      </c>
      <c r="F506" t="s">
        <v>11</v>
      </c>
      <c r="G506">
        <v>31</v>
      </c>
      <c r="H506" t="s">
        <v>15</v>
      </c>
      <c r="I506">
        <v>1</v>
      </c>
      <c r="J506" s="6">
        <v>30</v>
      </c>
      <c r="K506">
        <v>12</v>
      </c>
      <c r="L506">
        <v>30</v>
      </c>
      <c r="M506" t="str">
        <f>IF(OR(I506="",J506="",L506=""),"Incomplete","Complete")</f>
        <v>Complete</v>
      </c>
      <c r="N506" t="str">
        <f>IF(M506="Incomplete","Not checked",IF(ROUND(I506*J506,2)=ROUND(L506,2),"Valid","Mismatch"))</f>
        <v>Valid</v>
      </c>
      <c r="O506">
        <f t="shared" si="15"/>
        <v>18</v>
      </c>
    </row>
    <row r="507" spans="1:15">
      <c r="A507">
        <v>1601</v>
      </c>
      <c r="B507" t="str">
        <f t="shared" si="14"/>
        <v>2023-09</v>
      </c>
      <c r="C507" s="1">
        <v>45183</v>
      </c>
      <c r="D507" s="5">
        <v>0.49166666666666664</v>
      </c>
      <c r="E507">
        <v>1</v>
      </c>
      <c r="F507" t="s">
        <v>11</v>
      </c>
      <c r="G507">
        <v>19</v>
      </c>
      <c r="H507" t="s">
        <v>12</v>
      </c>
      <c r="I507">
        <v>1</v>
      </c>
      <c r="J507" s="6">
        <v>30</v>
      </c>
      <c r="K507">
        <v>13.5</v>
      </c>
      <c r="L507">
        <v>30</v>
      </c>
      <c r="M507" t="str">
        <f>IF(OR(I507="",J507="",L507=""),"Incomplete","Complete")</f>
        <v>Complete</v>
      </c>
      <c r="N507" t="str">
        <f>IF(M507="Incomplete","Not checked",IF(ROUND(I507*J507,2)=ROUND(L507,2),"Valid","Mismatch"))</f>
        <v>Valid</v>
      </c>
      <c r="O507">
        <f t="shared" si="15"/>
        <v>16.5</v>
      </c>
    </row>
    <row r="508" spans="1:15">
      <c r="A508">
        <v>1901</v>
      </c>
      <c r="B508" t="str">
        <f t="shared" si="14"/>
        <v>2023-11</v>
      </c>
      <c r="C508" s="1">
        <v>45259</v>
      </c>
      <c r="D508" s="5">
        <v>0.46180555555555558</v>
      </c>
      <c r="E508">
        <v>4</v>
      </c>
      <c r="F508" t="s">
        <v>11</v>
      </c>
      <c r="G508">
        <v>31</v>
      </c>
      <c r="H508" t="s">
        <v>15</v>
      </c>
      <c r="I508">
        <v>1</v>
      </c>
      <c r="J508" s="6">
        <v>30</v>
      </c>
      <c r="K508">
        <v>8.4</v>
      </c>
      <c r="L508">
        <v>30</v>
      </c>
      <c r="M508" t="str">
        <f>IF(OR(I508="",J508="",L508=""),"Incomplete","Complete")</f>
        <v>Complete</v>
      </c>
      <c r="N508" t="str">
        <f>IF(M508="Incomplete","Not checked",IF(ROUND(I508*J508,2)=ROUND(L508,2),"Valid","Mismatch"))</f>
        <v>Valid</v>
      </c>
      <c r="O508">
        <f t="shared" si="15"/>
        <v>21.6</v>
      </c>
    </row>
    <row r="509" spans="1:15">
      <c r="A509">
        <v>23</v>
      </c>
      <c r="B509" t="str">
        <f t="shared" si="14"/>
        <v>2023-09</v>
      </c>
      <c r="C509" s="1">
        <v>45197</v>
      </c>
      <c r="D509" s="5">
        <v>0.2951388888888889</v>
      </c>
      <c r="E509">
        <v>4</v>
      </c>
      <c r="F509" t="s">
        <v>14</v>
      </c>
      <c r="G509">
        <v>35</v>
      </c>
      <c r="H509" t="s">
        <v>12</v>
      </c>
      <c r="I509">
        <v>4</v>
      </c>
      <c r="J509" s="6">
        <v>30</v>
      </c>
      <c r="K509">
        <v>14.7</v>
      </c>
      <c r="L509">
        <v>120</v>
      </c>
      <c r="M509" t="str">
        <f>IF(OR(I509="",J509="",L509=""),"Incomplete","Complete")</f>
        <v>Complete</v>
      </c>
      <c r="N509" t="str">
        <f>IF(M509="Incomplete","Not checked",IF(ROUND(I509*J509,2)=ROUND(L509,2),"Valid","Mismatch"))</f>
        <v>Valid</v>
      </c>
      <c r="O509">
        <f t="shared" si="15"/>
        <v>105.3</v>
      </c>
    </row>
    <row r="510" spans="1:15">
      <c r="A510">
        <v>1000</v>
      </c>
      <c r="B510" t="str">
        <f t="shared" si="14"/>
        <v>2023-04</v>
      </c>
      <c r="C510" s="1">
        <v>45017</v>
      </c>
      <c r="D510" s="5">
        <v>0.43194444444444446</v>
      </c>
      <c r="E510">
        <v>1</v>
      </c>
      <c r="F510" t="s">
        <v>11</v>
      </c>
      <c r="G510">
        <v>47</v>
      </c>
      <c r="H510" t="s">
        <v>15</v>
      </c>
      <c r="I510">
        <v>4</v>
      </c>
      <c r="J510" s="6">
        <v>30</v>
      </c>
      <c r="K510">
        <v>8.4</v>
      </c>
      <c r="L510">
        <v>120</v>
      </c>
      <c r="M510" t="str">
        <f>IF(OR(I510="",J510="",L510=""),"Incomplete","Complete")</f>
        <v>Complete</v>
      </c>
      <c r="N510" t="str">
        <f>IF(M510="Incomplete","Not checked",IF(ROUND(I510*J510,2)=ROUND(L510,2),"Valid","Mismatch"))</f>
        <v>Valid</v>
      </c>
      <c r="O510">
        <f t="shared" si="15"/>
        <v>111.6</v>
      </c>
    </row>
    <row r="511" spans="1:15">
      <c r="A511">
        <v>1023</v>
      </c>
      <c r="B511" t="str">
        <f t="shared" si="14"/>
        <v>2023-05</v>
      </c>
      <c r="C511" s="1">
        <v>45069</v>
      </c>
      <c r="D511" s="5">
        <v>0.3611111111111111</v>
      </c>
      <c r="E511">
        <v>5</v>
      </c>
      <c r="F511" t="s">
        <v>14</v>
      </c>
      <c r="G511">
        <v>35</v>
      </c>
      <c r="H511" t="s">
        <v>12</v>
      </c>
      <c r="I511">
        <v>4</v>
      </c>
      <c r="J511" s="6">
        <v>30</v>
      </c>
      <c r="K511">
        <v>8.1</v>
      </c>
      <c r="L511">
        <v>120</v>
      </c>
      <c r="M511" t="str">
        <f>IF(OR(I511="",J511="",L511=""),"Incomplete","Complete")</f>
        <v>Complete</v>
      </c>
      <c r="N511" t="str">
        <f>IF(M511="Incomplete","Not checked",IF(ROUND(I511*J511,2)=ROUND(L511,2),"Valid","Mismatch"))</f>
        <v>Valid</v>
      </c>
      <c r="O511">
        <f t="shared" si="15"/>
        <v>111.9</v>
      </c>
    </row>
    <row r="512" spans="1:15">
      <c r="A512">
        <v>2000</v>
      </c>
      <c r="B512" t="str">
        <f t="shared" si="14"/>
        <v>2023-03</v>
      </c>
      <c r="C512" s="1">
        <v>45016</v>
      </c>
      <c r="D512" s="5">
        <v>0.27638888888888891</v>
      </c>
      <c r="E512">
        <v>4</v>
      </c>
      <c r="F512" t="s">
        <v>11</v>
      </c>
      <c r="G512">
        <v>47</v>
      </c>
      <c r="H512" t="s">
        <v>15</v>
      </c>
      <c r="I512">
        <v>4</v>
      </c>
      <c r="J512" s="6">
        <v>30</v>
      </c>
      <c r="K512">
        <v>10.8</v>
      </c>
      <c r="L512">
        <v>120</v>
      </c>
      <c r="M512" t="str">
        <f>IF(OR(I512="",J512="",L512=""),"Incomplete","Complete")</f>
        <v>Complete</v>
      </c>
      <c r="N512" t="str">
        <f>IF(M512="Incomplete","Not checked",IF(ROUND(I512*J512,2)=ROUND(L512,2),"Valid","Mismatch"))</f>
        <v>Valid</v>
      </c>
      <c r="O512">
        <f t="shared" si="15"/>
        <v>109.2</v>
      </c>
    </row>
    <row r="513" spans="1:15">
      <c r="A513">
        <v>478</v>
      </c>
      <c r="B513" t="str">
        <f t="shared" si="14"/>
        <v>2023-07</v>
      </c>
      <c r="C513" s="1">
        <v>45131</v>
      </c>
      <c r="D513" s="5">
        <v>0.46736111111111112</v>
      </c>
      <c r="E513">
        <v>3</v>
      </c>
      <c r="F513" t="s">
        <v>14</v>
      </c>
      <c r="G513">
        <v>58</v>
      </c>
      <c r="H513" t="s">
        <v>12</v>
      </c>
      <c r="I513">
        <v>2</v>
      </c>
      <c r="J513" s="6">
        <v>30</v>
      </c>
      <c r="K513">
        <v>8.1</v>
      </c>
      <c r="L513">
        <v>60</v>
      </c>
      <c r="M513" t="str">
        <f>IF(OR(I513="",J513="",L513=""),"Incomplete","Complete")</f>
        <v>Complete</v>
      </c>
      <c r="N513" t="str">
        <f>IF(M513="Incomplete","Not checked",IF(ROUND(I513*J513,2)=ROUND(L513,2),"Valid","Mismatch"))</f>
        <v>Valid</v>
      </c>
      <c r="O513">
        <f t="shared" si="15"/>
        <v>51.9</v>
      </c>
    </row>
    <row r="514" spans="1:15">
      <c r="A514">
        <v>1478</v>
      </c>
      <c r="B514" t="str">
        <f t="shared" ref="B514:B577" si="16">TEXT(C514,"yyyy-mm")</f>
        <v>2023-08</v>
      </c>
      <c r="C514" s="1">
        <v>45169</v>
      </c>
      <c r="D514" s="5">
        <v>0.38750000000000001</v>
      </c>
      <c r="E514">
        <v>1</v>
      </c>
      <c r="F514" t="s">
        <v>14</v>
      </c>
      <c r="G514">
        <v>58</v>
      </c>
      <c r="H514" t="s">
        <v>12</v>
      </c>
      <c r="I514">
        <v>2</v>
      </c>
      <c r="J514" s="6">
        <v>30</v>
      </c>
      <c r="K514">
        <v>13.5</v>
      </c>
      <c r="L514">
        <v>60</v>
      </c>
      <c r="M514" t="str">
        <f>IF(OR(I514="",J514="",L514=""),"Incomplete","Complete")</f>
        <v>Complete</v>
      </c>
      <c r="N514" t="str">
        <f>IF(M514="Incomplete","Not checked",IF(ROUND(I514*J514,2)=ROUND(L514,2),"Valid","Mismatch"))</f>
        <v>Valid</v>
      </c>
      <c r="O514">
        <f t="shared" ref="O514:O577" si="17">IF(M514="Incomplete","",L514-K514)</f>
        <v>46.5</v>
      </c>
    </row>
    <row r="515" spans="1:15">
      <c r="A515">
        <v>39</v>
      </c>
      <c r="B515" t="str">
        <f t="shared" si="16"/>
        <v>2023-07</v>
      </c>
      <c r="C515" s="1">
        <v>45118</v>
      </c>
      <c r="D515" s="5">
        <v>0.94722222222222219</v>
      </c>
      <c r="E515">
        <v>5</v>
      </c>
      <c r="F515" t="s">
        <v>11</v>
      </c>
      <c r="G515">
        <v>23</v>
      </c>
      <c r="H515" t="s">
        <v>12</v>
      </c>
      <c r="I515">
        <v>4</v>
      </c>
      <c r="J515" s="6">
        <v>30</v>
      </c>
      <c r="K515">
        <v>8.6999999999999993</v>
      </c>
      <c r="L515">
        <v>120</v>
      </c>
      <c r="M515" t="str">
        <f>IF(OR(I515="",J515="",L515=""),"Incomplete","Complete")</f>
        <v>Complete</v>
      </c>
      <c r="N515" t="str">
        <f>IF(M515="Incomplete","Not checked",IF(ROUND(I515*J515,2)=ROUND(L515,2),"Valid","Mismatch"))</f>
        <v>Valid</v>
      </c>
      <c r="O515">
        <f t="shared" si="17"/>
        <v>111.3</v>
      </c>
    </row>
    <row r="516" spans="1:15">
      <c r="A516">
        <v>1039</v>
      </c>
      <c r="B516" t="str">
        <f t="shared" si="16"/>
        <v>2023-12</v>
      </c>
      <c r="C516" s="1">
        <v>45263</v>
      </c>
      <c r="D516" s="5">
        <v>0.83402777777777781</v>
      </c>
      <c r="E516">
        <v>1</v>
      </c>
      <c r="F516" t="s">
        <v>11</v>
      </c>
      <c r="G516">
        <v>23</v>
      </c>
      <c r="H516" t="s">
        <v>12</v>
      </c>
      <c r="I516">
        <v>4</v>
      </c>
      <c r="J516" s="6">
        <v>30</v>
      </c>
      <c r="K516">
        <v>13.8</v>
      </c>
      <c r="L516">
        <v>120</v>
      </c>
      <c r="M516" t="str">
        <f>IF(OR(I516="",J516="",L516=""),"Incomplete","Complete")</f>
        <v>Complete</v>
      </c>
      <c r="N516" t="str">
        <f>IF(M516="Incomplete","Not checked",IF(ROUND(I516*J516,2)=ROUND(L516,2),"Valid","Mismatch"))</f>
        <v>Valid</v>
      </c>
      <c r="O516">
        <f t="shared" si="17"/>
        <v>106.2</v>
      </c>
    </row>
    <row r="517" spans="1:15">
      <c r="A517">
        <v>613</v>
      </c>
      <c r="B517" t="str">
        <f t="shared" si="16"/>
        <v>2023-05</v>
      </c>
      <c r="C517" s="1">
        <v>45054</v>
      </c>
      <c r="D517" s="5">
        <v>0.72430555555555554</v>
      </c>
      <c r="E517">
        <v>2</v>
      </c>
      <c r="F517" t="s">
        <v>14</v>
      </c>
      <c r="G517">
        <v>52</v>
      </c>
      <c r="H517" t="s">
        <v>12</v>
      </c>
      <c r="I517">
        <v>3</v>
      </c>
      <c r="J517" s="6">
        <v>30</v>
      </c>
      <c r="K517">
        <v>11.4</v>
      </c>
      <c r="L517">
        <v>90</v>
      </c>
      <c r="M517" t="str">
        <f>IF(OR(I517="",J517="",L517=""),"Incomplete","Complete")</f>
        <v>Complete</v>
      </c>
      <c r="N517" t="str">
        <f>IF(M517="Incomplete","Not checked",IF(ROUND(I517*J517,2)=ROUND(L517,2),"Valid","Mismatch"))</f>
        <v>Valid</v>
      </c>
      <c r="O517">
        <f t="shared" si="17"/>
        <v>78.599999999999994</v>
      </c>
    </row>
    <row r="518" spans="1:15">
      <c r="A518">
        <v>691</v>
      </c>
      <c r="B518" t="str">
        <f t="shared" si="16"/>
        <v>2023-05</v>
      </c>
      <c r="C518" s="1">
        <v>45058</v>
      </c>
      <c r="D518" s="5">
        <v>0.88124999999999998</v>
      </c>
      <c r="E518">
        <v>5</v>
      </c>
      <c r="F518" t="s">
        <v>14</v>
      </c>
      <c r="G518">
        <v>51</v>
      </c>
      <c r="H518" t="s">
        <v>12</v>
      </c>
      <c r="I518">
        <v>3</v>
      </c>
      <c r="J518" s="6">
        <v>30</v>
      </c>
      <c r="K518">
        <v>14.7</v>
      </c>
      <c r="L518">
        <v>90</v>
      </c>
      <c r="M518" t="str">
        <f>IF(OR(I518="",J518="",L518=""),"Incomplete","Complete")</f>
        <v>Complete</v>
      </c>
      <c r="N518" t="str">
        <f>IF(M518="Incomplete","Not checked",IF(ROUND(I518*J518,2)=ROUND(L518,2),"Valid","Mismatch"))</f>
        <v>Valid</v>
      </c>
      <c r="O518">
        <f t="shared" si="17"/>
        <v>75.3</v>
      </c>
    </row>
    <row r="519" spans="1:15">
      <c r="A519">
        <v>1613</v>
      </c>
      <c r="B519" t="str">
        <f t="shared" si="16"/>
        <v>2023-12</v>
      </c>
      <c r="C519" s="1">
        <v>45274</v>
      </c>
      <c r="D519" s="5">
        <v>0.91527777777777775</v>
      </c>
      <c r="E519">
        <v>4</v>
      </c>
      <c r="F519" t="s">
        <v>14</v>
      </c>
      <c r="G519">
        <v>52</v>
      </c>
      <c r="H519" t="s">
        <v>12</v>
      </c>
      <c r="I519">
        <v>3</v>
      </c>
      <c r="J519" s="6">
        <v>30</v>
      </c>
      <c r="K519">
        <v>9.9</v>
      </c>
      <c r="L519">
        <v>90</v>
      </c>
      <c r="M519" t="str">
        <f>IF(OR(I519="",J519="",L519=""),"Incomplete","Complete")</f>
        <v>Complete</v>
      </c>
      <c r="N519" t="str">
        <f>IF(M519="Incomplete","Not checked",IF(ROUND(I519*J519,2)=ROUND(L519,2),"Valid","Mismatch"))</f>
        <v>Valid</v>
      </c>
      <c r="O519">
        <f t="shared" si="17"/>
        <v>80.099999999999994</v>
      </c>
    </row>
    <row r="520" spans="1:15">
      <c r="A520">
        <v>1691</v>
      </c>
      <c r="B520" t="str">
        <f t="shared" si="16"/>
        <v>2023-01</v>
      </c>
      <c r="C520" s="1">
        <v>44933</v>
      </c>
      <c r="D520" s="5">
        <v>0.83402777777777781</v>
      </c>
      <c r="E520">
        <v>1</v>
      </c>
      <c r="F520" t="s">
        <v>14</v>
      </c>
      <c r="G520">
        <v>51</v>
      </c>
      <c r="H520" t="s">
        <v>12</v>
      </c>
      <c r="I520">
        <v>3</v>
      </c>
      <c r="J520" s="6">
        <v>30</v>
      </c>
      <c r="K520">
        <v>13.5</v>
      </c>
      <c r="L520">
        <v>90</v>
      </c>
      <c r="M520" t="str">
        <f>IF(OR(I520="",J520="",L520=""),"Incomplete","Complete")</f>
        <v>Complete</v>
      </c>
      <c r="N520" t="str">
        <f>IF(M520="Incomplete","Not checked",IF(ROUND(I520*J520,2)=ROUND(L520,2),"Valid","Mismatch"))</f>
        <v>Valid</v>
      </c>
      <c r="O520">
        <f t="shared" si="17"/>
        <v>76.5</v>
      </c>
    </row>
    <row r="521" spans="1:15">
      <c r="A521">
        <v>477</v>
      </c>
      <c r="B521" t="str">
        <f t="shared" si="16"/>
        <v>2023-12</v>
      </c>
      <c r="C521" s="1">
        <v>45263</v>
      </c>
      <c r="D521" s="5">
        <v>0.72499999999999998</v>
      </c>
      <c r="E521">
        <v>3</v>
      </c>
      <c r="F521" t="s">
        <v>11</v>
      </c>
      <c r="G521">
        <v>43</v>
      </c>
      <c r="H521" t="s">
        <v>12</v>
      </c>
      <c r="I521">
        <v>4</v>
      </c>
      <c r="J521" s="6">
        <v>30</v>
      </c>
      <c r="K521">
        <v>16.2</v>
      </c>
      <c r="L521">
        <v>120</v>
      </c>
      <c r="M521" t="str">
        <f>IF(OR(I521="",J521="",L521=""),"Incomplete","Complete")</f>
        <v>Complete</v>
      </c>
      <c r="N521" t="str">
        <f>IF(M521="Incomplete","Not checked",IF(ROUND(I521*J521,2)=ROUND(L521,2),"Valid","Mismatch"))</f>
        <v>Valid</v>
      </c>
      <c r="O521">
        <f t="shared" si="17"/>
        <v>103.8</v>
      </c>
    </row>
    <row r="522" spans="1:15">
      <c r="A522">
        <v>1477</v>
      </c>
      <c r="B522" t="str">
        <f t="shared" si="16"/>
        <v>2023-01</v>
      </c>
      <c r="C522" s="1">
        <v>44934</v>
      </c>
      <c r="D522" s="5">
        <v>0.91597222222222219</v>
      </c>
      <c r="E522">
        <v>3</v>
      </c>
      <c r="F522" t="s">
        <v>11</v>
      </c>
      <c r="G522">
        <v>43</v>
      </c>
      <c r="H522" t="s">
        <v>12</v>
      </c>
      <c r="I522">
        <v>4</v>
      </c>
      <c r="J522" s="6">
        <v>30</v>
      </c>
      <c r="K522">
        <v>15.6</v>
      </c>
      <c r="L522">
        <v>120</v>
      </c>
      <c r="M522" t="str">
        <f>IF(OR(I522="",J522="",L522=""),"Incomplete","Complete")</f>
        <v>Complete</v>
      </c>
      <c r="N522" t="str">
        <f>IF(M522="Incomplete","Not checked",IF(ROUND(I522*J522,2)=ROUND(L522,2),"Valid","Mismatch"))</f>
        <v>Valid</v>
      </c>
      <c r="O522">
        <f t="shared" si="17"/>
        <v>104.4</v>
      </c>
    </row>
    <row r="523" spans="1:15">
      <c r="A523">
        <v>6</v>
      </c>
      <c r="B523" t="str">
        <f t="shared" si="16"/>
        <v>2023-11</v>
      </c>
      <c r="C523" s="1">
        <v>45245</v>
      </c>
      <c r="D523" s="5">
        <v>0.92777777777777781</v>
      </c>
      <c r="E523">
        <v>2</v>
      </c>
      <c r="F523" t="s">
        <v>14</v>
      </c>
      <c r="G523">
        <v>45</v>
      </c>
      <c r="H523" t="s">
        <v>13</v>
      </c>
      <c r="I523">
        <v>1</v>
      </c>
      <c r="J523" s="6">
        <v>30</v>
      </c>
      <c r="K523">
        <v>15</v>
      </c>
      <c r="L523">
        <v>30</v>
      </c>
      <c r="M523" t="str">
        <f>IF(OR(I523="",J523="",L523=""),"Incomplete","Complete")</f>
        <v>Complete</v>
      </c>
      <c r="N523" t="str">
        <f>IF(M523="Incomplete","Not checked",IF(ROUND(I523*J523,2)=ROUND(L523,2),"Valid","Mismatch"))</f>
        <v>Valid</v>
      </c>
      <c r="O523">
        <f t="shared" si="17"/>
        <v>15</v>
      </c>
    </row>
    <row r="524" spans="1:15">
      <c r="A524">
        <v>483</v>
      </c>
      <c r="B524" t="str">
        <f t="shared" si="16"/>
        <v>2023-02</v>
      </c>
      <c r="C524" s="1">
        <v>44963</v>
      </c>
      <c r="D524" s="5">
        <v>0.72569444444444442</v>
      </c>
      <c r="E524">
        <v>2</v>
      </c>
      <c r="F524" t="s">
        <v>11</v>
      </c>
      <c r="G524">
        <v>55</v>
      </c>
      <c r="H524" t="s">
        <v>12</v>
      </c>
      <c r="I524">
        <v>1</v>
      </c>
      <c r="J524" s="6">
        <v>30</v>
      </c>
      <c r="K524">
        <v>8.4</v>
      </c>
      <c r="L524">
        <v>30</v>
      </c>
      <c r="M524" t="str">
        <f>IF(OR(I524="",J524="",L524=""),"Incomplete","Complete")</f>
        <v>Complete</v>
      </c>
      <c r="N524" t="str">
        <f>IF(M524="Incomplete","Not checked",IF(ROUND(I524*J524,2)=ROUND(L524,2),"Valid","Mismatch"))</f>
        <v>Valid</v>
      </c>
      <c r="O524">
        <f t="shared" si="17"/>
        <v>21.6</v>
      </c>
    </row>
    <row r="525" spans="1:15">
      <c r="A525">
        <v>1006</v>
      </c>
      <c r="B525" t="str">
        <f t="shared" si="16"/>
        <v>2023-10</v>
      </c>
      <c r="C525" s="1">
        <v>45228</v>
      </c>
      <c r="D525" s="5">
        <v>0.80763888888888891</v>
      </c>
      <c r="E525">
        <v>2</v>
      </c>
      <c r="F525" t="s">
        <v>14</v>
      </c>
      <c r="G525">
        <v>45</v>
      </c>
      <c r="H525" t="s">
        <v>13</v>
      </c>
      <c r="I525">
        <v>1</v>
      </c>
      <c r="J525" s="6">
        <v>30</v>
      </c>
      <c r="K525">
        <v>14.1</v>
      </c>
      <c r="L525">
        <v>30</v>
      </c>
      <c r="M525" t="str">
        <f>IF(OR(I525="",J525="",L525=""),"Incomplete","Complete")</f>
        <v>Complete</v>
      </c>
      <c r="N525" t="str">
        <f>IF(M525="Incomplete","Not checked",IF(ROUND(I525*J525,2)=ROUND(L525,2),"Valid","Mismatch"))</f>
        <v>Valid</v>
      </c>
      <c r="O525">
        <f t="shared" si="17"/>
        <v>15.9</v>
      </c>
    </row>
    <row r="526" spans="1:15">
      <c r="A526">
        <v>1483</v>
      </c>
      <c r="B526" t="str">
        <f t="shared" si="16"/>
        <v>2023-03</v>
      </c>
      <c r="C526" s="1">
        <v>44990</v>
      </c>
      <c r="D526" s="5">
        <v>0.82847222222222228</v>
      </c>
      <c r="E526">
        <v>1</v>
      </c>
      <c r="F526" t="s">
        <v>11</v>
      </c>
      <c r="G526">
        <v>55</v>
      </c>
      <c r="H526" t="s">
        <v>12</v>
      </c>
      <c r="I526">
        <v>1</v>
      </c>
      <c r="J526" s="6">
        <v>30</v>
      </c>
      <c r="K526">
        <v>8.6999999999999993</v>
      </c>
      <c r="L526">
        <v>30</v>
      </c>
      <c r="M526" t="str">
        <f>IF(OR(I526="",J526="",L526=""),"Incomplete","Complete")</f>
        <v>Complete</v>
      </c>
      <c r="N526" t="str">
        <f>IF(M526="Incomplete","Not checked",IF(ROUND(I526*J526,2)=ROUND(L526,2),"Valid","Mismatch"))</f>
        <v>Valid</v>
      </c>
      <c r="O526">
        <f t="shared" si="17"/>
        <v>21.3</v>
      </c>
    </row>
    <row r="527" spans="1:15">
      <c r="A527">
        <v>222</v>
      </c>
      <c r="B527" t="str">
        <f t="shared" si="16"/>
        <v>2023-01</v>
      </c>
      <c r="C527" s="1">
        <v>44933</v>
      </c>
      <c r="D527" s="5">
        <v>0.78888888888888886</v>
      </c>
      <c r="E527">
        <v>4</v>
      </c>
      <c r="F527" t="s">
        <v>11</v>
      </c>
      <c r="G527">
        <v>51</v>
      </c>
      <c r="H527" t="s">
        <v>12</v>
      </c>
      <c r="I527">
        <v>4</v>
      </c>
      <c r="J527" s="6">
        <v>30</v>
      </c>
      <c r="K527">
        <v>10.5</v>
      </c>
      <c r="L527">
        <v>120</v>
      </c>
      <c r="M527" t="str">
        <f>IF(OR(I527="",J527="",L527=""),"Incomplete","Complete")</f>
        <v>Complete</v>
      </c>
      <c r="N527" t="str">
        <f>IF(M527="Incomplete","Not checked",IF(ROUND(I527*J527,2)=ROUND(L527,2),"Valid","Mismatch"))</f>
        <v>Valid</v>
      </c>
      <c r="O527">
        <f t="shared" si="17"/>
        <v>109.5</v>
      </c>
    </row>
    <row r="528" spans="1:15">
      <c r="A528">
        <v>588</v>
      </c>
      <c r="B528" t="str">
        <f t="shared" si="16"/>
        <v>2023-10</v>
      </c>
      <c r="C528" s="1">
        <v>45217</v>
      </c>
      <c r="D528" s="5">
        <v>0.74583333333333335</v>
      </c>
      <c r="E528">
        <v>5</v>
      </c>
      <c r="F528" t="s">
        <v>11</v>
      </c>
      <c r="G528">
        <v>38</v>
      </c>
      <c r="H528" t="s">
        <v>15</v>
      </c>
      <c r="I528">
        <v>2</v>
      </c>
      <c r="J528" s="6">
        <v>30</v>
      </c>
      <c r="K528">
        <v>13.8</v>
      </c>
      <c r="L528">
        <v>60</v>
      </c>
      <c r="M528" t="str">
        <f>IF(OR(I528="",J528="",L528=""),"Incomplete","Complete")</f>
        <v>Complete</v>
      </c>
      <c r="N528" t="str">
        <f>IF(M528="Incomplete","Not checked",IF(ROUND(I528*J528,2)=ROUND(L528,2),"Valid","Mismatch"))</f>
        <v>Valid</v>
      </c>
      <c r="O528">
        <f t="shared" si="17"/>
        <v>46.2</v>
      </c>
    </row>
    <row r="529" spans="1:15">
      <c r="A529">
        <v>953</v>
      </c>
      <c r="B529" t="str">
        <f t="shared" si="16"/>
        <v>2023-07</v>
      </c>
      <c r="C529" s="1">
        <v>45109</v>
      </c>
      <c r="D529" s="5">
        <v>0.74861111111111112</v>
      </c>
      <c r="E529">
        <v>1</v>
      </c>
      <c r="F529" t="s">
        <v>11</v>
      </c>
      <c r="G529">
        <v>45</v>
      </c>
      <c r="H529" t="s">
        <v>13</v>
      </c>
      <c r="I529">
        <v>3</v>
      </c>
      <c r="J529" s="6">
        <v>30</v>
      </c>
      <c r="K529">
        <v>12.6</v>
      </c>
      <c r="L529">
        <v>90</v>
      </c>
      <c r="M529" t="str">
        <f>IF(OR(I529="",J529="",L529=""),"Incomplete","Complete")</f>
        <v>Complete</v>
      </c>
      <c r="N529" t="str">
        <f>IF(M529="Incomplete","Not checked",IF(ROUND(I529*J529,2)=ROUND(L529,2),"Valid","Mismatch"))</f>
        <v>Valid</v>
      </c>
      <c r="O529">
        <f t="shared" si="17"/>
        <v>77.400000000000006</v>
      </c>
    </row>
    <row r="530" spans="1:15">
      <c r="A530">
        <v>1222</v>
      </c>
      <c r="B530" t="str">
        <f t="shared" si="16"/>
        <v>2023-09</v>
      </c>
      <c r="C530" s="1">
        <v>45186</v>
      </c>
      <c r="D530" s="5">
        <v>0.76041666666666663</v>
      </c>
      <c r="E530">
        <v>3</v>
      </c>
      <c r="F530" t="s">
        <v>11</v>
      </c>
      <c r="G530">
        <v>51</v>
      </c>
      <c r="H530" t="s">
        <v>12</v>
      </c>
      <c r="I530">
        <v>4</v>
      </c>
      <c r="J530" s="6">
        <v>30</v>
      </c>
      <c r="K530">
        <v>11.1</v>
      </c>
      <c r="L530">
        <v>120</v>
      </c>
      <c r="M530" t="str">
        <f>IF(OR(I530="",J530="",L530=""),"Incomplete","Complete")</f>
        <v>Complete</v>
      </c>
      <c r="N530" t="str">
        <f>IF(M530="Incomplete","Not checked",IF(ROUND(I530*J530,2)=ROUND(L530,2),"Valid","Mismatch"))</f>
        <v>Valid</v>
      </c>
      <c r="O530">
        <f t="shared" si="17"/>
        <v>108.9</v>
      </c>
    </row>
    <row r="531" spans="1:15">
      <c r="A531">
        <v>1588</v>
      </c>
      <c r="B531" t="str">
        <f t="shared" si="16"/>
        <v>2023-06</v>
      </c>
      <c r="C531" s="1">
        <v>45102</v>
      </c>
      <c r="D531" s="5">
        <v>0.89513888888888893</v>
      </c>
      <c r="E531">
        <v>4</v>
      </c>
      <c r="F531" t="s">
        <v>11</v>
      </c>
      <c r="G531">
        <v>38</v>
      </c>
      <c r="H531" t="s">
        <v>15</v>
      </c>
      <c r="I531">
        <v>2</v>
      </c>
      <c r="J531" s="6">
        <v>30</v>
      </c>
      <c r="K531">
        <v>13.2</v>
      </c>
      <c r="L531">
        <v>60</v>
      </c>
      <c r="M531" t="str">
        <f>IF(OR(I531="",J531="",L531=""),"Incomplete","Complete")</f>
        <v>Complete</v>
      </c>
      <c r="N531" t="str">
        <f>IF(M531="Incomplete","Not checked",IF(ROUND(I531*J531,2)=ROUND(L531,2),"Valid","Mismatch"))</f>
        <v>Valid</v>
      </c>
      <c r="O531">
        <f t="shared" si="17"/>
        <v>46.8</v>
      </c>
    </row>
    <row r="532" spans="1:15">
      <c r="A532">
        <v>1953</v>
      </c>
      <c r="B532" t="str">
        <f t="shared" si="16"/>
        <v>2023-05</v>
      </c>
      <c r="C532" s="1">
        <v>45061</v>
      </c>
      <c r="D532" s="5">
        <v>0.7319444444444444</v>
      </c>
      <c r="E532">
        <v>3</v>
      </c>
      <c r="F532" t="s">
        <v>11</v>
      </c>
      <c r="G532">
        <v>45</v>
      </c>
      <c r="H532" t="s">
        <v>13</v>
      </c>
      <c r="I532">
        <v>3</v>
      </c>
      <c r="J532" s="6">
        <v>30</v>
      </c>
      <c r="K532">
        <v>10.199999999999999</v>
      </c>
      <c r="L532">
        <v>90</v>
      </c>
      <c r="M532" t="str">
        <f>IF(OR(I532="",J532="",L532=""),"Incomplete","Complete")</f>
        <v>Complete</v>
      </c>
      <c r="N532" t="str">
        <f>IF(M532="Incomplete","Not checked",IF(ROUND(I532*J532,2)=ROUND(L532,2),"Valid","Mismatch"))</f>
        <v>Valid</v>
      </c>
      <c r="O532">
        <f t="shared" si="17"/>
        <v>79.8</v>
      </c>
    </row>
    <row r="533" spans="1:15">
      <c r="A533">
        <v>66</v>
      </c>
      <c r="B533" t="str">
        <f t="shared" si="16"/>
        <v>2023-06</v>
      </c>
      <c r="C533" s="1">
        <v>45095</v>
      </c>
      <c r="D533" s="5">
        <v>0.9506944444444444</v>
      </c>
      <c r="E533">
        <v>3</v>
      </c>
      <c r="F533" t="s">
        <v>14</v>
      </c>
      <c r="G533">
        <v>45</v>
      </c>
      <c r="H533" t="s">
        <v>15</v>
      </c>
      <c r="I533">
        <v>1</v>
      </c>
      <c r="J533" s="6">
        <v>30</v>
      </c>
      <c r="K533">
        <v>9</v>
      </c>
      <c r="L533">
        <v>30</v>
      </c>
      <c r="M533" t="str">
        <f>IF(OR(I533="",J533="",L533=""),"Incomplete","Complete")</f>
        <v>Complete</v>
      </c>
      <c r="N533" t="str">
        <f>IF(M533="Incomplete","Not checked",IF(ROUND(I533*J533,2)=ROUND(L533,2),"Valid","Mismatch"))</f>
        <v>Valid</v>
      </c>
      <c r="O533">
        <f t="shared" si="17"/>
        <v>21</v>
      </c>
    </row>
    <row r="534" spans="1:15">
      <c r="A534">
        <v>1066</v>
      </c>
      <c r="B534" t="str">
        <f t="shared" si="16"/>
        <v>2023-10</v>
      </c>
      <c r="C534" s="1">
        <v>45205</v>
      </c>
      <c r="D534" s="5">
        <v>0.75763888888888886</v>
      </c>
      <c r="E534">
        <v>4</v>
      </c>
      <c r="F534" t="s">
        <v>14</v>
      </c>
      <c r="G534">
        <v>45</v>
      </c>
      <c r="H534" t="s">
        <v>15</v>
      </c>
      <c r="I534">
        <v>1</v>
      </c>
      <c r="J534" s="6">
        <v>30</v>
      </c>
      <c r="K534">
        <v>8.4</v>
      </c>
      <c r="L534">
        <v>30</v>
      </c>
      <c r="M534" t="str">
        <f>IF(OR(I534="",J534="",L534=""),"Incomplete","Complete")</f>
        <v>Complete</v>
      </c>
      <c r="N534" t="str">
        <f>IF(M534="Incomplete","Not checked",IF(ROUND(I534*J534,2)=ROUND(L534,2),"Valid","Mismatch"))</f>
        <v>Valid</v>
      </c>
      <c r="O534">
        <f t="shared" si="17"/>
        <v>21.6</v>
      </c>
    </row>
    <row r="535" spans="1:15">
      <c r="A535">
        <v>228</v>
      </c>
      <c r="B535" t="str">
        <f t="shared" si="16"/>
        <v>2023-04</v>
      </c>
      <c r="C535" s="1">
        <v>45019</v>
      </c>
      <c r="D535" s="5">
        <v>0.85138888888888886</v>
      </c>
      <c r="E535">
        <v>4</v>
      </c>
      <c r="F535" t="s">
        <v>14</v>
      </c>
      <c r="G535">
        <v>59</v>
      </c>
      <c r="H535" t="s">
        <v>15</v>
      </c>
      <c r="I535">
        <v>2</v>
      </c>
      <c r="J535" s="6">
        <v>30</v>
      </c>
      <c r="K535">
        <v>10.8</v>
      </c>
      <c r="L535">
        <v>60</v>
      </c>
      <c r="M535" t="str">
        <f>IF(OR(I535="",J535="",L535=""),"Incomplete","Complete")</f>
        <v>Complete</v>
      </c>
      <c r="N535" t="str">
        <f>IF(M535="Incomplete","Not checked",IF(ROUND(I535*J535,2)=ROUND(L535,2),"Valid","Mismatch"))</f>
        <v>Valid</v>
      </c>
      <c r="O535">
        <f t="shared" si="17"/>
        <v>49.2</v>
      </c>
    </row>
    <row r="536" spans="1:15">
      <c r="A536">
        <v>1228</v>
      </c>
      <c r="B536" t="str">
        <f t="shared" si="16"/>
        <v>2023-06</v>
      </c>
      <c r="C536" s="1">
        <v>45101</v>
      </c>
      <c r="D536" s="5">
        <v>0.90069444444444446</v>
      </c>
      <c r="E536">
        <v>5</v>
      </c>
      <c r="F536" t="s">
        <v>14</v>
      </c>
      <c r="G536">
        <v>59</v>
      </c>
      <c r="H536" t="s">
        <v>15</v>
      </c>
      <c r="I536">
        <v>2</v>
      </c>
      <c r="J536" s="6">
        <v>30</v>
      </c>
      <c r="K536">
        <v>11.4</v>
      </c>
      <c r="L536">
        <v>60</v>
      </c>
      <c r="M536" t="str">
        <f>IF(OR(I536="",J536="",L536=""),"Incomplete","Complete")</f>
        <v>Complete</v>
      </c>
      <c r="N536" t="str">
        <f>IF(M536="Incomplete","Not checked",IF(ROUND(I536*J536,2)=ROUND(L536,2),"Valid","Mismatch"))</f>
        <v>Valid</v>
      </c>
      <c r="O536">
        <f t="shared" si="17"/>
        <v>48.6</v>
      </c>
    </row>
    <row r="537" spans="1:15">
      <c r="A537">
        <v>884</v>
      </c>
      <c r="B537" t="str">
        <f t="shared" si="16"/>
        <v>2023-02</v>
      </c>
      <c r="C537" s="1">
        <v>44975</v>
      </c>
      <c r="D537" s="5">
        <v>0.85486111111111107</v>
      </c>
      <c r="E537">
        <v>1</v>
      </c>
      <c r="F537" t="s">
        <v>14</v>
      </c>
      <c r="G537">
        <v>26</v>
      </c>
      <c r="H537" t="s">
        <v>12</v>
      </c>
      <c r="I537">
        <v>2</v>
      </c>
      <c r="J537" s="6">
        <v>30</v>
      </c>
      <c r="K537">
        <v>7.5</v>
      </c>
      <c r="L537">
        <v>60</v>
      </c>
      <c r="M537" t="str">
        <f>IF(OR(I537="",J537="",L537=""),"Incomplete","Complete")</f>
        <v>Complete</v>
      </c>
      <c r="N537" t="str">
        <f>IF(M537="Incomplete","Not checked",IF(ROUND(I537*J537,2)=ROUND(L537,2),"Valid","Mismatch"))</f>
        <v>Valid</v>
      </c>
      <c r="O537">
        <f t="shared" si="17"/>
        <v>52.5</v>
      </c>
    </row>
    <row r="538" spans="1:15">
      <c r="A538">
        <v>1884</v>
      </c>
      <c r="B538" t="str">
        <f t="shared" si="16"/>
        <v>2023-07</v>
      </c>
      <c r="C538" s="1">
        <v>45116</v>
      </c>
      <c r="D538" s="5">
        <v>0.90625</v>
      </c>
      <c r="E538">
        <v>2</v>
      </c>
      <c r="F538" t="s">
        <v>14</v>
      </c>
      <c r="G538">
        <v>26</v>
      </c>
      <c r="H538" t="s">
        <v>12</v>
      </c>
      <c r="I538">
        <v>2</v>
      </c>
      <c r="J538" s="6">
        <v>30</v>
      </c>
      <c r="K538">
        <v>11.4</v>
      </c>
      <c r="L538">
        <v>60</v>
      </c>
      <c r="M538" t="str">
        <f>IF(OR(I538="",J538="",L538=""),"Incomplete","Complete")</f>
        <v>Complete</v>
      </c>
      <c r="N538" t="str">
        <f>IF(M538="Incomplete","Not checked",IF(ROUND(I538*J538,2)=ROUND(L538,2),"Valid","Mismatch"))</f>
        <v>Valid</v>
      </c>
      <c r="O538">
        <f t="shared" si="17"/>
        <v>48.6</v>
      </c>
    </row>
    <row r="539" spans="1:15">
      <c r="A539">
        <v>995</v>
      </c>
      <c r="B539" t="str">
        <f t="shared" si="16"/>
        <v>2023-03</v>
      </c>
      <c r="C539" s="1">
        <v>44989</v>
      </c>
      <c r="D539" s="5">
        <v>0.94305555555555554</v>
      </c>
      <c r="E539">
        <v>4</v>
      </c>
      <c r="F539" t="s">
        <v>14</v>
      </c>
      <c r="G539">
        <v>41</v>
      </c>
      <c r="H539" t="s">
        <v>12</v>
      </c>
      <c r="I539">
        <v>1</v>
      </c>
      <c r="J539" s="6">
        <v>30</v>
      </c>
      <c r="K539">
        <v>9.9</v>
      </c>
      <c r="L539">
        <v>30</v>
      </c>
      <c r="M539" t="str">
        <f>IF(OR(I539="",J539="",L539=""),"Incomplete","Complete")</f>
        <v>Complete</v>
      </c>
      <c r="N539" t="str">
        <f>IF(M539="Incomplete","Not checked",IF(ROUND(I539*J539,2)=ROUND(L539,2),"Valid","Mismatch"))</f>
        <v>Valid</v>
      </c>
      <c r="O539">
        <f t="shared" si="17"/>
        <v>20.100000000000001</v>
      </c>
    </row>
    <row r="540" spans="1:15">
      <c r="A540">
        <v>1995</v>
      </c>
      <c r="B540" t="str">
        <f t="shared" si="16"/>
        <v>2023-12</v>
      </c>
      <c r="C540" s="1">
        <v>45270</v>
      </c>
      <c r="D540" s="5">
        <v>0.9291666666666667</v>
      </c>
      <c r="E540">
        <v>5</v>
      </c>
      <c r="F540" t="s">
        <v>14</v>
      </c>
      <c r="G540">
        <v>41</v>
      </c>
      <c r="H540" t="s">
        <v>12</v>
      </c>
      <c r="I540">
        <v>1</v>
      </c>
      <c r="J540" s="6">
        <v>30</v>
      </c>
      <c r="K540">
        <v>14.7</v>
      </c>
      <c r="L540">
        <v>30</v>
      </c>
      <c r="M540" t="str">
        <f>IF(OR(I540="",J540="",L540=""),"Incomplete","Complete")</f>
        <v>Complete</v>
      </c>
      <c r="N540" t="str">
        <f>IF(M540="Incomplete","Not checked",IF(ROUND(I540*J540,2)=ROUND(L540,2),"Valid","Mismatch"))</f>
        <v>Valid</v>
      </c>
      <c r="O540">
        <f t="shared" si="17"/>
        <v>15.3</v>
      </c>
    </row>
    <row r="541" spans="1:15">
      <c r="A541">
        <v>293</v>
      </c>
      <c r="B541" t="str">
        <f t="shared" si="16"/>
        <v>2023-05</v>
      </c>
      <c r="C541" s="1">
        <v>45073</v>
      </c>
      <c r="D541" s="5">
        <v>0.7944444444444444</v>
      </c>
      <c r="E541">
        <v>4</v>
      </c>
      <c r="F541" t="s">
        <v>11</v>
      </c>
      <c r="G541">
        <v>50</v>
      </c>
      <c r="H541" t="s">
        <v>15</v>
      </c>
      <c r="I541">
        <v>3</v>
      </c>
      <c r="J541" s="6">
        <v>30</v>
      </c>
      <c r="K541">
        <v>9.6</v>
      </c>
      <c r="L541">
        <v>90</v>
      </c>
      <c r="M541" t="str">
        <f>IF(OR(I541="",J541="",L541=""),"Incomplete","Complete")</f>
        <v>Complete</v>
      </c>
      <c r="N541" t="str">
        <f>IF(M541="Incomplete","Not checked",IF(ROUND(I541*J541,2)=ROUND(L541,2),"Valid","Mismatch"))</f>
        <v>Valid</v>
      </c>
      <c r="O541">
        <f t="shared" si="17"/>
        <v>80.400000000000006</v>
      </c>
    </row>
    <row r="542" spans="1:15">
      <c r="A542">
        <v>1293</v>
      </c>
      <c r="B542" t="str">
        <f t="shared" si="16"/>
        <v>2023-07</v>
      </c>
      <c r="C542" s="1">
        <v>45108</v>
      </c>
      <c r="D542" s="5">
        <v>0.78611111111111109</v>
      </c>
      <c r="E542">
        <v>3</v>
      </c>
      <c r="F542" t="s">
        <v>11</v>
      </c>
      <c r="G542">
        <v>50</v>
      </c>
      <c r="H542" t="s">
        <v>15</v>
      </c>
      <c r="I542">
        <v>3</v>
      </c>
      <c r="J542" s="6">
        <v>30</v>
      </c>
      <c r="K542">
        <v>14.1</v>
      </c>
      <c r="L542">
        <v>90</v>
      </c>
      <c r="M542" t="str">
        <f>IF(OR(I542="",J542="",L542=""),"Incomplete","Complete")</f>
        <v>Complete</v>
      </c>
      <c r="N542" t="str">
        <f>IF(M542="Incomplete","Not checked",IF(ROUND(I542*J542,2)=ROUND(L542,2),"Valid","Mismatch"))</f>
        <v>Valid</v>
      </c>
      <c r="O542">
        <f t="shared" si="17"/>
        <v>75.900000000000006</v>
      </c>
    </row>
    <row r="543" spans="1:15">
      <c r="A543">
        <v>646</v>
      </c>
      <c r="B543" t="str">
        <f t="shared" si="16"/>
        <v>2023-05</v>
      </c>
      <c r="C543" s="1">
        <v>45072</v>
      </c>
      <c r="D543" s="5">
        <v>0.87638888888888888</v>
      </c>
      <c r="E543">
        <v>3</v>
      </c>
      <c r="F543" t="s">
        <v>11</v>
      </c>
      <c r="G543">
        <v>38</v>
      </c>
      <c r="H543" t="s">
        <v>12</v>
      </c>
      <c r="I543">
        <v>3</v>
      </c>
      <c r="J543" s="6">
        <v>30</v>
      </c>
      <c r="K543">
        <v>13.5</v>
      </c>
      <c r="L543">
        <v>90</v>
      </c>
      <c r="M543" t="str">
        <f>IF(OR(I543="",J543="",L543=""),"Incomplete","Complete")</f>
        <v>Complete</v>
      </c>
      <c r="N543" t="str">
        <f>IF(M543="Incomplete","Not checked",IF(ROUND(I543*J543,2)=ROUND(L543,2),"Valid","Mismatch"))</f>
        <v>Valid</v>
      </c>
      <c r="O543">
        <f t="shared" si="17"/>
        <v>76.5</v>
      </c>
    </row>
    <row r="544" spans="1:15">
      <c r="A544">
        <v>749</v>
      </c>
      <c r="B544" t="str">
        <f t="shared" si="16"/>
        <v>2023-07</v>
      </c>
      <c r="C544" s="1">
        <v>45133</v>
      </c>
      <c r="D544" s="5">
        <v>0.85624999999999996</v>
      </c>
      <c r="E544">
        <v>2</v>
      </c>
      <c r="F544" t="s">
        <v>11</v>
      </c>
      <c r="G544">
        <v>42</v>
      </c>
      <c r="H544" t="s">
        <v>13</v>
      </c>
      <c r="I544">
        <v>1</v>
      </c>
      <c r="J544" s="6">
        <v>30</v>
      </c>
      <c r="K544">
        <v>8.4</v>
      </c>
      <c r="L544">
        <v>30</v>
      </c>
      <c r="M544" t="str">
        <f>IF(OR(I544="",J544="",L544=""),"Incomplete","Complete")</f>
        <v>Complete</v>
      </c>
      <c r="N544" t="str">
        <f>IF(M544="Incomplete","Not checked",IF(ROUND(I544*J544,2)=ROUND(L544,2),"Valid","Mismatch"))</f>
        <v>Valid</v>
      </c>
      <c r="O544">
        <f t="shared" si="17"/>
        <v>21.6</v>
      </c>
    </row>
    <row r="545" spans="1:15">
      <c r="A545">
        <v>974</v>
      </c>
      <c r="B545" t="str">
        <f t="shared" si="16"/>
        <v>2023-12</v>
      </c>
      <c r="C545" s="1">
        <v>45288</v>
      </c>
      <c r="D545" s="5">
        <v>0.77708333333333335</v>
      </c>
      <c r="E545">
        <v>3</v>
      </c>
      <c r="F545" t="s">
        <v>11</v>
      </c>
      <c r="G545">
        <v>47</v>
      </c>
      <c r="H545" t="s">
        <v>13</v>
      </c>
      <c r="I545">
        <v>1</v>
      </c>
      <c r="J545" s="6">
        <v>30</v>
      </c>
      <c r="K545">
        <v>11.7</v>
      </c>
      <c r="L545">
        <v>30</v>
      </c>
      <c r="M545" t="str">
        <f>IF(OR(I545="",J545="",L545=""),"Incomplete","Complete")</f>
        <v>Complete</v>
      </c>
      <c r="N545" t="str">
        <f>IF(M545="Incomplete","Not checked",IF(ROUND(I545*J545,2)=ROUND(L545,2),"Valid","Mismatch"))</f>
        <v>Valid</v>
      </c>
      <c r="O545">
        <f t="shared" si="17"/>
        <v>18.3</v>
      </c>
    </row>
    <row r="546" spans="1:15">
      <c r="A546">
        <v>1646</v>
      </c>
      <c r="B546" t="str">
        <f t="shared" si="16"/>
        <v>2023-01</v>
      </c>
      <c r="C546" s="1">
        <v>44944</v>
      </c>
      <c r="D546" s="5">
        <v>0.82152777777777775</v>
      </c>
      <c r="E546">
        <v>1</v>
      </c>
      <c r="F546" t="s">
        <v>11</v>
      </c>
      <c r="G546">
        <v>38</v>
      </c>
      <c r="H546" t="s">
        <v>12</v>
      </c>
      <c r="I546">
        <v>3</v>
      </c>
      <c r="J546" s="6">
        <v>30</v>
      </c>
      <c r="K546">
        <v>15.6</v>
      </c>
      <c r="L546">
        <v>90</v>
      </c>
      <c r="M546" t="str">
        <f>IF(OR(I546="",J546="",L546=""),"Incomplete","Complete")</f>
        <v>Complete</v>
      </c>
      <c r="N546" t="str">
        <f>IF(M546="Incomplete","Not checked",IF(ROUND(I546*J546,2)=ROUND(L546,2),"Valid","Mismatch"))</f>
        <v>Valid</v>
      </c>
      <c r="O546">
        <f t="shared" si="17"/>
        <v>74.400000000000006</v>
      </c>
    </row>
    <row r="547" spans="1:15">
      <c r="A547">
        <v>1749</v>
      </c>
      <c r="B547" t="str">
        <f t="shared" si="16"/>
        <v>2023-05</v>
      </c>
      <c r="C547" s="1">
        <v>45053</v>
      </c>
      <c r="D547" s="5">
        <v>0.82986111111111116</v>
      </c>
      <c r="E547">
        <v>2</v>
      </c>
      <c r="F547" t="s">
        <v>11</v>
      </c>
      <c r="G547">
        <v>42</v>
      </c>
      <c r="H547" t="s">
        <v>13</v>
      </c>
      <c r="I547">
        <v>1</v>
      </c>
      <c r="J547" s="6">
        <v>30</v>
      </c>
      <c r="K547">
        <v>9</v>
      </c>
      <c r="L547">
        <v>30</v>
      </c>
      <c r="M547" t="str">
        <f>IF(OR(I547="",J547="",L547=""),"Incomplete","Complete")</f>
        <v>Complete</v>
      </c>
      <c r="N547" t="str">
        <f>IF(M547="Incomplete","Not checked",IF(ROUND(I547*J547,2)=ROUND(L547,2),"Valid","Mismatch"))</f>
        <v>Valid</v>
      </c>
      <c r="O547">
        <f t="shared" si="17"/>
        <v>21</v>
      </c>
    </row>
    <row r="548" spans="1:15">
      <c r="A548">
        <v>1974</v>
      </c>
      <c r="B548" t="str">
        <f t="shared" si="16"/>
        <v>2023-02</v>
      </c>
      <c r="C548" s="1">
        <v>44976</v>
      </c>
      <c r="D548" s="5">
        <v>0.84722222222222221</v>
      </c>
      <c r="E548">
        <v>3</v>
      </c>
      <c r="F548" t="s">
        <v>11</v>
      </c>
      <c r="G548">
        <v>47</v>
      </c>
      <c r="H548" t="s">
        <v>13</v>
      </c>
      <c r="I548">
        <v>1</v>
      </c>
      <c r="J548" s="6">
        <v>30</v>
      </c>
      <c r="K548">
        <v>12.9</v>
      </c>
      <c r="L548">
        <v>30</v>
      </c>
      <c r="M548" t="str">
        <f>IF(OR(I548="",J548="",L548=""),"Incomplete","Complete")</f>
        <v>Complete</v>
      </c>
      <c r="N548" t="str">
        <f>IF(M548="Incomplete","Not checked",IF(ROUND(I548*J548,2)=ROUND(L548,2),"Valid","Mismatch"))</f>
        <v>Valid</v>
      </c>
      <c r="O548">
        <f t="shared" si="17"/>
        <v>17.100000000000001</v>
      </c>
    </row>
    <row r="549" spans="1:15">
      <c r="A549">
        <v>190</v>
      </c>
      <c r="B549" t="str">
        <f t="shared" si="16"/>
        <v>2023-01</v>
      </c>
      <c r="C549" s="1">
        <v>44951</v>
      </c>
      <c r="D549" s="5">
        <v>0.74722222222222223</v>
      </c>
      <c r="E549">
        <v>2</v>
      </c>
      <c r="F549" t="s">
        <v>14</v>
      </c>
      <c r="G549">
        <v>60</v>
      </c>
      <c r="H549" t="s">
        <v>13</v>
      </c>
      <c r="I549">
        <v>3</v>
      </c>
      <c r="J549" s="6">
        <v>30</v>
      </c>
      <c r="K549">
        <v>10.5</v>
      </c>
      <c r="L549">
        <v>90</v>
      </c>
      <c r="M549" t="str">
        <f>IF(OR(I549="",J549="",L549=""),"Incomplete","Complete")</f>
        <v>Complete</v>
      </c>
      <c r="N549" t="str">
        <f>IF(M549="Incomplete","Not checked",IF(ROUND(I549*J549,2)=ROUND(L549,2),"Valid","Mismatch"))</f>
        <v>Valid</v>
      </c>
      <c r="O549">
        <f t="shared" si="17"/>
        <v>79.5</v>
      </c>
    </row>
    <row r="550" spans="1:15">
      <c r="A550">
        <v>1190</v>
      </c>
      <c r="B550" t="str">
        <f t="shared" si="16"/>
        <v>2023-09</v>
      </c>
      <c r="C550" s="1">
        <v>45198</v>
      </c>
      <c r="D550" s="5">
        <v>0.875</v>
      </c>
      <c r="E550">
        <v>4</v>
      </c>
      <c r="F550" t="s">
        <v>14</v>
      </c>
      <c r="G550">
        <v>60</v>
      </c>
      <c r="H550" t="s">
        <v>13</v>
      </c>
      <c r="I550">
        <v>3</v>
      </c>
      <c r="J550" s="6">
        <v>30</v>
      </c>
      <c r="K550">
        <v>10.8</v>
      </c>
      <c r="L550">
        <v>90</v>
      </c>
      <c r="M550" t="str">
        <f>IF(OR(I550="",J550="",L550=""),"Incomplete","Complete")</f>
        <v>Complete</v>
      </c>
      <c r="N550" t="str">
        <f>IF(M550="Incomplete","Not checked",IF(ROUND(I550*J550,2)=ROUND(L550,2),"Valid","Mismatch"))</f>
        <v>Valid</v>
      </c>
      <c r="O550">
        <f t="shared" si="17"/>
        <v>79.2</v>
      </c>
    </row>
    <row r="551" spans="1:15">
      <c r="A551">
        <v>824</v>
      </c>
      <c r="B551" t="str">
        <f t="shared" si="16"/>
        <v>2023-02</v>
      </c>
      <c r="C551" s="1">
        <v>44982</v>
      </c>
      <c r="D551" s="5">
        <v>0.79861111111111116</v>
      </c>
      <c r="E551">
        <v>3</v>
      </c>
      <c r="F551" t="s">
        <v>11</v>
      </c>
      <c r="G551">
        <v>63</v>
      </c>
      <c r="H551" t="s">
        <v>12</v>
      </c>
      <c r="I551">
        <v>4</v>
      </c>
      <c r="J551" s="6">
        <v>30</v>
      </c>
      <c r="K551">
        <v>9.3000000000000007</v>
      </c>
      <c r="L551">
        <v>120</v>
      </c>
      <c r="M551" t="str">
        <f>IF(OR(I551="",J551="",L551=""),"Incomplete","Complete")</f>
        <v>Complete</v>
      </c>
      <c r="N551" t="str">
        <f>IF(M551="Incomplete","Not checked",IF(ROUND(I551*J551,2)=ROUND(L551,2),"Valid","Mismatch"))</f>
        <v>Valid</v>
      </c>
      <c r="O551">
        <f t="shared" si="17"/>
        <v>110.7</v>
      </c>
    </row>
    <row r="552" spans="1:15">
      <c r="A552">
        <v>1824</v>
      </c>
      <c r="B552" t="str">
        <f t="shared" si="16"/>
        <v>2023-01</v>
      </c>
      <c r="C552" s="1">
        <v>44950</v>
      </c>
      <c r="D552" s="5">
        <v>0.84652777777777777</v>
      </c>
      <c r="E552">
        <v>4</v>
      </c>
      <c r="F552" t="s">
        <v>11</v>
      </c>
      <c r="G552">
        <v>63</v>
      </c>
      <c r="H552" t="s">
        <v>12</v>
      </c>
      <c r="I552">
        <v>4</v>
      </c>
      <c r="J552" s="6">
        <v>30</v>
      </c>
      <c r="K552">
        <v>12.6</v>
      </c>
      <c r="L552">
        <v>120</v>
      </c>
      <c r="M552" t="str">
        <f>IF(OR(I552="",J552="",L552=""),"Incomplete","Complete")</f>
        <v>Complete</v>
      </c>
      <c r="N552" t="str">
        <f>IF(M552="Incomplete","Not checked",IF(ROUND(I552*J552,2)=ROUND(L552,2),"Valid","Mismatch"))</f>
        <v>Valid</v>
      </c>
      <c r="O552">
        <f t="shared" si="17"/>
        <v>107.4</v>
      </c>
    </row>
    <row r="553" spans="1:15">
      <c r="A553">
        <v>90</v>
      </c>
      <c r="B553" t="str">
        <f t="shared" si="16"/>
        <v>2023-09</v>
      </c>
      <c r="C553" s="1">
        <v>45179</v>
      </c>
      <c r="D553" s="5">
        <v>0.74513888888888891</v>
      </c>
      <c r="E553">
        <v>3</v>
      </c>
      <c r="F553" t="s">
        <v>14</v>
      </c>
      <c r="G553">
        <v>51</v>
      </c>
      <c r="H553" t="s">
        <v>15</v>
      </c>
      <c r="I553">
        <v>1</v>
      </c>
      <c r="J553" s="6">
        <v>30</v>
      </c>
      <c r="K553">
        <v>13.5</v>
      </c>
      <c r="L553">
        <v>30</v>
      </c>
      <c r="M553" t="str">
        <f>IF(OR(I553="",J553="",L553=""),"Incomplete","Complete")</f>
        <v>Complete</v>
      </c>
      <c r="N553" t="str">
        <f>IF(M553="Incomplete","Not checked",IF(ROUND(I553*J553,2)=ROUND(L553,2),"Valid","Mismatch"))</f>
        <v>Valid</v>
      </c>
      <c r="O553">
        <f t="shared" si="17"/>
        <v>16.5</v>
      </c>
    </row>
    <row r="554" spans="1:15">
      <c r="A554">
        <v>593</v>
      </c>
      <c r="B554" t="str">
        <f t="shared" si="16"/>
        <v>2023-01</v>
      </c>
      <c r="C554" s="1">
        <v>44944</v>
      </c>
      <c r="D554" s="5">
        <v>0.92013888888888884</v>
      </c>
      <c r="E554">
        <v>2</v>
      </c>
      <c r="F554" t="s">
        <v>11</v>
      </c>
      <c r="G554">
        <v>35</v>
      </c>
      <c r="H554" t="s">
        <v>15</v>
      </c>
      <c r="I554">
        <v>2</v>
      </c>
      <c r="J554" s="6">
        <v>30</v>
      </c>
      <c r="K554">
        <v>13.2</v>
      </c>
      <c r="L554">
        <v>60</v>
      </c>
      <c r="M554" t="str">
        <f>IF(OR(I554="",J554="",L554=""),"Incomplete","Complete")</f>
        <v>Complete</v>
      </c>
      <c r="N554" t="str">
        <f>IF(M554="Incomplete","Not checked",IF(ROUND(I554*J554,2)=ROUND(L554,2),"Valid","Mismatch"))</f>
        <v>Valid</v>
      </c>
      <c r="O554">
        <f t="shared" si="17"/>
        <v>46.8</v>
      </c>
    </row>
    <row r="555" spans="1:15">
      <c r="A555">
        <v>1090</v>
      </c>
      <c r="B555" t="str">
        <f t="shared" si="16"/>
        <v>2023-02</v>
      </c>
      <c r="C555" s="1">
        <v>44975</v>
      </c>
      <c r="D555" s="5">
        <v>0.82916666666666672</v>
      </c>
      <c r="E555">
        <v>4</v>
      </c>
      <c r="F555" t="s">
        <v>14</v>
      </c>
      <c r="G555">
        <v>51</v>
      </c>
      <c r="H555" t="s">
        <v>15</v>
      </c>
      <c r="I555">
        <v>1</v>
      </c>
      <c r="J555" s="6">
        <v>30</v>
      </c>
      <c r="K555">
        <v>7.5</v>
      </c>
      <c r="L555">
        <v>30</v>
      </c>
      <c r="M555" t="str">
        <f>IF(OR(I555="",J555="",L555=""),"Incomplete","Complete")</f>
        <v>Complete</v>
      </c>
      <c r="N555" t="str">
        <f>IF(M555="Incomplete","Not checked",IF(ROUND(I555*J555,2)=ROUND(L555,2),"Valid","Mismatch"))</f>
        <v>Valid</v>
      </c>
      <c r="O555">
        <f t="shared" si="17"/>
        <v>22.5</v>
      </c>
    </row>
    <row r="556" spans="1:15">
      <c r="A556">
        <v>1593</v>
      </c>
      <c r="B556" t="str">
        <f t="shared" si="16"/>
        <v>2023-02</v>
      </c>
      <c r="C556" s="1">
        <v>44981</v>
      </c>
      <c r="D556" s="5">
        <v>0.94374999999999998</v>
      </c>
      <c r="E556">
        <v>5</v>
      </c>
      <c r="F556" t="s">
        <v>11</v>
      </c>
      <c r="G556">
        <v>35</v>
      </c>
      <c r="H556" t="s">
        <v>15</v>
      </c>
      <c r="I556">
        <v>2</v>
      </c>
      <c r="J556" s="6">
        <v>30</v>
      </c>
      <c r="K556">
        <v>14.4</v>
      </c>
      <c r="L556">
        <v>60</v>
      </c>
      <c r="M556" t="str">
        <f>IF(OR(I556="",J556="",L556=""),"Incomplete","Complete")</f>
        <v>Complete</v>
      </c>
      <c r="N556" t="str">
        <f>IF(M556="Incomplete","Not checked",IF(ROUND(I556*J556,2)=ROUND(L556,2),"Valid","Mismatch"))</f>
        <v>Valid</v>
      </c>
      <c r="O556">
        <f t="shared" si="17"/>
        <v>45.6</v>
      </c>
    </row>
    <row r="557" spans="1:15">
      <c r="A557">
        <v>640</v>
      </c>
      <c r="B557" t="str">
        <f t="shared" si="16"/>
        <v>2023-12</v>
      </c>
      <c r="C557" s="1">
        <v>45285</v>
      </c>
      <c r="D557" s="5">
        <v>0.83680555555555558</v>
      </c>
      <c r="E557">
        <v>3</v>
      </c>
      <c r="F557" t="s">
        <v>14</v>
      </c>
      <c r="G557">
        <v>51</v>
      </c>
      <c r="H557" t="s">
        <v>15</v>
      </c>
      <c r="I557">
        <v>4</v>
      </c>
      <c r="J557" s="6">
        <v>30</v>
      </c>
      <c r="K557">
        <v>12.6</v>
      </c>
      <c r="L557">
        <v>120</v>
      </c>
      <c r="M557" t="str">
        <f>IF(OR(I557="",J557="",L557=""),"Incomplete","Complete")</f>
        <v>Complete</v>
      </c>
      <c r="N557" t="str">
        <f>IF(M557="Incomplete","Not checked",IF(ROUND(I557*J557,2)=ROUND(L557,2),"Valid","Mismatch"))</f>
        <v>Valid</v>
      </c>
      <c r="O557">
        <f t="shared" si="17"/>
        <v>107.4</v>
      </c>
    </row>
    <row r="558" spans="1:15">
      <c r="A558">
        <v>1640</v>
      </c>
      <c r="B558" t="str">
        <f t="shared" si="16"/>
        <v>2023-06</v>
      </c>
      <c r="C558" s="1">
        <v>45087</v>
      </c>
      <c r="D558" s="5">
        <v>0.82222222222222219</v>
      </c>
      <c r="E558">
        <v>5</v>
      </c>
      <c r="F558" t="s">
        <v>14</v>
      </c>
      <c r="G558">
        <v>51</v>
      </c>
      <c r="H558" t="s">
        <v>15</v>
      </c>
      <c r="I558">
        <v>4</v>
      </c>
      <c r="J558" s="6">
        <v>30</v>
      </c>
      <c r="K558">
        <v>14.1</v>
      </c>
      <c r="L558">
        <v>120</v>
      </c>
      <c r="M558" t="str">
        <f>IF(OR(I558="",J558="",L558=""),"Incomplete","Complete")</f>
        <v>Complete</v>
      </c>
      <c r="N558" t="str">
        <f>IF(M558="Incomplete","Not checked",IF(ROUND(I558*J558,2)=ROUND(L558,2),"Valid","Mismatch"))</f>
        <v>Valid</v>
      </c>
      <c r="O558">
        <f t="shared" si="17"/>
        <v>105.9</v>
      </c>
    </row>
    <row r="559" spans="1:15">
      <c r="A559">
        <v>148</v>
      </c>
      <c r="B559" t="str">
        <f t="shared" si="16"/>
        <v>2023-07</v>
      </c>
      <c r="C559" s="1">
        <v>45110</v>
      </c>
      <c r="D559" s="5">
        <v>0.86041666666666672</v>
      </c>
      <c r="E559">
        <v>5</v>
      </c>
      <c r="F559" t="s">
        <v>11</v>
      </c>
      <c r="G559">
        <v>18</v>
      </c>
      <c r="H559" t="s">
        <v>12</v>
      </c>
      <c r="I559">
        <v>2</v>
      </c>
      <c r="J559" s="6">
        <v>30</v>
      </c>
      <c r="K559">
        <v>9.9</v>
      </c>
      <c r="L559">
        <v>60</v>
      </c>
      <c r="M559" t="str">
        <f>IF(OR(I559="",J559="",L559=""),"Incomplete","Complete")</f>
        <v>Complete</v>
      </c>
      <c r="N559" t="str">
        <f>IF(M559="Incomplete","Not checked",IF(ROUND(I559*J559,2)=ROUND(L559,2),"Valid","Mismatch"))</f>
        <v>Valid</v>
      </c>
      <c r="O559">
        <f t="shared" si="17"/>
        <v>50.1</v>
      </c>
    </row>
    <row r="560" spans="1:15">
      <c r="A560">
        <v>1148</v>
      </c>
      <c r="B560" t="str">
        <f t="shared" si="16"/>
        <v>2023-08</v>
      </c>
      <c r="C560" s="1">
        <v>45149</v>
      </c>
      <c r="D560" s="5">
        <v>0.9194444444444444</v>
      </c>
      <c r="E560">
        <v>2</v>
      </c>
      <c r="F560" t="s">
        <v>11</v>
      </c>
      <c r="G560">
        <v>18</v>
      </c>
      <c r="H560" t="s">
        <v>12</v>
      </c>
      <c r="I560">
        <v>2</v>
      </c>
      <c r="J560" s="6">
        <v>30</v>
      </c>
      <c r="K560">
        <v>10.8</v>
      </c>
      <c r="L560">
        <v>60</v>
      </c>
      <c r="M560" t="str">
        <f>IF(OR(I560="",J560="",L560=""),"Incomplete","Complete")</f>
        <v>Complete</v>
      </c>
      <c r="N560" t="str">
        <f>IF(M560="Incomplete","Not checked",IF(ROUND(I560*J560,2)=ROUND(L560,2),"Valid","Mismatch"))</f>
        <v>Valid</v>
      </c>
      <c r="O560">
        <f t="shared" si="17"/>
        <v>49.2</v>
      </c>
    </row>
    <row r="561" spans="1:15">
      <c r="A561">
        <v>518</v>
      </c>
      <c r="B561" t="str">
        <f t="shared" si="16"/>
        <v>2023-07</v>
      </c>
      <c r="C561" s="1">
        <v>45138</v>
      </c>
      <c r="D561" s="5">
        <v>0.70902777777777781</v>
      </c>
      <c r="E561">
        <v>2</v>
      </c>
      <c r="F561" t="s">
        <v>14</v>
      </c>
      <c r="G561">
        <v>40</v>
      </c>
      <c r="H561" t="s">
        <v>12</v>
      </c>
      <c r="I561">
        <v>1</v>
      </c>
      <c r="J561" s="6">
        <v>30</v>
      </c>
      <c r="K561">
        <v>16.2</v>
      </c>
      <c r="L561">
        <v>30</v>
      </c>
      <c r="M561" t="str">
        <f>IF(OR(I561="",J561="",L561=""),"Incomplete","Complete")</f>
        <v>Complete</v>
      </c>
      <c r="N561" t="str">
        <f>IF(M561="Incomplete","Not checked",IF(ROUND(I561*J561,2)=ROUND(L561,2),"Valid","Mismatch"))</f>
        <v>Valid</v>
      </c>
      <c r="O561">
        <f t="shared" si="17"/>
        <v>13.8</v>
      </c>
    </row>
    <row r="562" spans="1:15">
      <c r="A562">
        <v>1518</v>
      </c>
      <c r="B562" t="str">
        <f t="shared" si="16"/>
        <v>2023-05</v>
      </c>
      <c r="C562" s="1">
        <v>45064</v>
      </c>
      <c r="D562" s="5">
        <v>0.8354166666666667</v>
      </c>
      <c r="E562">
        <v>3</v>
      </c>
      <c r="F562" t="s">
        <v>14</v>
      </c>
      <c r="G562">
        <v>40</v>
      </c>
      <c r="H562" t="s">
        <v>12</v>
      </c>
      <c r="I562">
        <v>1</v>
      </c>
      <c r="J562" s="6">
        <v>30</v>
      </c>
      <c r="K562">
        <v>12.6</v>
      </c>
      <c r="L562">
        <v>30</v>
      </c>
      <c r="M562" t="str">
        <f>IF(OR(I562="",J562="",L562=""),"Incomplete","Complete")</f>
        <v>Complete</v>
      </c>
      <c r="N562" t="str">
        <f>IF(M562="Incomplete","Not checked",IF(ROUND(I562*J562,2)=ROUND(L562,2),"Valid","Mismatch"))</f>
        <v>Valid</v>
      </c>
      <c r="O562">
        <f t="shared" si="17"/>
        <v>17.399999999999999</v>
      </c>
    </row>
    <row r="563" spans="1:15">
      <c r="A563">
        <v>501</v>
      </c>
      <c r="B563" t="str">
        <f t="shared" si="16"/>
        <v>2023-06</v>
      </c>
      <c r="C563" s="1">
        <v>45105</v>
      </c>
      <c r="D563" s="5">
        <v>0.84791666666666665</v>
      </c>
      <c r="E563">
        <v>2</v>
      </c>
      <c r="F563" t="s">
        <v>11</v>
      </c>
      <c r="G563">
        <v>39</v>
      </c>
      <c r="H563" t="s">
        <v>15</v>
      </c>
      <c r="I563">
        <v>2</v>
      </c>
      <c r="J563" s="6">
        <v>30</v>
      </c>
      <c r="K563">
        <v>9</v>
      </c>
      <c r="L563">
        <v>60</v>
      </c>
      <c r="M563" t="str">
        <f>IF(OR(I563="",J563="",L563=""),"Incomplete","Complete")</f>
        <v>Complete</v>
      </c>
      <c r="N563" t="str">
        <f>IF(M563="Incomplete","Not checked",IF(ROUND(I563*J563,2)=ROUND(L563,2),"Valid","Mismatch"))</f>
        <v>Valid</v>
      </c>
      <c r="O563">
        <f t="shared" si="17"/>
        <v>51</v>
      </c>
    </row>
    <row r="564" spans="1:15">
      <c r="A564">
        <v>1501</v>
      </c>
      <c r="B564" t="str">
        <f t="shared" si="16"/>
        <v>2023-01</v>
      </c>
      <c r="C564" s="1">
        <v>44957</v>
      </c>
      <c r="D564" s="5">
        <v>0.75</v>
      </c>
      <c r="E564">
        <v>1</v>
      </c>
      <c r="F564" t="s">
        <v>11</v>
      </c>
      <c r="G564">
        <v>39</v>
      </c>
      <c r="H564" t="s">
        <v>15</v>
      </c>
      <c r="I564">
        <v>2</v>
      </c>
      <c r="J564" s="6">
        <v>30</v>
      </c>
      <c r="K564">
        <v>13.5</v>
      </c>
      <c r="L564">
        <v>60</v>
      </c>
      <c r="M564" t="str">
        <f>IF(OR(I564="",J564="",L564=""),"Incomplete","Complete")</f>
        <v>Complete</v>
      </c>
      <c r="N564" t="str">
        <f>IF(M564="Incomplete","Not checked",IF(ROUND(I564*J564,2)=ROUND(L564,2),"Valid","Mismatch"))</f>
        <v>Valid</v>
      </c>
      <c r="O564">
        <f t="shared" si="17"/>
        <v>46.5</v>
      </c>
    </row>
    <row r="565" spans="1:15">
      <c r="A565">
        <v>123</v>
      </c>
      <c r="B565" t="str">
        <f t="shared" si="16"/>
        <v>2023-08</v>
      </c>
      <c r="C565" s="1">
        <v>45149</v>
      </c>
      <c r="D565" s="5">
        <v>0.79166666666666663</v>
      </c>
      <c r="E565">
        <v>3</v>
      </c>
      <c r="F565" t="s">
        <v>14</v>
      </c>
      <c r="G565">
        <v>40</v>
      </c>
      <c r="H565" t="s">
        <v>15</v>
      </c>
      <c r="I565">
        <v>2</v>
      </c>
      <c r="J565" s="6">
        <v>30</v>
      </c>
      <c r="K565">
        <v>11.7</v>
      </c>
      <c r="L565">
        <v>60</v>
      </c>
      <c r="M565" t="str">
        <f>IF(OR(I565="",J565="",L565=""),"Incomplete","Complete")</f>
        <v>Complete</v>
      </c>
      <c r="N565" t="str">
        <f>IF(M565="Incomplete","Not checked",IF(ROUND(I565*J565,2)=ROUND(L565,2),"Valid","Mismatch"))</f>
        <v>Valid</v>
      </c>
      <c r="O565">
        <f t="shared" si="17"/>
        <v>48.3</v>
      </c>
    </row>
    <row r="566" spans="1:15">
      <c r="A566">
        <v>425</v>
      </c>
      <c r="B566" t="str">
        <f t="shared" si="16"/>
        <v>2023-06</v>
      </c>
      <c r="C566" s="1">
        <v>45088</v>
      </c>
      <c r="D566" s="5">
        <v>0.76944444444444449</v>
      </c>
      <c r="E566">
        <v>2</v>
      </c>
      <c r="F566" t="s">
        <v>14</v>
      </c>
      <c r="G566">
        <v>55</v>
      </c>
      <c r="H566" t="s">
        <v>15</v>
      </c>
      <c r="I566">
        <v>4</v>
      </c>
      <c r="J566" s="6">
        <v>30</v>
      </c>
      <c r="K566">
        <v>15.6</v>
      </c>
      <c r="L566">
        <v>120</v>
      </c>
      <c r="M566" t="str">
        <f>IF(OR(I566="",J566="",L566=""),"Incomplete","Complete")</f>
        <v>Complete</v>
      </c>
      <c r="N566" t="str">
        <f>IF(M566="Incomplete","Not checked",IF(ROUND(I566*J566,2)=ROUND(L566,2),"Valid","Mismatch"))</f>
        <v>Valid</v>
      </c>
      <c r="O566">
        <f t="shared" si="17"/>
        <v>104.4</v>
      </c>
    </row>
    <row r="567" spans="1:15">
      <c r="A567">
        <v>1123</v>
      </c>
      <c r="B567" t="str">
        <f t="shared" si="16"/>
        <v>2023-12</v>
      </c>
      <c r="C567" s="1">
        <v>45271</v>
      </c>
      <c r="D567" s="5">
        <v>0.87777777777777777</v>
      </c>
      <c r="E567">
        <v>1</v>
      </c>
      <c r="F567" t="s">
        <v>14</v>
      </c>
      <c r="G567">
        <v>40</v>
      </c>
      <c r="H567" t="s">
        <v>15</v>
      </c>
      <c r="I567">
        <v>2</v>
      </c>
      <c r="J567" s="6">
        <v>30</v>
      </c>
      <c r="K567">
        <v>10.8</v>
      </c>
      <c r="L567">
        <v>60</v>
      </c>
      <c r="M567" t="str">
        <f>IF(OR(I567="",J567="",L567=""),"Incomplete","Complete")</f>
        <v>Complete</v>
      </c>
      <c r="N567" t="str">
        <f>IF(M567="Incomplete","Not checked",IF(ROUND(I567*J567,2)=ROUND(L567,2),"Valid","Mismatch"))</f>
        <v>Valid</v>
      </c>
      <c r="O567">
        <f t="shared" si="17"/>
        <v>49.2</v>
      </c>
    </row>
    <row r="568" spans="1:15">
      <c r="A568">
        <v>1425</v>
      </c>
      <c r="B568" t="str">
        <f t="shared" si="16"/>
        <v>2023-12</v>
      </c>
      <c r="C568" s="1">
        <v>45262</v>
      </c>
      <c r="D568" s="5">
        <v>0.92708333333333337</v>
      </c>
      <c r="E568">
        <v>1</v>
      </c>
      <c r="F568" t="s">
        <v>14</v>
      </c>
      <c r="G568">
        <v>55</v>
      </c>
      <c r="H568" t="s">
        <v>15</v>
      </c>
      <c r="I568">
        <v>4</v>
      </c>
      <c r="J568" s="6">
        <v>30</v>
      </c>
      <c r="K568">
        <v>10.199999999999999</v>
      </c>
      <c r="L568">
        <v>120</v>
      </c>
      <c r="M568" t="str">
        <f>IF(OR(I568="",J568="",L568=""),"Incomplete","Complete")</f>
        <v>Complete</v>
      </c>
      <c r="N568" t="str">
        <f>IF(M568="Incomplete","Not checked",IF(ROUND(I568*J568,2)=ROUND(L568,2),"Valid","Mismatch"))</f>
        <v>Valid</v>
      </c>
      <c r="O568">
        <f t="shared" si="17"/>
        <v>109.8</v>
      </c>
    </row>
    <row r="569" spans="1:15">
      <c r="A569">
        <v>305</v>
      </c>
      <c r="B569" t="str">
        <f t="shared" si="16"/>
        <v>2023-03</v>
      </c>
      <c r="C569" s="1">
        <v>45007</v>
      </c>
      <c r="D569" s="5">
        <v>0.92291666666666672</v>
      </c>
      <c r="E569">
        <v>4</v>
      </c>
      <c r="F569" t="s">
        <v>14</v>
      </c>
      <c r="G569">
        <v>18</v>
      </c>
      <c r="H569" t="s">
        <v>13</v>
      </c>
      <c r="I569">
        <v>1</v>
      </c>
      <c r="J569" s="6">
        <v>30</v>
      </c>
      <c r="K569">
        <v>14.4</v>
      </c>
      <c r="L569">
        <v>30</v>
      </c>
      <c r="M569" t="str">
        <f>IF(OR(I569="",J569="",L569=""),"Incomplete","Complete")</f>
        <v>Complete</v>
      </c>
      <c r="N569" t="str">
        <f>IF(M569="Incomplete","Not checked",IF(ROUND(I569*J569,2)=ROUND(L569,2),"Valid","Mismatch"))</f>
        <v>Valid</v>
      </c>
      <c r="O569">
        <f t="shared" si="17"/>
        <v>15.6</v>
      </c>
    </row>
    <row r="570" spans="1:15">
      <c r="A570">
        <v>376</v>
      </c>
      <c r="B570" t="str">
        <f t="shared" si="16"/>
        <v>2023-01</v>
      </c>
      <c r="C570" s="1">
        <v>44955</v>
      </c>
      <c r="D570" s="5">
        <v>0.76458333333333328</v>
      </c>
      <c r="E570">
        <v>4</v>
      </c>
      <c r="F570" t="s">
        <v>14</v>
      </c>
      <c r="G570">
        <v>64</v>
      </c>
      <c r="H570" t="s">
        <v>13</v>
      </c>
      <c r="I570">
        <v>1</v>
      </c>
      <c r="J570" s="6">
        <v>30</v>
      </c>
      <c r="K570">
        <v>12</v>
      </c>
      <c r="L570">
        <v>30</v>
      </c>
      <c r="M570" t="str">
        <f>IF(OR(I570="",J570="",L570=""),"Incomplete","Complete")</f>
        <v>Complete</v>
      </c>
      <c r="N570" t="str">
        <f>IF(M570="Incomplete","Not checked",IF(ROUND(I570*J570,2)=ROUND(L570,2),"Valid","Mismatch"))</f>
        <v>Valid</v>
      </c>
      <c r="O570">
        <f t="shared" si="17"/>
        <v>18</v>
      </c>
    </row>
    <row r="571" spans="1:15">
      <c r="A571">
        <v>1305</v>
      </c>
      <c r="B571" t="str">
        <f t="shared" si="16"/>
        <v>2023-04</v>
      </c>
      <c r="C571" s="1">
        <v>45021</v>
      </c>
      <c r="D571" s="5">
        <v>0.76666666666666672</v>
      </c>
      <c r="E571">
        <v>5</v>
      </c>
      <c r="F571" t="s">
        <v>14</v>
      </c>
      <c r="G571">
        <v>18</v>
      </c>
      <c r="H571" t="s">
        <v>13</v>
      </c>
      <c r="I571">
        <v>1</v>
      </c>
      <c r="J571" s="6">
        <v>30</v>
      </c>
      <c r="K571">
        <v>7.8</v>
      </c>
      <c r="L571">
        <v>30</v>
      </c>
      <c r="M571" t="str">
        <f>IF(OR(I571="",J571="",L571=""),"Incomplete","Complete")</f>
        <v>Complete</v>
      </c>
      <c r="N571" t="str">
        <f>IF(M571="Incomplete","Not checked",IF(ROUND(I571*J571,2)=ROUND(L571,2),"Valid","Mismatch"))</f>
        <v>Valid</v>
      </c>
      <c r="O571">
        <f t="shared" si="17"/>
        <v>22.2</v>
      </c>
    </row>
    <row r="572" spans="1:15">
      <c r="A572">
        <v>1376</v>
      </c>
      <c r="B572" t="str">
        <f t="shared" si="16"/>
        <v>2023-07</v>
      </c>
      <c r="C572" s="1">
        <v>45122</v>
      </c>
      <c r="D572" s="5">
        <v>0.8256944444444444</v>
      </c>
      <c r="E572">
        <v>3</v>
      </c>
      <c r="F572" t="s">
        <v>14</v>
      </c>
      <c r="G572">
        <v>64</v>
      </c>
      <c r="H572" t="s">
        <v>13</v>
      </c>
      <c r="I572">
        <v>1</v>
      </c>
      <c r="J572" s="6">
        <v>30</v>
      </c>
      <c r="K572">
        <v>9.9</v>
      </c>
      <c r="L572">
        <v>30</v>
      </c>
      <c r="M572" t="str">
        <f>IF(OR(I572="",J572="",L572=""),"Incomplete","Complete")</f>
        <v>Complete</v>
      </c>
      <c r="N572" t="str">
        <f>IF(M572="Incomplete","Not checked",IF(ROUND(I572*J572,2)=ROUND(L572,2),"Valid","Mismatch"))</f>
        <v>Valid</v>
      </c>
      <c r="O572">
        <f t="shared" si="17"/>
        <v>20.100000000000001</v>
      </c>
    </row>
    <row r="573" spans="1:15">
      <c r="A573">
        <v>419</v>
      </c>
      <c r="B573" t="str">
        <f t="shared" si="16"/>
        <v>2023-03</v>
      </c>
      <c r="C573" s="1">
        <v>45016</v>
      </c>
      <c r="D573" s="5">
        <v>0.8041666666666667</v>
      </c>
      <c r="E573">
        <v>5</v>
      </c>
      <c r="F573" t="s">
        <v>14</v>
      </c>
      <c r="G573">
        <v>44</v>
      </c>
      <c r="H573" t="s">
        <v>12</v>
      </c>
      <c r="I573">
        <v>3</v>
      </c>
      <c r="J573" s="6">
        <v>30</v>
      </c>
      <c r="K573">
        <v>11.7</v>
      </c>
      <c r="L573">
        <v>90</v>
      </c>
      <c r="M573" t="str">
        <f>IF(OR(I573="",J573="",L573=""),"Incomplete","Complete")</f>
        <v>Complete</v>
      </c>
      <c r="N573" t="str">
        <f>IF(M573="Incomplete","Not checked",IF(ROUND(I573*J573,2)=ROUND(L573,2),"Valid","Mismatch"))</f>
        <v>Valid</v>
      </c>
      <c r="O573">
        <f t="shared" si="17"/>
        <v>78.3</v>
      </c>
    </row>
    <row r="574" spans="1:15">
      <c r="A574">
        <v>895</v>
      </c>
      <c r="B574" t="str">
        <f t="shared" si="16"/>
        <v>2023-08</v>
      </c>
      <c r="C574" s="1">
        <v>45169</v>
      </c>
      <c r="D574" s="5">
        <v>0.91041666666666665</v>
      </c>
      <c r="E574">
        <v>3</v>
      </c>
      <c r="F574" t="s">
        <v>14</v>
      </c>
      <c r="G574">
        <v>55</v>
      </c>
      <c r="H574" t="s">
        <v>12</v>
      </c>
      <c r="I574">
        <v>4</v>
      </c>
      <c r="J574" s="6">
        <v>30</v>
      </c>
      <c r="K574">
        <v>14.4</v>
      </c>
      <c r="L574">
        <v>120</v>
      </c>
      <c r="M574" t="str">
        <f>IF(OR(I574="",J574="",L574=""),"Incomplete","Complete")</f>
        <v>Complete</v>
      </c>
      <c r="N574" t="str">
        <f>IF(M574="Incomplete","Not checked",IF(ROUND(I574*J574,2)=ROUND(L574,2),"Valid","Mismatch"))</f>
        <v>Valid</v>
      </c>
      <c r="O574">
        <f t="shared" si="17"/>
        <v>105.6</v>
      </c>
    </row>
    <row r="575" spans="1:15">
      <c r="A575">
        <v>1419</v>
      </c>
      <c r="B575" t="str">
        <f t="shared" si="16"/>
        <v>2023-02</v>
      </c>
      <c r="C575" s="1">
        <v>44962</v>
      </c>
      <c r="D575" s="5">
        <v>0.77916666666666667</v>
      </c>
      <c r="E575">
        <v>3</v>
      </c>
      <c r="F575" t="s">
        <v>14</v>
      </c>
      <c r="G575">
        <v>44</v>
      </c>
      <c r="H575" t="s">
        <v>12</v>
      </c>
      <c r="I575">
        <v>3</v>
      </c>
      <c r="J575" s="6">
        <v>30</v>
      </c>
      <c r="K575">
        <v>9.3000000000000007</v>
      </c>
      <c r="L575">
        <v>90</v>
      </c>
      <c r="M575" t="str">
        <f>IF(OR(I575="",J575="",L575=""),"Incomplete","Complete")</f>
        <v>Complete</v>
      </c>
      <c r="N575" t="str">
        <f>IF(M575="Incomplete","Not checked",IF(ROUND(I575*J575,2)=ROUND(L575,2),"Valid","Mismatch"))</f>
        <v>Valid</v>
      </c>
      <c r="O575">
        <f t="shared" si="17"/>
        <v>80.7</v>
      </c>
    </row>
    <row r="576" spans="1:15">
      <c r="A576">
        <v>1895</v>
      </c>
      <c r="B576" t="str">
        <f t="shared" si="16"/>
        <v>2023-03</v>
      </c>
      <c r="C576" s="1">
        <v>45012</v>
      </c>
      <c r="D576" s="5">
        <v>0.87430555555555556</v>
      </c>
      <c r="E576">
        <v>4</v>
      </c>
      <c r="F576" t="s">
        <v>14</v>
      </c>
      <c r="G576">
        <v>55</v>
      </c>
      <c r="H576" t="s">
        <v>12</v>
      </c>
      <c r="I576">
        <v>4</v>
      </c>
      <c r="J576" s="6">
        <v>30</v>
      </c>
      <c r="K576">
        <v>15.3</v>
      </c>
      <c r="L576">
        <v>120</v>
      </c>
      <c r="M576" t="str">
        <f>IF(OR(I576="",J576="",L576=""),"Incomplete","Complete")</f>
        <v>Complete</v>
      </c>
      <c r="N576" t="str">
        <f>IF(M576="Incomplete","Not checked",IF(ROUND(I576*J576,2)=ROUND(L576,2),"Valid","Mismatch"))</f>
        <v>Valid</v>
      </c>
      <c r="O576">
        <f t="shared" si="17"/>
        <v>104.7</v>
      </c>
    </row>
    <row r="577" spans="1:15">
      <c r="A577">
        <v>489</v>
      </c>
      <c r="B577" t="str">
        <f t="shared" si="16"/>
        <v>2023-10</v>
      </c>
      <c r="C577" s="1">
        <v>45230</v>
      </c>
      <c r="D577" s="5">
        <v>0.91736111111111107</v>
      </c>
      <c r="E577">
        <v>1</v>
      </c>
      <c r="F577" t="s">
        <v>11</v>
      </c>
      <c r="G577">
        <v>44</v>
      </c>
      <c r="H577" t="s">
        <v>15</v>
      </c>
      <c r="I577">
        <v>1</v>
      </c>
      <c r="J577" s="6">
        <v>30</v>
      </c>
      <c r="K577">
        <v>14.4</v>
      </c>
      <c r="L577">
        <v>30</v>
      </c>
      <c r="M577" t="str">
        <f>IF(OR(I577="",J577="",L577=""),"Incomplete","Complete")</f>
        <v>Complete</v>
      </c>
      <c r="N577" t="str">
        <f>IF(M577="Incomplete","Not checked",IF(ROUND(I577*J577,2)=ROUND(L577,2),"Valid","Mismatch"))</f>
        <v>Valid</v>
      </c>
      <c r="O577">
        <f t="shared" si="17"/>
        <v>15.6</v>
      </c>
    </row>
    <row r="578" spans="1:15">
      <c r="A578">
        <v>1489</v>
      </c>
      <c r="B578" t="str">
        <f t="shared" ref="B578:B641" si="18">TEXT(C578,"yyyy-mm")</f>
        <v>2023-04</v>
      </c>
      <c r="C578" s="1">
        <v>45044</v>
      </c>
      <c r="D578" s="5">
        <v>0.77083333333333337</v>
      </c>
      <c r="E578">
        <v>2</v>
      </c>
      <c r="F578" t="s">
        <v>11</v>
      </c>
      <c r="G578">
        <v>44</v>
      </c>
      <c r="H578" t="s">
        <v>15</v>
      </c>
      <c r="I578">
        <v>1</v>
      </c>
      <c r="J578" s="6">
        <v>30</v>
      </c>
      <c r="K578">
        <v>10.5</v>
      </c>
      <c r="L578">
        <v>30</v>
      </c>
      <c r="M578" t="str">
        <f>IF(OR(I578="",J578="",L578=""),"Incomplete","Complete")</f>
        <v>Complete</v>
      </c>
      <c r="N578" t="str">
        <f>IF(M578="Incomplete","Not checked",IF(ROUND(I578*J578,2)=ROUND(L578,2),"Valid","Mismatch"))</f>
        <v>Valid</v>
      </c>
      <c r="O578">
        <f t="shared" ref="O578:O641" si="19">IF(M578="Incomplete","",L578-K578)</f>
        <v>19.5</v>
      </c>
    </row>
    <row r="579" spans="1:15">
      <c r="A579">
        <v>578</v>
      </c>
      <c r="B579" t="str">
        <f t="shared" si="18"/>
        <v>2023-12</v>
      </c>
      <c r="C579" s="1">
        <v>45265</v>
      </c>
      <c r="D579" s="5">
        <v>0.9458333333333333</v>
      </c>
      <c r="E579">
        <v>68</v>
      </c>
      <c r="F579" t="s">
        <v>14</v>
      </c>
      <c r="G579">
        <v>54</v>
      </c>
      <c r="H579" t="s">
        <v>12</v>
      </c>
      <c r="I579">
        <v>4</v>
      </c>
      <c r="J579" s="6">
        <v>30</v>
      </c>
      <c r="K579">
        <v>9.3000000000000007</v>
      </c>
      <c r="L579">
        <v>120</v>
      </c>
      <c r="M579" t="str">
        <f>IF(OR(I579="",J579="",L579=""),"Incomplete","Complete")</f>
        <v>Complete</v>
      </c>
      <c r="N579" t="str">
        <f>IF(M579="Incomplete","Not checked",IF(ROUND(I579*J579,2)=ROUND(L579,2),"Valid","Mismatch"))</f>
        <v>Valid</v>
      </c>
      <c r="O579">
        <f t="shared" si="19"/>
        <v>110.7</v>
      </c>
    </row>
    <row r="580" spans="1:15">
      <c r="A580">
        <v>1578</v>
      </c>
      <c r="B580" t="str">
        <f t="shared" si="18"/>
        <v>2023-11</v>
      </c>
      <c r="C580" s="1">
        <v>45250</v>
      </c>
      <c r="D580" s="5">
        <v>0.77986111111111112</v>
      </c>
      <c r="E580">
        <v>66</v>
      </c>
      <c r="F580" t="s">
        <v>14</v>
      </c>
      <c r="G580">
        <v>54</v>
      </c>
      <c r="H580" t="s">
        <v>12</v>
      </c>
      <c r="I580">
        <v>4</v>
      </c>
      <c r="J580" s="6">
        <v>30</v>
      </c>
      <c r="K580">
        <v>12</v>
      </c>
      <c r="L580">
        <v>120</v>
      </c>
      <c r="M580" t="str">
        <f>IF(OR(I580="",J580="",L580=""),"Incomplete","Complete")</f>
        <v>Complete</v>
      </c>
      <c r="N580" t="str">
        <f>IF(M580="Incomplete","Not checked",IF(ROUND(I580*J580,2)=ROUND(L580,2),"Valid","Mismatch"))</f>
        <v>Valid</v>
      </c>
      <c r="O580">
        <f t="shared" si="19"/>
        <v>108</v>
      </c>
    </row>
    <row r="581" spans="1:15">
      <c r="A581">
        <v>915</v>
      </c>
      <c r="B581" t="str">
        <f t="shared" si="18"/>
        <v>2023-10</v>
      </c>
      <c r="C581" s="1">
        <v>45210</v>
      </c>
      <c r="D581" s="5">
        <v>0.79583333333333328</v>
      </c>
      <c r="E581">
        <v>95</v>
      </c>
      <c r="F581" t="s">
        <v>14</v>
      </c>
      <c r="G581">
        <v>26</v>
      </c>
      <c r="H581" t="s">
        <v>13</v>
      </c>
      <c r="I581">
        <v>3</v>
      </c>
      <c r="J581" s="6">
        <v>30</v>
      </c>
      <c r="K581">
        <v>12.9</v>
      </c>
      <c r="L581">
        <v>90</v>
      </c>
      <c r="M581" t="str">
        <f>IF(OR(I581="",J581="",L581=""),"Incomplete","Complete")</f>
        <v>Complete</v>
      </c>
      <c r="N581" t="str">
        <f>IF(M581="Incomplete","Not checked",IF(ROUND(I581*J581,2)=ROUND(L581,2),"Valid","Mismatch"))</f>
        <v>Valid</v>
      </c>
      <c r="O581">
        <f t="shared" si="19"/>
        <v>77.099999999999994</v>
      </c>
    </row>
    <row r="582" spans="1:15">
      <c r="A582">
        <v>1915</v>
      </c>
      <c r="B582" t="str">
        <f t="shared" si="18"/>
        <v>2023-07</v>
      </c>
      <c r="C582" s="1">
        <v>45117</v>
      </c>
      <c r="D582" s="5">
        <v>0.95138888888888884</v>
      </c>
      <c r="E582">
        <v>53</v>
      </c>
      <c r="F582" t="s">
        <v>14</v>
      </c>
      <c r="G582">
        <v>26</v>
      </c>
      <c r="H582" t="s">
        <v>13</v>
      </c>
      <c r="I582">
        <v>3</v>
      </c>
      <c r="J582" s="6">
        <v>30</v>
      </c>
      <c r="K582">
        <v>9.3000000000000007</v>
      </c>
      <c r="L582">
        <v>90</v>
      </c>
      <c r="M582" t="str">
        <f>IF(OR(I582="",J582="",L582=""),"Incomplete","Complete")</f>
        <v>Complete</v>
      </c>
      <c r="N582" t="str">
        <f>IF(M582="Incomplete","Not checked",IF(ROUND(I582*J582,2)=ROUND(L582,2),"Valid","Mismatch"))</f>
        <v>Valid</v>
      </c>
      <c r="O582">
        <f t="shared" si="19"/>
        <v>80.7</v>
      </c>
    </row>
    <row r="583" spans="1:15">
      <c r="A583">
        <v>315</v>
      </c>
      <c r="B583" t="str">
        <f t="shared" si="18"/>
        <v>2023-07</v>
      </c>
      <c r="C583" s="1">
        <v>45110</v>
      </c>
      <c r="D583" s="5">
        <v>0.78680555555555554</v>
      </c>
      <c r="E583">
        <v>122</v>
      </c>
      <c r="F583" t="s">
        <v>11</v>
      </c>
      <c r="G583">
        <v>47</v>
      </c>
      <c r="H583" t="s">
        <v>12</v>
      </c>
      <c r="I583">
        <v>2</v>
      </c>
      <c r="J583" s="6">
        <v>30</v>
      </c>
      <c r="K583">
        <v>15</v>
      </c>
      <c r="L583">
        <v>60</v>
      </c>
      <c r="M583" t="str">
        <f>IF(OR(I583="",J583="",L583=""),"Incomplete","Complete")</f>
        <v>Complete</v>
      </c>
      <c r="N583" t="str">
        <f>IF(M583="Incomplete","Not checked",IF(ROUND(I583*J583,2)=ROUND(L583,2),"Valid","Mismatch"))</f>
        <v>Valid</v>
      </c>
      <c r="O583">
        <f t="shared" si="19"/>
        <v>45</v>
      </c>
    </row>
    <row r="584" spans="1:15">
      <c r="A584">
        <v>1315</v>
      </c>
      <c r="B584" t="str">
        <f t="shared" si="18"/>
        <v>2022-08</v>
      </c>
      <c r="C584" s="1">
        <v>44804</v>
      </c>
      <c r="D584" s="5">
        <v>0.86944444444444446</v>
      </c>
      <c r="E584">
        <v>14</v>
      </c>
      <c r="F584" t="s">
        <v>11</v>
      </c>
      <c r="G584">
        <v>47</v>
      </c>
      <c r="H584" t="s">
        <v>12</v>
      </c>
      <c r="I584">
        <v>2</v>
      </c>
      <c r="J584" s="6">
        <v>30</v>
      </c>
      <c r="K584">
        <v>12.9</v>
      </c>
      <c r="L584">
        <v>60</v>
      </c>
      <c r="M584" t="str">
        <f>IF(OR(I584="",J584="",L584=""),"Incomplete","Complete")</f>
        <v>Complete</v>
      </c>
      <c r="N584" t="str">
        <f>IF(M584="Incomplete","Not checked",IF(ROUND(I584*J584,2)=ROUND(L584,2),"Valid","Mismatch"))</f>
        <v>Valid</v>
      </c>
      <c r="O584">
        <f t="shared" si="19"/>
        <v>47.1</v>
      </c>
    </row>
    <row r="585" spans="1:15">
      <c r="A585">
        <v>387</v>
      </c>
      <c r="B585" t="str">
        <f t="shared" si="18"/>
        <v>2023-01</v>
      </c>
      <c r="C585" s="1">
        <v>44952</v>
      </c>
      <c r="D585" s="5">
        <v>0.91527777777777775</v>
      </c>
      <c r="E585">
        <v>118</v>
      </c>
      <c r="F585" t="s">
        <v>11</v>
      </c>
      <c r="G585">
        <v>44</v>
      </c>
      <c r="H585" t="s">
        <v>13</v>
      </c>
      <c r="I585">
        <v>1</v>
      </c>
      <c r="J585" s="6">
        <v>30</v>
      </c>
      <c r="K585">
        <v>9</v>
      </c>
      <c r="L585">
        <v>30</v>
      </c>
      <c r="M585" t="str">
        <f>IF(OR(I585="",J585="",L585=""),"Incomplete","Complete")</f>
        <v>Complete</v>
      </c>
      <c r="N585" t="str">
        <f>IF(M585="Incomplete","Not checked",IF(ROUND(I585*J585,2)=ROUND(L585,2),"Valid","Mismatch"))</f>
        <v>Valid</v>
      </c>
      <c r="O585">
        <f t="shared" si="19"/>
        <v>21</v>
      </c>
    </row>
    <row r="586" spans="1:15">
      <c r="A586">
        <v>1387</v>
      </c>
      <c r="B586" t="str">
        <f t="shared" si="18"/>
        <v>2022-07</v>
      </c>
      <c r="C586" s="1">
        <v>44768</v>
      </c>
      <c r="D586" s="5">
        <v>0.7416666666666667</v>
      </c>
      <c r="E586">
        <v>37</v>
      </c>
      <c r="F586" t="s">
        <v>11</v>
      </c>
      <c r="G586">
        <v>44</v>
      </c>
      <c r="H586" t="s">
        <v>13</v>
      </c>
      <c r="I586">
        <v>1</v>
      </c>
      <c r="J586" s="6">
        <v>30</v>
      </c>
      <c r="K586">
        <v>15.6</v>
      </c>
      <c r="L586">
        <v>30</v>
      </c>
      <c r="M586" t="str">
        <f>IF(OR(I586="",J586="",L586=""),"Incomplete","Complete")</f>
        <v>Complete</v>
      </c>
      <c r="N586" t="str">
        <f>IF(M586="Incomplete","Not checked",IF(ROUND(I586*J586,2)=ROUND(L586,2),"Valid","Mismatch"))</f>
        <v>Valid</v>
      </c>
      <c r="O586">
        <f t="shared" si="19"/>
        <v>14.4</v>
      </c>
    </row>
    <row r="587" spans="1:15">
      <c r="A587">
        <v>769</v>
      </c>
      <c r="B587" t="str">
        <f t="shared" si="18"/>
        <v>2022-09</v>
      </c>
      <c r="C587" s="1">
        <v>44813</v>
      </c>
      <c r="D587" s="5">
        <v>0.7895833333333333</v>
      </c>
      <c r="E587">
        <v>18</v>
      </c>
      <c r="F587" t="s">
        <v>14</v>
      </c>
      <c r="G587">
        <v>31</v>
      </c>
      <c r="H587" t="s">
        <v>15</v>
      </c>
      <c r="I587">
        <v>4</v>
      </c>
      <c r="J587" s="6">
        <v>30</v>
      </c>
      <c r="K587">
        <v>10.199999999999999</v>
      </c>
      <c r="L587">
        <v>120</v>
      </c>
      <c r="M587" t="str">
        <f>IF(OR(I587="",J587="",L587=""),"Incomplete","Complete")</f>
        <v>Complete</v>
      </c>
      <c r="N587" t="str">
        <f>IF(M587="Incomplete","Not checked",IF(ROUND(I587*J587,2)=ROUND(L587,2),"Valid","Mismatch"))</f>
        <v>Valid</v>
      </c>
      <c r="O587">
        <f t="shared" si="19"/>
        <v>109.8</v>
      </c>
    </row>
    <row r="588" spans="1:15">
      <c r="A588">
        <v>1769</v>
      </c>
      <c r="B588" t="str">
        <f t="shared" si="18"/>
        <v>2023-10</v>
      </c>
      <c r="C588" s="1">
        <v>45207</v>
      </c>
      <c r="D588" s="5">
        <v>0.95138888888888884</v>
      </c>
      <c r="E588">
        <v>116</v>
      </c>
      <c r="F588" t="s">
        <v>14</v>
      </c>
      <c r="G588">
        <v>31</v>
      </c>
      <c r="H588" t="s">
        <v>15</v>
      </c>
      <c r="I588">
        <v>4</v>
      </c>
      <c r="J588" s="6">
        <v>30</v>
      </c>
      <c r="K588">
        <v>9.3000000000000007</v>
      </c>
      <c r="L588">
        <v>120</v>
      </c>
      <c r="M588" t="str">
        <f>IF(OR(I588="",J588="",L588=""),"Incomplete","Complete")</f>
        <v>Complete</v>
      </c>
      <c r="N588" t="str">
        <f>IF(M588="Incomplete","Not checked",IF(ROUND(I588*J588,2)=ROUND(L588,2),"Valid","Mismatch"))</f>
        <v>Valid</v>
      </c>
      <c r="O588">
        <f t="shared" si="19"/>
        <v>110.7</v>
      </c>
    </row>
    <row r="589" spans="1:15">
      <c r="A589">
        <v>182</v>
      </c>
      <c r="B589" t="str">
        <f t="shared" si="18"/>
        <v>2023-06</v>
      </c>
      <c r="C589" s="1">
        <v>45098</v>
      </c>
      <c r="D589" s="5">
        <v>0.81041666666666667</v>
      </c>
      <c r="E589">
        <v>27</v>
      </c>
      <c r="F589" t="s">
        <v>11</v>
      </c>
      <c r="G589">
        <v>62</v>
      </c>
      <c r="H589" t="s">
        <v>13</v>
      </c>
      <c r="I589">
        <v>4</v>
      </c>
      <c r="J589" s="6">
        <v>30</v>
      </c>
      <c r="K589">
        <v>10.199999999999999</v>
      </c>
      <c r="L589">
        <v>120</v>
      </c>
      <c r="M589" t="str">
        <f>IF(OR(I589="",J589="",L589=""),"Incomplete","Complete")</f>
        <v>Complete</v>
      </c>
      <c r="N589" t="str">
        <f>IF(M589="Incomplete","Not checked",IF(ROUND(I589*J589,2)=ROUND(L589,2),"Valid","Mismatch"))</f>
        <v>Valid</v>
      </c>
      <c r="O589">
        <f t="shared" si="19"/>
        <v>109.8</v>
      </c>
    </row>
    <row r="590" spans="1:15">
      <c r="A590">
        <v>1182</v>
      </c>
      <c r="B590" t="str">
        <f t="shared" si="18"/>
        <v>2023-01</v>
      </c>
      <c r="C590" s="1">
        <v>44929</v>
      </c>
      <c r="D590" s="5">
        <v>0.8930555555555556</v>
      </c>
      <c r="E590">
        <v>14</v>
      </c>
      <c r="F590" t="s">
        <v>11</v>
      </c>
      <c r="G590">
        <v>62</v>
      </c>
      <c r="H590" t="s">
        <v>13</v>
      </c>
      <c r="I590">
        <v>4</v>
      </c>
      <c r="J590" s="6">
        <v>30</v>
      </c>
      <c r="K590">
        <v>12.9</v>
      </c>
      <c r="L590">
        <v>120</v>
      </c>
      <c r="M590" t="str">
        <f>IF(OR(I590="",J590="",L590=""),"Incomplete","Complete")</f>
        <v>Complete</v>
      </c>
      <c r="N590" t="str">
        <f>IF(M590="Incomplete","Not checked",IF(ROUND(I590*J590,2)=ROUND(L590,2),"Valid","Mismatch"))</f>
        <v>Valid</v>
      </c>
      <c r="O590">
        <f t="shared" si="19"/>
        <v>107.1</v>
      </c>
    </row>
    <row r="591" spans="1:15">
      <c r="A591">
        <v>100</v>
      </c>
      <c r="B591" t="str">
        <f t="shared" si="18"/>
        <v>2022-02</v>
      </c>
      <c r="C591" s="1">
        <v>44600</v>
      </c>
      <c r="D591" s="5">
        <v>0.81527777777777777</v>
      </c>
      <c r="E591">
        <v>21</v>
      </c>
      <c r="F591" t="s">
        <v>11</v>
      </c>
      <c r="G591">
        <v>41</v>
      </c>
      <c r="H591" t="s">
        <v>15</v>
      </c>
      <c r="I591">
        <v>1</v>
      </c>
      <c r="J591" s="6">
        <v>30</v>
      </c>
      <c r="K591">
        <v>9.3000000000000007</v>
      </c>
      <c r="L591">
        <v>30</v>
      </c>
      <c r="M591" t="str">
        <f>IF(OR(I591="",J591="",L591=""),"Incomplete","Complete")</f>
        <v>Complete</v>
      </c>
      <c r="N591" t="str">
        <f>IF(M591="Incomplete","Not checked",IF(ROUND(I591*J591,2)=ROUND(L591,2),"Valid","Mismatch"))</f>
        <v>Valid</v>
      </c>
      <c r="O591">
        <f t="shared" si="19"/>
        <v>20.7</v>
      </c>
    </row>
    <row r="592" spans="1:15">
      <c r="A592">
        <v>1100</v>
      </c>
      <c r="B592" t="str">
        <f t="shared" si="18"/>
        <v>2023-01</v>
      </c>
      <c r="C592" s="1">
        <v>44946</v>
      </c>
      <c r="D592" s="5">
        <v>0.76041666666666663</v>
      </c>
      <c r="E592">
        <v>136</v>
      </c>
      <c r="F592" t="s">
        <v>11</v>
      </c>
      <c r="G592">
        <v>41</v>
      </c>
      <c r="H592" t="s">
        <v>15</v>
      </c>
      <c r="I592">
        <v>1</v>
      </c>
      <c r="J592" s="6">
        <v>30</v>
      </c>
      <c r="K592">
        <v>13.2</v>
      </c>
      <c r="L592">
        <v>30</v>
      </c>
      <c r="M592" t="str">
        <f>IF(OR(I592="",J592="",L592=""),"Incomplete","Complete")</f>
        <v>Complete</v>
      </c>
      <c r="N592" t="str">
        <f>IF(M592="Incomplete","Not checked",IF(ROUND(I592*J592,2)=ROUND(L592,2),"Valid","Mismatch"))</f>
        <v>Valid</v>
      </c>
      <c r="O592">
        <f t="shared" si="19"/>
        <v>16.8</v>
      </c>
    </row>
    <row r="593" spans="1:15">
      <c r="A593">
        <v>532</v>
      </c>
      <c r="B593" t="str">
        <f t="shared" si="18"/>
        <v>2022-08</v>
      </c>
      <c r="C593" s="1">
        <v>44788</v>
      </c>
      <c r="D593" s="5">
        <v>0.75277777777777777</v>
      </c>
      <c r="E593">
        <v>92</v>
      </c>
      <c r="F593" t="s">
        <v>14</v>
      </c>
      <c r="G593">
        <v>64</v>
      </c>
      <c r="H593" t="s">
        <v>12</v>
      </c>
      <c r="I593">
        <v>4</v>
      </c>
      <c r="J593" s="6">
        <v>30</v>
      </c>
      <c r="K593">
        <v>12.9</v>
      </c>
      <c r="L593">
        <v>120</v>
      </c>
      <c r="M593" t="str">
        <f>IF(OR(I593="",J593="",L593=""),"Incomplete","Complete")</f>
        <v>Complete</v>
      </c>
      <c r="N593" t="str">
        <f>IF(M593="Incomplete","Not checked",IF(ROUND(I593*J593,2)=ROUND(L593,2),"Valid","Mismatch"))</f>
        <v>Valid</v>
      </c>
      <c r="O593">
        <f t="shared" si="19"/>
        <v>107.1</v>
      </c>
    </row>
    <row r="594" spans="1:15">
      <c r="A594">
        <v>1532</v>
      </c>
      <c r="B594" t="str">
        <f t="shared" si="18"/>
        <v>2022-03</v>
      </c>
      <c r="C594" s="1">
        <v>44643</v>
      </c>
      <c r="D594" s="5">
        <v>0.95</v>
      </c>
      <c r="E594">
        <v>51</v>
      </c>
      <c r="F594" t="s">
        <v>14</v>
      </c>
      <c r="G594">
        <v>64</v>
      </c>
      <c r="H594" t="s">
        <v>12</v>
      </c>
      <c r="I594">
        <v>4</v>
      </c>
      <c r="J594" s="6">
        <v>30</v>
      </c>
      <c r="K594">
        <v>15.6</v>
      </c>
      <c r="L594">
        <v>120</v>
      </c>
      <c r="M594" t="str">
        <f>IF(OR(I594="",J594="",L594=""),"Incomplete","Complete")</f>
        <v>Complete</v>
      </c>
      <c r="N594" t="str">
        <f>IF(M594="Incomplete","Not checked",IF(ROUND(I594*J594,2)=ROUND(L594,2),"Valid","Mismatch"))</f>
        <v>Valid</v>
      </c>
      <c r="O594">
        <f t="shared" si="19"/>
        <v>104.4</v>
      </c>
    </row>
    <row r="595" spans="1:15">
      <c r="A595">
        <v>422</v>
      </c>
      <c r="B595" t="str">
        <f t="shared" si="18"/>
        <v>2022-08</v>
      </c>
      <c r="C595" s="1">
        <v>44794</v>
      </c>
      <c r="D595" s="5">
        <v>0.94027777777777777</v>
      </c>
      <c r="E595">
        <v>67</v>
      </c>
      <c r="F595" t="s">
        <v>14</v>
      </c>
      <c r="G595">
        <v>28</v>
      </c>
      <c r="H595" t="s">
        <v>12</v>
      </c>
      <c r="I595">
        <v>3</v>
      </c>
      <c r="J595" s="6">
        <v>30</v>
      </c>
      <c r="K595">
        <v>13.2</v>
      </c>
      <c r="L595">
        <v>90</v>
      </c>
      <c r="M595" t="str">
        <f>IF(OR(I595="",J595="",L595=""),"Incomplete","Complete")</f>
        <v>Complete</v>
      </c>
      <c r="N595" t="str">
        <f>IF(M595="Incomplete","Not checked",IF(ROUND(I595*J595,2)=ROUND(L595,2),"Valid","Mismatch"))</f>
        <v>Valid</v>
      </c>
      <c r="O595">
        <f t="shared" si="19"/>
        <v>76.8</v>
      </c>
    </row>
    <row r="596" spans="1:15">
      <c r="A596">
        <v>1422</v>
      </c>
      <c r="B596" t="str">
        <f t="shared" si="18"/>
        <v>2022-05</v>
      </c>
      <c r="C596" s="1">
        <v>44688</v>
      </c>
      <c r="D596" s="5">
        <v>0.8618055555555556</v>
      </c>
      <c r="E596">
        <v>35</v>
      </c>
      <c r="F596" t="s">
        <v>14</v>
      </c>
      <c r="G596">
        <v>28</v>
      </c>
      <c r="H596" t="s">
        <v>12</v>
      </c>
      <c r="I596">
        <v>3</v>
      </c>
      <c r="J596" s="6">
        <v>30</v>
      </c>
      <c r="K596">
        <v>13.5</v>
      </c>
      <c r="L596">
        <v>90</v>
      </c>
      <c r="M596" t="str">
        <f>IF(OR(I596="",J596="",L596=""),"Incomplete","Complete")</f>
        <v>Complete</v>
      </c>
      <c r="N596" t="str">
        <f>IF(M596="Incomplete","Not checked",IF(ROUND(I596*J596,2)=ROUND(L596,2),"Valid","Mismatch"))</f>
        <v>Valid</v>
      </c>
      <c r="O596">
        <f t="shared" si="19"/>
        <v>76.5</v>
      </c>
    </row>
    <row r="597" spans="1:15">
      <c r="A597">
        <v>699</v>
      </c>
      <c r="B597" t="str">
        <f t="shared" si="18"/>
        <v>2022-11</v>
      </c>
      <c r="C597" s="1">
        <v>44886</v>
      </c>
      <c r="D597" s="5">
        <v>0.93125000000000002</v>
      </c>
      <c r="E597">
        <v>129</v>
      </c>
      <c r="F597" t="s">
        <v>14</v>
      </c>
      <c r="G597">
        <v>37</v>
      </c>
      <c r="H597" t="s">
        <v>12</v>
      </c>
      <c r="I597">
        <v>4</v>
      </c>
      <c r="J597" s="6">
        <v>30</v>
      </c>
      <c r="K597">
        <v>16.2</v>
      </c>
      <c r="L597">
        <v>120</v>
      </c>
      <c r="M597" t="str">
        <f>IF(OR(I597="",J597="",L597=""),"Incomplete","Complete")</f>
        <v>Complete</v>
      </c>
      <c r="N597" t="str">
        <f>IF(M597="Incomplete","Not checked",IF(ROUND(I597*J597,2)=ROUND(L597,2),"Valid","Mismatch"))</f>
        <v>Valid</v>
      </c>
      <c r="O597">
        <f t="shared" si="19"/>
        <v>103.8</v>
      </c>
    </row>
    <row r="598" spans="1:15">
      <c r="A598">
        <v>1699</v>
      </c>
      <c r="B598" t="str">
        <f t="shared" si="18"/>
        <v>2023-07</v>
      </c>
      <c r="C598" s="1">
        <v>45136</v>
      </c>
      <c r="D598" s="5">
        <v>0.90625</v>
      </c>
      <c r="E598">
        <v>23</v>
      </c>
      <c r="F598" t="s">
        <v>14</v>
      </c>
      <c r="G598">
        <v>37</v>
      </c>
      <c r="H598" t="s">
        <v>12</v>
      </c>
      <c r="I598">
        <v>4</v>
      </c>
      <c r="J598" s="6">
        <v>30</v>
      </c>
      <c r="K598">
        <v>12.9</v>
      </c>
      <c r="L598">
        <v>120</v>
      </c>
      <c r="M598" t="str">
        <f>IF(OR(I598="",J598="",L598=""),"Incomplete","Complete")</f>
        <v>Complete</v>
      </c>
      <c r="N598" t="str">
        <f>IF(M598="Incomplete","Not checked",IF(ROUND(I598*J598,2)=ROUND(L598,2),"Valid","Mismatch"))</f>
        <v>Valid</v>
      </c>
      <c r="O598">
        <f t="shared" si="19"/>
        <v>107.1</v>
      </c>
    </row>
    <row r="599" spans="1:15">
      <c r="A599">
        <v>271</v>
      </c>
      <c r="B599" t="str">
        <f t="shared" si="18"/>
        <v>2023-09</v>
      </c>
      <c r="C599" s="1">
        <v>45181</v>
      </c>
      <c r="D599" s="5">
        <v>0.76597222222222228</v>
      </c>
      <c r="E599">
        <v>44</v>
      </c>
      <c r="F599" t="s">
        <v>14</v>
      </c>
      <c r="G599">
        <v>62</v>
      </c>
      <c r="H599" t="s">
        <v>13</v>
      </c>
      <c r="I599">
        <v>4</v>
      </c>
      <c r="J599" s="6">
        <v>30</v>
      </c>
      <c r="K599">
        <v>9.3000000000000007</v>
      </c>
      <c r="L599">
        <v>120</v>
      </c>
      <c r="M599" t="str">
        <f>IF(OR(I599="",J599="",L599=""),"Incomplete","Complete")</f>
        <v>Complete</v>
      </c>
      <c r="N599" t="str">
        <f>IF(M599="Incomplete","Not checked",IF(ROUND(I599*J599,2)=ROUND(L599,2),"Valid","Mismatch"))</f>
        <v>Valid</v>
      </c>
      <c r="O599">
        <f t="shared" si="19"/>
        <v>110.7</v>
      </c>
    </row>
    <row r="600" spans="1:15">
      <c r="A600">
        <v>1271</v>
      </c>
      <c r="B600" t="str">
        <f t="shared" si="18"/>
        <v>2022-01</v>
      </c>
      <c r="C600" s="1">
        <v>44580</v>
      </c>
      <c r="D600" s="5">
        <v>0.81319444444444444</v>
      </c>
      <c r="E600">
        <v>27</v>
      </c>
      <c r="F600" t="s">
        <v>14</v>
      </c>
      <c r="G600">
        <v>62</v>
      </c>
      <c r="H600" t="s">
        <v>13</v>
      </c>
      <c r="I600">
        <v>4</v>
      </c>
      <c r="J600" s="6">
        <v>30</v>
      </c>
      <c r="K600">
        <v>9</v>
      </c>
      <c r="L600">
        <v>120</v>
      </c>
      <c r="M600" t="str">
        <f>IF(OR(I600="",J600="",L600=""),"Incomplete","Complete")</f>
        <v>Complete</v>
      </c>
      <c r="N600" t="str">
        <f>IF(M600="Incomplete","Not checked",IF(ROUND(I600*J600,2)=ROUND(L600,2),"Valid","Mismatch"))</f>
        <v>Valid</v>
      </c>
      <c r="O600">
        <f t="shared" si="19"/>
        <v>111</v>
      </c>
    </row>
    <row r="601" spans="1:15">
      <c r="A601">
        <v>796</v>
      </c>
      <c r="B601" t="str">
        <f t="shared" si="18"/>
        <v>2022-10</v>
      </c>
      <c r="C601" s="1">
        <v>44835</v>
      </c>
      <c r="D601" s="5">
        <v>0.82638888888888884</v>
      </c>
      <c r="E601">
        <v>38</v>
      </c>
      <c r="F601" t="s">
        <v>11</v>
      </c>
      <c r="G601">
        <v>43</v>
      </c>
      <c r="H601" t="s">
        <v>13</v>
      </c>
      <c r="I601">
        <v>4</v>
      </c>
      <c r="J601" s="6">
        <v>30</v>
      </c>
      <c r="K601">
        <v>7.8</v>
      </c>
      <c r="L601">
        <v>120</v>
      </c>
      <c r="M601" t="str">
        <f>IF(OR(I601="",J601="",L601=""),"Incomplete","Complete")</f>
        <v>Complete</v>
      </c>
      <c r="N601" t="str">
        <f>IF(M601="Incomplete","Not checked",IF(ROUND(I601*J601,2)=ROUND(L601,2),"Valid","Mismatch"))</f>
        <v>Valid</v>
      </c>
      <c r="O601">
        <f t="shared" si="19"/>
        <v>112.2</v>
      </c>
    </row>
    <row r="602" spans="1:15">
      <c r="A602">
        <v>1796</v>
      </c>
      <c r="B602" t="str">
        <f t="shared" si="18"/>
        <v>2023-11</v>
      </c>
      <c r="C602" s="1">
        <v>45242</v>
      </c>
      <c r="D602" s="5">
        <v>0.77500000000000002</v>
      </c>
      <c r="E602">
        <v>69</v>
      </c>
      <c r="F602" t="s">
        <v>11</v>
      </c>
      <c r="G602">
        <v>43</v>
      </c>
      <c r="H602" t="s">
        <v>13</v>
      </c>
      <c r="I602">
        <v>4</v>
      </c>
      <c r="J602" s="6">
        <v>30</v>
      </c>
      <c r="K602">
        <v>11.1</v>
      </c>
      <c r="L602">
        <v>120</v>
      </c>
      <c r="M602" t="str">
        <f>IF(OR(I602="",J602="",L602=""),"Incomplete","Complete")</f>
        <v>Complete</v>
      </c>
      <c r="N602" t="str">
        <f>IF(M602="Incomplete","Not checked",IF(ROUND(I602*J602,2)=ROUND(L602,2),"Valid","Mismatch"))</f>
        <v>Valid</v>
      </c>
      <c r="O602">
        <f t="shared" si="19"/>
        <v>108.9</v>
      </c>
    </row>
    <row r="603" spans="1:15">
      <c r="A603">
        <v>874</v>
      </c>
      <c r="B603" t="str">
        <f t="shared" si="18"/>
        <v>2022-01</v>
      </c>
      <c r="C603" s="1">
        <v>44578</v>
      </c>
      <c r="D603" s="5">
        <v>0.75972222222222219</v>
      </c>
      <c r="E603">
        <v>90</v>
      </c>
      <c r="F603" t="s">
        <v>11</v>
      </c>
      <c r="G603">
        <v>60</v>
      </c>
      <c r="H603" t="s">
        <v>13</v>
      </c>
      <c r="I603">
        <v>1</v>
      </c>
      <c r="J603" s="6">
        <v>30</v>
      </c>
      <c r="K603">
        <v>12.6</v>
      </c>
      <c r="L603">
        <v>30</v>
      </c>
      <c r="M603" t="str">
        <f>IF(OR(I603="",J603="",L603=""),"Incomplete","Complete")</f>
        <v>Complete</v>
      </c>
      <c r="N603" t="str">
        <f>IF(M603="Incomplete","Not checked",IF(ROUND(I603*J603,2)=ROUND(L603,2),"Valid","Mismatch"))</f>
        <v>Valid</v>
      </c>
      <c r="O603">
        <f t="shared" si="19"/>
        <v>17.399999999999999</v>
      </c>
    </row>
    <row r="604" spans="1:15">
      <c r="A604">
        <v>1874</v>
      </c>
      <c r="B604" t="str">
        <f t="shared" si="18"/>
        <v>2022-05</v>
      </c>
      <c r="C604" s="1">
        <v>44695</v>
      </c>
      <c r="D604" s="5">
        <v>0.87361111111111112</v>
      </c>
      <c r="E604">
        <v>126</v>
      </c>
      <c r="F604" t="s">
        <v>11</v>
      </c>
      <c r="G604">
        <v>60</v>
      </c>
      <c r="H604" t="s">
        <v>13</v>
      </c>
      <c r="I604">
        <v>1</v>
      </c>
      <c r="J604" s="6">
        <v>30</v>
      </c>
      <c r="K604">
        <v>12.6</v>
      </c>
      <c r="L604">
        <v>30</v>
      </c>
      <c r="M604" t="str">
        <f>IF(OR(I604="",J604="",L604=""),"Incomplete","Complete")</f>
        <v>Complete</v>
      </c>
      <c r="N604" t="str">
        <f>IF(M604="Incomplete","Not checked",IF(ROUND(I604*J604,2)=ROUND(L604,2),"Valid","Mismatch"))</f>
        <v>Valid</v>
      </c>
      <c r="O604">
        <f t="shared" si="19"/>
        <v>17.399999999999999</v>
      </c>
    </row>
    <row r="605" spans="1:15">
      <c r="A605">
        <v>878</v>
      </c>
      <c r="B605" t="str">
        <f t="shared" si="18"/>
        <v>2023-10</v>
      </c>
      <c r="C605" s="1">
        <v>45225</v>
      </c>
      <c r="D605" s="5">
        <v>0.78680555555555554</v>
      </c>
      <c r="E605">
        <v>31</v>
      </c>
      <c r="F605" t="s">
        <v>14</v>
      </c>
      <c r="G605">
        <v>20</v>
      </c>
      <c r="H605" t="s">
        <v>12</v>
      </c>
      <c r="I605">
        <v>1</v>
      </c>
      <c r="J605" s="6">
        <v>30</v>
      </c>
      <c r="K605">
        <v>11.7</v>
      </c>
      <c r="L605">
        <v>30</v>
      </c>
      <c r="M605" t="str">
        <f>IF(OR(I605="",J605="",L605=""),"Incomplete","Complete")</f>
        <v>Complete</v>
      </c>
      <c r="N605" t="str">
        <f>IF(M605="Incomplete","Not checked",IF(ROUND(I605*J605,2)=ROUND(L605,2),"Valid","Mismatch"))</f>
        <v>Valid</v>
      </c>
      <c r="O605">
        <f t="shared" si="19"/>
        <v>18.3</v>
      </c>
    </row>
    <row r="606" spans="1:15">
      <c r="A606">
        <v>1878</v>
      </c>
      <c r="B606" t="str">
        <f t="shared" si="18"/>
        <v>2023-01</v>
      </c>
      <c r="C606" s="1">
        <v>44950</v>
      </c>
      <c r="D606" s="5">
        <v>0.9555555555555556</v>
      </c>
      <c r="E606">
        <v>97</v>
      </c>
      <c r="F606" t="s">
        <v>14</v>
      </c>
      <c r="G606">
        <v>20</v>
      </c>
      <c r="H606" t="s">
        <v>12</v>
      </c>
      <c r="I606">
        <v>1</v>
      </c>
      <c r="J606" s="6">
        <v>30</v>
      </c>
      <c r="K606">
        <v>7.5</v>
      </c>
      <c r="L606">
        <v>30</v>
      </c>
      <c r="M606" t="str">
        <f>IF(OR(I606="",J606="",L606=""),"Incomplete","Complete")</f>
        <v>Complete</v>
      </c>
      <c r="N606" t="str">
        <f>IF(M606="Incomplete","Not checked",IF(ROUND(I606*J606,2)=ROUND(L606,2),"Valid","Mismatch"))</f>
        <v>Valid</v>
      </c>
      <c r="O606">
        <f t="shared" si="19"/>
        <v>22.5</v>
      </c>
    </row>
    <row r="607" spans="1:15">
      <c r="A607">
        <v>260</v>
      </c>
      <c r="B607" t="str">
        <f t="shared" si="18"/>
        <v>2023-01</v>
      </c>
      <c r="C607" s="1">
        <v>44945</v>
      </c>
      <c r="D607" s="5">
        <v>0.88124999999999998</v>
      </c>
      <c r="E607">
        <v>107</v>
      </c>
      <c r="F607" t="s">
        <v>11</v>
      </c>
      <c r="G607">
        <v>28</v>
      </c>
      <c r="H607" t="s">
        <v>13</v>
      </c>
      <c r="I607">
        <v>2</v>
      </c>
      <c r="J607" s="6">
        <v>30</v>
      </c>
      <c r="K607">
        <v>10.5</v>
      </c>
      <c r="L607">
        <v>60</v>
      </c>
      <c r="M607" t="str">
        <f>IF(OR(I607="",J607="",L607=""),"Incomplete","Complete")</f>
        <v>Complete</v>
      </c>
      <c r="N607" t="str">
        <f>IF(M607="Incomplete","Not checked",IF(ROUND(I607*J607,2)=ROUND(L607,2),"Valid","Mismatch"))</f>
        <v>Valid</v>
      </c>
      <c r="O607">
        <f t="shared" si="19"/>
        <v>49.5</v>
      </c>
    </row>
    <row r="608" spans="1:15">
      <c r="A608">
        <v>837</v>
      </c>
      <c r="B608" t="str">
        <f t="shared" si="18"/>
        <v>2023-01</v>
      </c>
      <c r="C608" s="1">
        <v>44941</v>
      </c>
      <c r="D608" s="5">
        <v>0.85763888888888884</v>
      </c>
      <c r="E608">
        <v>53</v>
      </c>
      <c r="F608" t="s">
        <v>11</v>
      </c>
      <c r="G608">
        <v>18</v>
      </c>
      <c r="H608" t="s">
        <v>13</v>
      </c>
      <c r="I608">
        <v>3</v>
      </c>
      <c r="J608" s="6">
        <v>30</v>
      </c>
      <c r="K608">
        <v>7.5</v>
      </c>
      <c r="L608">
        <v>90</v>
      </c>
      <c r="M608" t="str">
        <f>IF(OR(I608="",J608="",L608=""),"Incomplete","Complete")</f>
        <v>Complete</v>
      </c>
      <c r="N608" t="str">
        <f>IF(M608="Incomplete","Not checked",IF(ROUND(I608*J608,2)=ROUND(L608,2),"Valid","Mismatch"))</f>
        <v>Valid</v>
      </c>
      <c r="O608">
        <f t="shared" si="19"/>
        <v>82.5</v>
      </c>
    </row>
    <row r="609" spans="1:15">
      <c r="A609">
        <v>1260</v>
      </c>
      <c r="B609" t="str">
        <f t="shared" si="18"/>
        <v>2023-07</v>
      </c>
      <c r="C609" s="1">
        <v>45126</v>
      </c>
      <c r="D609" s="5">
        <v>0.72638888888888886</v>
      </c>
      <c r="E609">
        <v>117</v>
      </c>
      <c r="F609" t="s">
        <v>11</v>
      </c>
      <c r="G609">
        <v>28</v>
      </c>
      <c r="H609" t="s">
        <v>13</v>
      </c>
      <c r="I609">
        <v>2</v>
      </c>
      <c r="J609" s="6">
        <v>30</v>
      </c>
      <c r="K609">
        <v>13.5</v>
      </c>
      <c r="L609">
        <v>60</v>
      </c>
      <c r="M609" t="str">
        <f>IF(OR(I609="",J609="",L609=""),"Incomplete","Complete")</f>
        <v>Complete</v>
      </c>
      <c r="N609" t="str">
        <f>IF(M609="Incomplete","Not checked",IF(ROUND(I609*J609,2)=ROUND(L609,2),"Valid","Mismatch"))</f>
        <v>Valid</v>
      </c>
      <c r="O609">
        <f t="shared" si="19"/>
        <v>46.5</v>
      </c>
    </row>
    <row r="610" spans="1:15">
      <c r="A610">
        <v>1837</v>
      </c>
      <c r="B610" t="str">
        <f t="shared" si="18"/>
        <v>2023-03</v>
      </c>
      <c r="C610" s="1">
        <v>45014</v>
      </c>
      <c r="D610" s="5">
        <v>0.86458333333333337</v>
      </c>
      <c r="E610">
        <v>32</v>
      </c>
      <c r="F610" t="s">
        <v>11</v>
      </c>
      <c r="G610">
        <v>18</v>
      </c>
      <c r="H610" t="s">
        <v>13</v>
      </c>
      <c r="I610">
        <v>3</v>
      </c>
      <c r="J610" s="6">
        <v>30</v>
      </c>
      <c r="K610">
        <v>8.1</v>
      </c>
      <c r="L610">
        <v>90</v>
      </c>
      <c r="M610" t="str">
        <f>IF(OR(I610="",J610="",L610=""),"Incomplete","Complete")</f>
        <v>Complete</v>
      </c>
      <c r="N610" t="str">
        <f>IF(M610="Incomplete","Not checked",IF(ROUND(I610*J610,2)=ROUND(L610,2),"Valid","Mismatch"))</f>
        <v>Valid</v>
      </c>
      <c r="O610">
        <f t="shared" si="19"/>
        <v>81.900000000000006</v>
      </c>
    </row>
    <row r="611" spans="1:15">
      <c r="A611">
        <v>45</v>
      </c>
      <c r="B611" t="str">
        <f t="shared" si="18"/>
        <v>2022-03</v>
      </c>
      <c r="C611" s="1">
        <v>44640</v>
      </c>
      <c r="D611" s="5">
        <v>0.76875000000000004</v>
      </c>
      <c r="E611">
        <v>121</v>
      </c>
      <c r="F611" t="s">
        <v>14</v>
      </c>
      <c r="G611">
        <v>55</v>
      </c>
      <c r="H611" t="s">
        <v>15</v>
      </c>
      <c r="I611">
        <v>1</v>
      </c>
      <c r="J611" s="6">
        <v>30</v>
      </c>
      <c r="K611">
        <v>10.5</v>
      </c>
      <c r="L611">
        <v>30</v>
      </c>
      <c r="M611" t="str">
        <f>IF(OR(I611="",J611="",L611=""),"Incomplete","Complete")</f>
        <v>Complete</v>
      </c>
      <c r="N611" t="str">
        <f>IF(M611="Incomplete","Not checked",IF(ROUND(I611*J611,2)=ROUND(L611,2),"Valid","Mismatch"))</f>
        <v>Valid</v>
      </c>
      <c r="O611">
        <f t="shared" si="19"/>
        <v>19.5</v>
      </c>
    </row>
    <row r="612" spans="1:15">
      <c r="A612">
        <v>1045</v>
      </c>
      <c r="B612" t="str">
        <f t="shared" si="18"/>
        <v>2022-02</v>
      </c>
      <c r="C612" s="1">
        <v>44618</v>
      </c>
      <c r="D612" s="5">
        <v>0.72777777777777775</v>
      </c>
      <c r="E612">
        <v>110</v>
      </c>
      <c r="F612" t="s">
        <v>14</v>
      </c>
      <c r="G612">
        <v>55</v>
      </c>
      <c r="H612" t="s">
        <v>15</v>
      </c>
      <c r="I612">
        <v>1</v>
      </c>
      <c r="J612" s="6">
        <v>30</v>
      </c>
      <c r="K612">
        <v>9.9</v>
      </c>
      <c r="L612">
        <v>30</v>
      </c>
      <c r="M612" t="str">
        <f>IF(OR(I612="",J612="",L612=""),"Incomplete","Complete")</f>
        <v>Complete</v>
      </c>
      <c r="N612" t="str">
        <f>IF(M612="Incomplete","Not checked",IF(ROUND(I612*J612,2)=ROUND(L612,2),"Valid","Mismatch"))</f>
        <v>Valid</v>
      </c>
      <c r="O612">
        <f t="shared" si="19"/>
        <v>20.100000000000001</v>
      </c>
    </row>
    <row r="613" spans="1:15">
      <c r="A613">
        <v>802</v>
      </c>
      <c r="B613" t="str">
        <f t="shared" si="18"/>
        <v>2023-09</v>
      </c>
      <c r="C613" s="1">
        <v>45191</v>
      </c>
      <c r="D613" s="5">
        <v>0.75</v>
      </c>
      <c r="E613">
        <v>57</v>
      </c>
      <c r="F613" t="s">
        <v>14</v>
      </c>
      <c r="G613">
        <v>46</v>
      </c>
      <c r="H613" t="s">
        <v>13</v>
      </c>
      <c r="I613">
        <v>1</v>
      </c>
      <c r="J613" s="6">
        <v>30</v>
      </c>
      <c r="K613">
        <v>9.9</v>
      </c>
      <c r="L613">
        <v>30</v>
      </c>
      <c r="M613" t="str">
        <f>IF(OR(I613="",J613="",L613=""),"Incomplete","Complete")</f>
        <v>Complete</v>
      </c>
      <c r="N613" t="str">
        <f>IF(M613="Incomplete","Not checked",IF(ROUND(I613*J613,2)=ROUND(L613,2),"Valid","Mismatch"))</f>
        <v>Valid</v>
      </c>
      <c r="O613">
        <f t="shared" si="19"/>
        <v>20.100000000000001</v>
      </c>
    </row>
    <row r="614" spans="1:15">
      <c r="A614">
        <v>1802</v>
      </c>
      <c r="B614" t="str">
        <f t="shared" si="18"/>
        <v>2022-07</v>
      </c>
      <c r="C614" s="1">
        <v>44755</v>
      </c>
      <c r="D614" s="5">
        <v>0.92847222222222225</v>
      </c>
      <c r="E614">
        <v>33</v>
      </c>
      <c r="F614" t="s">
        <v>14</v>
      </c>
      <c r="G614">
        <v>46</v>
      </c>
      <c r="H614" t="s">
        <v>13</v>
      </c>
      <c r="I614">
        <v>1</v>
      </c>
      <c r="J614" s="6">
        <v>30</v>
      </c>
      <c r="K614">
        <v>9.6</v>
      </c>
      <c r="L614">
        <v>30</v>
      </c>
      <c r="M614" t="str">
        <f>IF(OR(I614="",J614="",L614=""),"Incomplete","Complete")</f>
        <v>Complete</v>
      </c>
      <c r="N614" t="str">
        <f>IF(M614="Incomplete","Not checked",IF(ROUND(I614*J614,2)=ROUND(L614,2),"Valid","Mismatch"))</f>
        <v>Valid</v>
      </c>
      <c r="O614">
        <f t="shared" si="19"/>
        <v>20.399999999999999</v>
      </c>
    </row>
    <row r="615" spans="1:15">
      <c r="A615">
        <v>528</v>
      </c>
      <c r="B615" t="str">
        <f t="shared" si="18"/>
        <v>2023-12</v>
      </c>
      <c r="C615" s="1">
        <v>45271</v>
      </c>
      <c r="D615" s="5">
        <v>0.91041666666666665</v>
      </c>
      <c r="E615">
        <v>102</v>
      </c>
      <c r="F615" t="s">
        <v>14</v>
      </c>
      <c r="G615">
        <v>36</v>
      </c>
      <c r="H615" t="s">
        <v>12</v>
      </c>
      <c r="I615">
        <v>2</v>
      </c>
      <c r="J615" s="6">
        <v>30</v>
      </c>
      <c r="K615">
        <v>9.6</v>
      </c>
      <c r="L615">
        <v>60</v>
      </c>
      <c r="M615" t="str">
        <f>IF(OR(I615="",J615="",L615=""),"Incomplete","Complete")</f>
        <v>Complete</v>
      </c>
      <c r="N615" t="str">
        <f>IF(M615="Incomplete","Not checked",IF(ROUND(I615*J615,2)=ROUND(L615,2),"Valid","Mismatch"))</f>
        <v>Valid</v>
      </c>
      <c r="O615">
        <f t="shared" si="19"/>
        <v>50.4</v>
      </c>
    </row>
    <row r="616" spans="1:15">
      <c r="A616">
        <v>1528</v>
      </c>
      <c r="B616" t="str">
        <f t="shared" si="18"/>
        <v>2023-07</v>
      </c>
      <c r="C616" s="1">
        <v>45113</v>
      </c>
      <c r="D616" s="5">
        <v>0.82222222222222219</v>
      </c>
      <c r="E616">
        <v>126</v>
      </c>
      <c r="F616" t="s">
        <v>14</v>
      </c>
      <c r="G616">
        <v>36</v>
      </c>
      <c r="H616" t="s">
        <v>12</v>
      </c>
      <c r="I616">
        <v>2</v>
      </c>
      <c r="J616" s="6">
        <v>30</v>
      </c>
      <c r="K616">
        <v>12.3</v>
      </c>
      <c r="L616">
        <v>60</v>
      </c>
      <c r="M616" t="str">
        <f>IF(OR(I616="",J616="",L616=""),"Incomplete","Complete")</f>
        <v>Complete</v>
      </c>
      <c r="N616" t="str">
        <f>IF(M616="Incomplete","Not checked",IF(ROUND(I616*J616,2)=ROUND(L616,2),"Valid","Mismatch"))</f>
        <v>Valid</v>
      </c>
      <c r="O616">
        <f t="shared" si="19"/>
        <v>47.7</v>
      </c>
    </row>
    <row r="617" spans="1:15">
      <c r="A617">
        <v>870</v>
      </c>
      <c r="B617" t="str">
        <f t="shared" si="18"/>
        <v>2022-04</v>
      </c>
      <c r="C617" s="1">
        <v>44662</v>
      </c>
      <c r="D617" s="5">
        <v>0.82013888888888886</v>
      </c>
      <c r="E617">
        <v>16</v>
      </c>
      <c r="F617" t="s">
        <v>14</v>
      </c>
      <c r="G617">
        <v>46</v>
      </c>
      <c r="H617" t="s">
        <v>15</v>
      </c>
      <c r="I617">
        <v>4</v>
      </c>
      <c r="J617" s="6">
        <v>30</v>
      </c>
      <c r="K617">
        <v>11.1</v>
      </c>
      <c r="L617">
        <v>120</v>
      </c>
      <c r="M617" t="str">
        <f>IF(OR(I617="",J617="",L617=""),"Incomplete","Complete")</f>
        <v>Complete</v>
      </c>
      <c r="N617" t="str">
        <f>IF(M617="Incomplete","Not checked",IF(ROUND(I617*J617,2)=ROUND(L617,2),"Valid","Mismatch"))</f>
        <v>Valid</v>
      </c>
      <c r="O617">
        <f t="shared" si="19"/>
        <v>108.9</v>
      </c>
    </row>
    <row r="618" spans="1:15">
      <c r="A618">
        <v>1870</v>
      </c>
      <c r="B618" t="str">
        <f t="shared" si="18"/>
        <v>2023-11</v>
      </c>
      <c r="C618" s="1">
        <v>45239</v>
      </c>
      <c r="D618" s="5">
        <v>0.85972222222222228</v>
      </c>
      <c r="E618">
        <v>119</v>
      </c>
      <c r="F618" t="s">
        <v>14</v>
      </c>
      <c r="G618">
        <v>46</v>
      </c>
      <c r="H618" t="s">
        <v>15</v>
      </c>
      <c r="I618">
        <v>4</v>
      </c>
      <c r="J618" s="6">
        <v>30</v>
      </c>
      <c r="K618">
        <v>10.5</v>
      </c>
      <c r="L618">
        <v>120</v>
      </c>
      <c r="M618" t="str">
        <f>IF(OR(I618="",J618="",L618=""),"Incomplete","Complete")</f>
        <v>Complete</v>
      </c>
      <c r="N618" t="str">
        <f>IF(M618="Incomplete","Not checked",IF(ROUND(I618*J618,2)=ROUND(L618,2),"Valid","Mismatch"))</f>
        <v>Valid</v>
      </c>
      <c r="O618">
        <f t="shared" si="19"/>
        <v>109.5</v>
      </c>
    </row>
    <row r="619" spans="1:15">
      <c r="A619">
        <v>772</v>
      </c>
      <c r="B619" t="str">
        <f t="shared" si="18"/>
        <v>2023-04</v>
      </c>
      <c r="C619" s="1">
        <v>45030</v>
      </c>
      <c r="D619" s="5">
        <v>0.90763888888888888</v>
      </c>
      <c r="E619">
        <v>25</v>
      </c>
      <c r="F619" t="s">
        <v>11</v>
      </c>
      <c r="G619">
        <v>26</v>
      </c>
      <c r="H619" t="s">
        <v>15</v>
      </c>
      <c r="I619">
        <v>1</v>
      </c>
      <c r="J619" s="6">
        <v>30</v>
      </c>
      <c r="K619">
        <v>16.2</v>
      </c>
      <c r="L619">
        <v>30</v>
      </c>
      <c r="M619" t="str">
        <f>IF(OR(I619="",J619="",L619=""),"Incomplete","Complete")</f>
        <v>Complete</v>
      </c>
      <c r="N619" t="str">
        <f>IF(M619="Incomplete","Not checked",IF(ROUND(I619*J619,2)=ROUND(L619,2),"Valid","Mismatch"))</f>
        <v>Valid</v>
      </c>
      <c r="O619">
        <f t="shared" si="19"/>
        <v>13.8</v>
      </c>
    </row>
    <row r="620" spans="1:15">
      <c r="A620">
        <v>1772</v>
      </c>
      <c r="B620" t="str">
        <f t="shared" si="18"/>
        <v>2022-02</v>
      </c>
      <c r="C620" s="1">
        <v>44595</v>
      </c>
      <c r="D620" s="5">
        <v>0.79583333333333328</v>
      </c>
      <c r="E620">
        <v>59</v>
      </c>
      <c r="F620" t="s">
        <v>11</v>
      </c>
      <c r="G620">
        <v>26</v>
      </c>
      <c r="H620" t="s">
        <v>15</v>
      </c>
      <c r="I620">
        <v>1</v>
      </c>
      <c r="J620" s="6">
        <v>30</v>
      </c>
      <c r="K620">
        <v>13.2</v>
      </c>
      <c r="L620">
        <v>30</v>
      </c>
      <c r="M620" t="str">
        <f>IF(OR(I620="",J620="",L620=""),"Incomplete","Complete")</f>
        <v>Complete</v>
      </c>
      <c r="N620" t="str">
        <f>IF(M620="Incomplete","Not checked",IF(ROUND(I620*J620,2)=ROUND(L620,2),"Valid","Mismatch"))</f>
        <v>Valid</v>
      </c>
      <c r="O620">
        <f t="shared" si="19"/>
        <v>16.8</v>
      </c>
    </row>
    <row r="621" spans="1:15">
      <c r="A621">
        <v>681</v>
      </c>
      <c r="B621" t="str">
        <f t="shared" si="18"/>
        <v>2023-08</v>
      </c>
      <c r="C621" s="1">
        <v>45142</v>
      </c>
      <c r="D621" s="5">
        <v>0.92500000000000004</v>
      </c>
      <c r="E621">
        <v>24</v>
      </c>
      <c r="F621" t="s">
        <v>14</v>
      </c>
      <c r="G621">
        <v>43</v>
      </c>
      <c r="H621" t="s">
        <v>15</v>
      </c>
      <c r="I621">
        <v>2</v>
      </c>
      <c r="J621" s="6">
        <v>30</v>
      </c>
      <c r="K621">
        <v>8.4</v>
      </c>
      <c r="L621">
        <v>60</v>
      </c>
      <c r="M621" t="str">
        <f>IF(OR(I621="",J621="",L621=""),"Incomplete","Complete")</f>
        <v>Complete</v>
      </c>
      <c r="N621" t="str">
        <f>IF(M621="Incomplete","Not checked",IF(ROUND(I621*J621,2)=ROUND(L621,2),"Valid","Mismatch"))</f>
        <v>Valid</v>
      </c>
      <c r="O621">
        <f t="shared" si="19"/>
        <v>51.6</v>
      </c>
    </row>
    <row r="622" spans="1:15">
      <c r="A622">
        <v>829</v>
      </c>
      <c r="B622" t="str">
        <f t="shared" si="18"/>
        <v>2022-03</v>
      </c>
      <c r="C622" s="1">
        <v>44644</v>
      </c>
      <c r="D622" s="5">
        <v>0.89652777777777781</v>
      </c>
      <c r="E622">
        <v>52</v>
      </c>
      <c r="F622" t="s">
        <v>11</v>
      </c>
      <c r="G622">
        <v>61</v>
      </c>
      <c r="H622" t="s">
        <v>13</v>
      </c>
      <c r="I622">
        <v>3</v>
      </c>
      <c r="J622" s="6">
        <v>30</v>
      </c>
      <c r="K622">
        <v>9.6</v>
      </c>
      <c r="L622">
        <v>90</v>
      </c>
      <c r="M622" t="str">
        <f>IF(OR(I622="",J622="",L622=""),"Incomplete","Complete")</f>
        <v>Complete</v>
      </c>
      <c r="N622" t="str">
        <f>IF(M622="Incomplete","Not checked",IF(ROUND(I622*J622,2)=ROUND(L622,2),"Valid","Mismatch"))</f>
        <v>Valid</v>
      </c>
      <c r="O622">
        <f t="shared" si="19"/>
        <v>80.400000000000006</v>
      </c>
    </row>
    <row r="623" spans="1:15">
      <c r="A623">
        <v>1681</v>
      </c>
      <c r="B623" t="str">
        <f t="shared" si="18"/>
        <v>2022-11</v>
      </c>
      <c r="C623" s="1">
        <v>44874</v>
      </c>
      <c r="D623" s="5">
        <v>0.81388888888888888</v>
      </c>
      <c r="E623">
        <v>53</v>
      </c>
      <c r="F623" t="s">
        <v>14</v>
      </c>
      <c r="G623">
        <v>43</v>
      </c>
      <c r="H623" t="s">
        <v>15</v>
      </c>
      <c r="I623">
        <v>2</v>
      </c>
      <c r="J623" s="6">
        <v>30</v>
      </c>
      <c r="K623">
        <v>11.1</v>
      </c>
      <c r="L623">
        <v>60</v>
      </c>
      <c r="M623" t="str">
        <f>IF(OR(I623="",J623="",L623=""),"Incomplete","Complete")</f>
        <v>Complete</v>
      </c>
      <c r="N623" t="str">
        <f>IF(M623="Incomplete","Not checked",IF(ROUND(I623*J623,2)=ROUND(L623,2),"Valid","Mismatch"))</f>
        <v>Valid</v>
      </c>
      <c r="O623">
        <f t="shared" si="19"/>
        <v>48.9</v>
      </c>
    </row>
    <row r="624" spans="1:15">
      <c r="A624">
        <v>1829</v>
      </c>
      <c r="B624" t="str">
        <f t="shared" si="18"/>
        <v>2022-05</v>
      </c>
      <c r="C624" s="1">
        <v>44711</v>
      </c>
      <c r="D624" s="5">
        <v>0.94236111111111109</v>
      </c>
      <c r="E624">
        <v>58</v>
      </c>
      <c r="F624" t="s">
        <v>11</v>
      </c>
      <c r="G624">
        <v>61</v>
      </c>
      <c r="H624" t="s">
        <v>13</v>
      </c>
      <c r="I624">
        <v>3</v>
      </c>
      <c r="J624" s="6">
        <v>30</v>
      </c>
      <c r="K624">
        <v>12</v>
      </c>
      <c r="L624">
        <v>90</v>
      </c>
      <c r="M624" t="str">
        <f>IF(OR(I624="",J624="",L624=""),"Incomplete","Complete")</f>
        <v>Complete</v>
      </c>
      <c r="N624" t="str">
        <f>IF(M624="Incomplete","Not checked",IF(ROUND(I624*J624,2)=ROUND(L624,2),"Valid","Mismatch"))</f>
        <v>Valid</v>
      </c>
      <c r="O624">
        <f t="shared" si="19"/>
        <v>78</v>
      </c>
    </row>
    <row r="625" spans="1:15">
      <c r="A625">
        <v>603</v>
      </c>
      <c r="B625" t="str">
        <f t="shared" si="18"/>
        <v>2022-04</v>
      </c>
      <c r="C625" s="1">
        <v>44669</v>
      </c>
      <c r="D625" s="5">
        <v>0.84513888888888888</v>
      </c>
      <c r="E625">
        <v>95</v>
      </c>
      <c r="F625" t="s">
        <v>14</v>
      </c>
      <c r="G625">
        <v>40</v>
      </c>
      <c r="H625" t="s">
        <v>12</v>
      </c>
      <c r="I625">
        <v>3</v>
      </c>
      <c r="J625" s="6">
        <v>30</v>
      </c>
      <c r="K625">
        <v>14.1</v>
      </c>
      <c r="L625">
        <v>90</v>
      </c>
      <c r="M625" t="str">
        <f>IF(OR(I625="",J625="",L625=""),"Incomplete","Complete")</f>
        <v>Complete</v>
      </c>
      <c r="N625" t="str">
        <f>IF(M625="Incomplete","Not checked",IF(ROUND(I625*J625,2)=ROUND(L625,2),"Valid","Mismatch"))</f>
        <v>Valid</v>
      </c>
      <c r="O625">
        <f t="shared" si="19"/>
        <v>75.900000000000006</v>
      </c>
    </row>
    <row r="626" spans="1:15">
      <c r="A626">
        <v>1603</v>
      </c>
      <c r="B626" t="str">
        <f t="shared" si="18"/>
        <v>2023-12</v>
      </c>
      <c r="C626" s="1">
        <v>45264</v>
      </c>
      <c r="D626" s="5">
        <v>0.86805555555555558</v>
      </c>
      <c r="E626">
        <v>132</v>
      </c>
      <c r="F626" t="s">
        <v>14</v>
      </c>
      <c r="G626">
        <v>40</v>
      </c>
      <c r="H626" t="s">
        <v>12</v>
      </c>
      <c r="I626">
        <v>3</v>
      </c>
      <c r="J626" s="6">
        <v>30</v>
      </c>
      <c r="K626">
        <v>13.2</v>
      </c>
      <c r="L626">
        <v>90</v>
      </c>
      <c r="M626" t="str">
        <f>IF(OR(I626="",J626="",L626=""),"Incomplete","Complete")</f>
        <v>Complete</v>
      </c>
      <c r="N626" t="str">
        <f>IF(M626="Incomplete","Not checked",IF(ROUND(I626*J626,2)=ROUND(L626,2),"Valid","Mismatch"))</f>
        <v>Valid</v>
      </c>
      <c r="O626">
        <f t="shared" si="19"/>
        <v>76.8</v>
      </c>
    </row>
    <row r="627" spans="1:15">
      <c r="A627">
        <v>304</v>
      </c>
      <c r="B627" t="str">
        <f t="shared" si="18"/>
        <v>2023-03</v>
      </c>
      <c r="C627" s="1">
        <v>45008</v>
      </c>
      <c r="D627" s="5">
        <v>0.77430555555555558</v>
      </c>
      <c r="E627">
        <v>59</v>
      </c>
      <c r="F627" t="s">
        <v>14</v>
      </c>
      <c r="G627">
        <v>37</v>
      </c>
      <c r="H627" t="s">
        <v>15</v>
      </c>
      <c r="I627">
        <v>2</v>
      </c>
      <c r="J627" s="6">
        <v>30</v>
      </c>
      <c r="K627">
        <v>15.6</v>
      </c>
      <c r="L627">
        <v>60</v>
      </c>
      <c r="M627" t="str">
        <f>IF(OR(I627="",J627="",L627=""),"Incomplete","Complete")</f>
        <v>Complete</v>
      </c>
      <c r="N627" t="str">
        <f>IF(M627="Incomplete","Not checked",IF(ROUND(I627*J627,2)=ROUND(L627,2),"Valid","Mismatch"))</f>
        <v>Valid</v>
      </c>
      <c r="O627">
        <f t="shared" si="19"/>
        <v>44.4</v>
      </c>
    </row>
    <row r="628" spans="1:15">
      <c r="A628">
        <v>1304</v>
      </c>
      <c r="B628" t="str">
        <f t="shared" si="18"/>
        <v>2022-09</v>
      </c>
      <c r="C628" s="1">
        <v>44830</v>
      </c>
      <c r="D628" s="5">
        <v>0.92986111111111114</v>
      </c>
      <c r="E628">
        <v>4</v>
      </c>
      <c r="F628" t="s">
        <v>14</v>
      </c>
      <c r="G628">
        <v>37</v>
      </c>
      <c r="H628" t="s">
        <v>15</v>
      </c>
      <c r="I628">
        <v>2</v>
      </c>
      <c r="J628" s="6">
        <v>30</v>
      </c>
      <c r="K628">
        <v>9.3000000000000007</v>
      </c>
      <c r="L628">
        <v>60</v>
      </c>
      <c r="M628" t="str">
        <f>IF(OR(I628="",J628="",L628=""),"Incomplete","Complete")</f>
        <v>Complete</v>
      </c>
      <c r="N628" t="str">
        <f>IF(M628="Incomplete","Not checked",IF(ROUND(I628*J628,2)=ROUND(L628,2),"Valid","Mismatch"))</f>
        <v>Valid</v>
      </c>
      <c r="O628">
        <f t="shared" si="19"/>
        <v>50.7</v>
      </c>
    </row>
    <row r="629" spans="1:15">
      <c r="A629">
        <v>495</v>
      </c>
      <c r="B629" t="str">
        <f t="shared" si="18"/>
        <v>2022-06</v>
      </c>
      <c r="C629" s="1">
        <v>44736</v>
      </c>
      <c r="D629" s="5">
        <v>0.87916666666666665</v>
      </c>
      <c r="E629">
        <v>131</v>
      </c>
      <c r="F629" t="s">
        <v>11</v>
      </c>
      <c r="G629">
        <v>24</v>
      </c>
      <c r="H629" t="s">
        <v>13</v>
      </c>
      <c r="I629">
        <v>2</v>
      </c>
      <c r="J629" s="6">
        <v>30</v>
      </c>
      <c r="K629">
        <v>11.7</v>
      </c>
      <c r="L629">
        <v>60</v>
      </c>
      <c r="M629" t="str">
        <f>IF(OR(I629="",J629="",L629=""),"Incomplete","Complete")</f>
        <v>Complete</v>
      </c>
      <c r="N629" t="str">
        <f>IF(M629="Incomplete","Not checked",IF(ROUND(I629*J629,2)=ROUND(L629,2),"Valid","Mismatch"))</f>
        <v>Valid</v>
      </c>
      <c r="O629">
        <f t="shared" si="19"/>
        <v>48.3</v>
      </c>
    </row>
    <row r="630" spans="1:15">
      <c r="A630">
        <v>1495</v>
      </c>
      <c r="B630" t="str">
        <f t="shared" si="18"/>
        <v>2023-03</v>
      </c>
      <c r="C630" s="1">
        <v>44999</v>
      </c>
      <c r="D630" s="5">
        <v>0.94236111111111109</v>
      </c>
      <c r="E630">
        <v>113</v>
      </c>
      <c r="F630" t="s">
        <v>11</v>
      </c>
      <c r="G630">
        <v>24</v>
      </c>
      <c r="H630" t="s">
        <v>13</v>
      </c>
      <c r="I630">
        <v>2</v>
      </c>
      <c r="J630" s="6">
        <v>30</v>
      </c>
      <c r="K630">
        <v>16.2</v>
      </c>
      <c r="L630">
        <v>60</v>
      </c>
      <c r="M630" t="str">
        <f>IF(OR(I630="",J630="",L630=""),"Incomplete","Complete")</f>
        <v>Complete</v>
      </c>
      <c r="N630" t="str">
        <f>IF(M630="Incomplete","Not checked",IF(ROUND(I630*J630,2)=ROUND(L630,2),"Valid","Mismatch"))</f>
        <v>Valid</v>
      </c>
      <c r="O630">
        <f t="shared" si="19"/>
        <v>43.8</v>
      </c>
    </row>
    <row r="631" spans="1:15">
      <c r="A631">
        <v>557</v>
      </c>
      <c r="B631" t="str">
        <f t="shared" si="18"/>
        <v>2023-09</v>
      </c>
      <c r="C631" s="1">
        <v>45196</v>
      </c>
      <c r="D631" s="5">
        <v>0.83402777777777781</v>
      </c>
      <c r="E631">
        <v>155</v>
      </c>
      <c r="F631" t="s">
        <v>14</v>
      </c>
      <c r="G631">
        <v>20</v>
      </c>
      <c r="H631" t="s">
        <v>13</v>
      </c>
      <c r="I631">
        <v>3</v>
      </c>
      <c r="J631" s="6">
        <v>30</v>
      </c>
      <c r="K631">
        <v>12.9</v>
      </c>
      <c r="L631">
        <v>90</v>
      </c>
      <c r="M631" t="str">
        <f>IF(OR(I631="",J631="",L631=""),"Incomplete","Complete")</f>
        <v>Complete</v>
      </c>
      <c r="N631" t="str">
        <f>IF(M631="Incomplete","Not checked",IF(ROUND(I631*J631,2)=ROUND(L631,2),"Valid","Mismatch"))</f>
        <v>Valid</v>
      </c>
      <c r="O631">
        <f t="shared" si="19"/>
        <v>77.099999999999994</v>
      </c>
    </row>
    <row r="632" spans="1:15">
      <c r="A632">
        <v>1557</v>
      </c>
      <c r="B632" t="str">
        <f t="shared" si="18"/>
        <v>2022-08</v>
      </c>
      <c r="C632" s="1">
        <v>44777</v>
      </c>
      <c r="D632" s="5">
        <v>0.70902777777777781</v>
      </c>
      <c r="E632">
        <v>14</v>
      </c>
      <c r="F632" t="s">
        <v>14</v>
      </c>
      <c r="G632">
        <v>20</v>
      </c>
      <c r="H632" t="s">
        <v>13</v>
      </c>
      <c r="I632">
        <v>3</v>
      </c>
      <c r="J632" s="6">
        <v>30</v>
      </c>
      <c r="K632">
        <v>10.199999999999999</v>
      </c>
      <c r="L632">
        <v>90</v>
      </c>
      <c r="M632" t="str">
        <f>IF(OR(I632="",J632="",L632=""),"Incomplete","Complete")</f>
        <v>Complete</v>
      </c>
      <c r="N632" t="str">
        <f>IF(M632="Incomplete","Not checked",IF(ROUND(I632*J632,2)=ROUND(L632,2),"Valid","Mismatch"))</f>
        <v>Valid</v>
      </c>
      <c r="O632">
        <f t="shared" si="19"/>
        <v>79.8</v>
      </c>
    </row>
    <row r="633" spans="1:15">
      <c r="A633">
        <v>262</v>
      </c>
      <c r="B633" t="str">
        <f t="shared" si="18"/>
        <v>2023-09</v>
      </c>
      <c r="C633" s="1">
        <v>45184</v>
      </c>
      <c r="D633" s="5">
        <v>0.85624999999999996</v>
      </c>
      <c r="E633">
        <v>30</v>
      </c>
      <c r="F633" t="s">
        <v>14</v>
      </c>
      <c r="G633">
        <v>32</v>
      </c>
      <c r="H633" t="s">
        <v>13</v>
      </c>
      <c r="I633">
        <v>4</v>
      </c>
      <c r="J633" s="6">
        <v>30</v>
      </c>
      <c r="K633">
        <v>12.6</v>
      </c>
      <c r="L633">
        <v>120</v>
      </c>
      <c r="M633" t="str">
        <f>IF(OR(I633="",J633="",L633=""),"Incomplete","Complete")</f>
        <v>Complete</v>
      </c>
      <c r="N633" t="str">
        <f>IF(M633="Incomplete","Not checked",IF(ROUND(I633*J633,2)=ROUND(L633,2),"Valid","Mismatch"))</f>
        <v>Valid</v>
      </c>
      <c r="O633">
        <f t="shared" si="19"/>
        <v>107.4</v>
      </c>
    </row>
    <row r="634" spans="1:15">
      <c r="A634">
        <v>1262</v>
      </c>
      <c r="B634" t="str">
        <f t="shared" si="18"/>
        <v>2022-08</v>
      </c>
      <c r="C634" s="1">
        <v>44786</v>
      </c>
      <c r="D634" s="5">
        <v>0.85624999999999996</v>
      </c>
      <c r="E634">
        <v>127</v>
      </c>
      <c r="F634" t="s">
        <v>14</v>
      </c>
      <c r="G634">
        <v>32</v>
      </c>
      <c r="H634" t="s">
        <v>13</v>
      </c>
      <c r="I634">
        <v>4</v>
      </c>
      <c r="J634" s="6">
        <v>30</v>
      </c>
      <c r="K634">
        <v>8.4</v>
      </c>
      <c r="L634">
        <v>120</v>
      </c>
      <c r="M634" t="str">
        <f>IF(OR(I634="",J634="",L634=""),"Incomplete","Complete")</f>
        <v>Complete</v>
      </c>
      <c r="N634" t="str">
        <f>IF(M634="Incomplete","Not checked",IF(ROUND(I634*J634,2)=ROUND(L634,2),"Valid","Mismatch"))</f>
        <v>Valid</v>
      </c>
      <c r="O634">
        <f t="shared" si="19"/>
        <v>111.6</v>
      </c>
    </row>
    <row r="635" spans="1:15">
      <c r="A635">
        <v>598</v>
      </c>
      <c r="B635" t="str">
        <f t="shared" si="18"/>
        <v>2022-06</v>
      </c>
      <c r="C635" s="1">
        <v>44735</v>
      </c>
      <c r="D635" s="5">
        <v>0.70972222222222225</v>
      </c>
      <c r="E635">
        <v>7</v>
      </c>
      <c r="F635" t="s">
        <v>11</v>
      </c>
      <c r="G635">
        <v>37</v>
      </c>
      <c r="H635" t="s">
        <v>13</v>
      </c>
      <c r="I635">
        <v>4</v>
      </c>
      <c r="J635" s="6">
        <v>30</v>
      </c>
      <c r="K635">
        <v>11.1</v>
      </c>
      <c r="L635">
        <v>120</v>
      </c>
      <c r="M635" t="str">
        <f>IF(OR(I635="",J635="",L635=""),"Incomplete","Complete")</f>
        <v>Complete</v>
      </c>
      <c r="N635" t="str">
        <f>IF(M635="Incomplete","Not checked",IF(ROUND(I635*J635,2)=ROUND(L635,2),"Valid","Mismatch"))</f>
        <v>Valid</v>
      </c>
      <c r="O635">
        <f t="shared" si="19"/>
        <v>108.9</v>
      </c>
    </row>
    <row r="636" spans="1:15">
      <c r="A636">
        <v>1598</v>
      </c>
      <c r="B636" t="str">
        <f t="shared" si="18"/>
        <v>2023-01</v>
      </c>
      <c r="C636" s="1">
        <v>44941</v>
      </c>
      <c r="D636" s="5">
        <v>0.80347222222222225</v>
      </c>
      <c r="E636">
        <v>126</v>
      </c>
      <c r="F636" t="s">
        <v>11</v>
      </c>
      <c r="G636">
        <v>37</v>
      </c>
      <c r="H636" t="s">
        <v>13</v>
      </c>
      <c r="I636">
        <v>4</v>
      </c>
      <c r="J636" s="6">
        <v>30</v>
      </c>
      <c r="K636">
        <v>9.9</v>
      </c>
      <c r="L636">
        <v>120</v>
      </c>
      <c r="M636" t="str">
        <f>IF(OR(I636="",J636="",L636=""),"Incomplete","Complete")</f>
        <v>Complete</v>
      </c>
      <c r="N636" t="str">
        <f>IF(M636="Incomplete","Not checked",IF(ROUND(I636*J636,2)=ROUND(L636,2),"Valid","Mismatch"))</f>
        <v>Valid</v>
      </c>
      <c r="O636">
        <f t="shared" si="19"/>
        <v>110.1</v>
      </c>
    </row>
    <row r="637" spans="1:15">
      <c r="A637">
        <v>675</v>
      </c>
      <c r="B637" t="str">
        <f t="shared" si="18"/>
        <v>2023-07</v>
      </c>
      <c r="C637" s="1">
        <v>45126</v>
      </c>
      <c r="D637" s="5">
        <v>0.75694444444444442</v>
      </c>
      <c r="E637">
        <v>26</v>
      </c>
      <c r="F637" t="s">
        <v>14</v>
      </c>
      <c r="G637">
        <v>45</v>
      </c>
      <c r="H637" t="s">
        <v>12</v>
      </c>
      <c r="I637">
        <v>2</v>
      </c>
      <c r="J637" s="6">
        <v>30</v>
      </c>
      <c r="K637">
        <v>15.9</v>
      </c>
      <c r="L637">
        <v>60</v>
      </c>
      <c r="M637" t="str">
        <f>IF(OR(I637="",J637="",L637=""),"Incomplete","Complete")</f>
        <v>Complete</v>
      </c>
      <c r="N637" t="str">
        <f>IF(M637="Incomplete","Not checked",IF(ROUND(I637*J637,2)=ROUND(L637,2),"Valid","Mismatch"))</f>
        <v>Valid</v>
      </c>
      <c r="O637">
        <f t="shared" si="19"/>
        <v>44.1</v>
      </c>
    </row>
    <row r="638" spans="1:15">
      <c r="A638">
        <v>1675</v>
      </c>
      <c r="B638" t="str">
        <f t="shared" si="18"/>
        <v>2022-05</v>
      </c>
      <c r="C638" s="1">
        <v>44698</v>
      </c>
      <c r="D638" s="5">
        <v>0.82986111111111116</v>
      </c>
      <c r="E638">
        <v>152</v>
      </c>
      <c r="F638" t="s">
        <v>14</v>
      </c>
      <c r="G638">
        <v>45</v>
      </c>
      <c r="H638" t="s">
        <v>12</v>
      </c>
      <c r="I638">
        <v>2</v>
      </c>
      <c r="J638" s="6">
        <v>30</v>
      </c>
      <c r="K638">
        <v>16.2</v>
      </c>
      <c r="L638">
        <v>60</v>
      </c>
      <c r="M638" t="str">
        <f>IF(OR(I638="",J638="",L638=""),"Incomplete","Complete")</f>
        <v>Complete</v>
      </c>
      <c r="N638" t="str">
        <f>IF(M638="Incomplete","Not checked",IF(ROUND(I638*J638,2)=ROUND(L638,2),"Valid","Mismatch"))</f>
        <v>Valid</v>
      </c>
      <c r="O638">
        <f t="shared" si="19"/>
        <v>43.8</v>
      </c>
    </row>
    <row r="639" spans="1:15">
      <c r="A639">
        <v>140</v>
      </c>
      <c r="B639" t="str">
        <f t="shared" si="18"/>
        <v>2022-07</v>
      </c>
      <c r="C639" s="1">
        <v>44749</v>
      </c>
      <c r="D639" s="5">
        <v>0.84722222222222221</v>
      </c>
      <c r="E639">
        <v>61</v>
      </c>
      <c r="F639" t="s">
        <v>11</v>
      </c>
      <c r="G639">
        <v>38</v>
      </c>
      <c r="H639" t="s">
        <v>15</v>
      </c>
      <c r="I639">
        <v>1</v>
      </c>
      <c r="J639" s="6">
        <v>30</v>
      </c>
      <c r="K639">
        <v>14.4</v>
      </c>
      <c r="L639">
        <v>30</v>
      </c>
      <c r="M639" t="str">
        <f>IF(OR(I639="",J639="",L639=""),"Incomplete","Complete")</f>
        <v>Complete</v>
      </c>
      <c r="N639" t="str">
        <f>IF(M639="Incomplete","Not checked",IF(ROUND(I639*J639,2)=ROUND(L639,2),"Valid","Mismatch"))</f>
        <v>Valid</v>
      </c>
      <c r="O639">
        <f t="shared" si="19"/>
        <v>15.6</v>
      </c>
    </row>
    <row r="640" spans="1:15">
      <c r="A640">
        <v>1140</v>
      </c>
      <c r="B640" t="str">
        <f t="shared" si="18"/>
        <v>2022-05</v>
      </c>
      <c r="C640" s="1">
        <v>44703</v>
      </c>
      <c r="D640" s="5">
        <v>0.80972222222222223</v>
      </c>
      <c r="E640">
        <v>154</v>
      </c>
      <c r="F640" t="s">
        <v>11</v>
      </c>
      <c r="G640">
        <v>38</v>
      </c>
      <c r="H640" t="s">
        <v>15</v>
      </c>
      <c r="I640">
        <v>1</v>
      </c>
      <c r="J640" s="6">
        <v>30</v>
      </c>
      <c r="K640">
        <v>15.9</v>
      </c>
      <c r="L640">
        <v>30</v>
      </c>
      <c r="M640" t="str">
        <f>IF(OR(I640="",J640="",L640=""),"Incomplete","Complete")</f>
        <v>Complete</v>
      </c>
      <c r="N640" t="str">
        <f>IF(M640="Incomplete","Not checked",IF(ROUND(I640*J640,2)=ROUND(L640,2),"Valid","Mismatch"))</f>
        <v>Valid</v>
      </c>
      <c r="O640">
        <f t="shared" si="19"/>
        <v>14.1</v>
      </c>
    </row>
    <row r="641" spans="1:15">
      <c r="A641">
        <v>633</v>
      </c>
      <c r="B641" t="str">
        <f t="shared" si="18"/>
        <v>2023-07</v>
      </c>
      <c r="C641" s="1">
        <v>45113</v>
      </c>
      <c r="D641" s="5">
        <v>0.93055555555555558</v>
      </c>
      <c r="E641">
        <v>35</v>
      </c>
      <c r="F641" t="s">
        <v>11</v>
      </c>
      <c r="G641">
        <v>39</v>
      </c>
      <c r="H641" t="s">
        <v>13</v>
      </c>
      <c r="I641">
        <v>4</v>
      </c>
      <c r="J641" s="6">
        <v>30</v>
      </c>
      <c r="K641">
        <v>12.3</v>
      </c>
      <c r="L641">
        <v>120</v>
      </c>
      <c r="M641" t="str">
        <f>IF(OR(I641="",J641="",L641=""),"Incomplete","Complete")</f>
        <v>Complete</v>
      </c>
      <c r="N641" t="str">
        <f>IF(M641="Incomplete","Not checked",IF(ROUND(I641*J641,2)=ROUND(L641,2),"Valid","Mismatch"))</f>
        <v>Valid</v>
      </c>
      <c r="O641">
        <f t="shared" si="19"/>
        <v>107.7</v>
      </c>
    </row>
    <row r="642" spans="1:15">
      <c r="A642">
        <v>1633</v>
      </c>
      <c r="B642" t="str">
        <f t="shared" ref="B642:B705" si="20">TEXT(C642,"yyyy-mm")</f>
        <v>2022-12</v>
      </c>
      <c r="C642" s="1">
        <v>44926</v>
      </c>
      <c r="D642" s="5">
        <v>0.76249999999999996</v>
      </c>
      <c r="E642">
        <v>152</v>
      </c>
      <c r="F642" t="s">
        <v>11</v>
      </c>
      <c r="G642">
        <v>39</v>
      </c>
      <c r="H642" t="s">
        <v>13</v>
      </c>
      <c r="I642">
        <v>4</v>
      </c>
      <c r="J642" s="6">
        <v>30</v>
      </c>
      <c r="K642">
        <v>11.4</v>
      </c>
      <c r="L642">
        <v>120</v>
      </c>
      <c r="M642" t="str">
        <f>IF(OR(I642="",J642="",L642=""),"Incomplete","Complete")</f>
        <v>Complete</v>
      </c>
      <c r="N642" t="str">
        <f>IF(M642="Incomplete","Not checked",IF(ROUND(I642*J642,2)=ROUND(L642,2),"Valid","Mismatch"))</f>
        <v>Valid</v>
      </c>
      <c r="O642">
        <f t="shared" ref="O642:O705" si="21">IF(M642="Incomplete","",L642-K642)</f>
        <v>108.6</v>
      </c>
    </row>
    <row r="643" spans="1:15">
      <c r="A643">
        <v>960</v>
      </c>
      <c r="B643" t="str">
        <f t="shared" si="20"/>
        <v>2023-03</v>
      </c>
      <c r="C643" s="1">
        <v>45014</v>
      </c>
      <c r="D643" s="5">
        <v>0.79236111111111107</v>
      </c>
      <c r="E643">
        <v>134</v>
      </c>
      <c r="F643" t="s">
        <v>11</v>
      </c>
      <c r="G643">
        <v>59</v>
      </c>
      <c r="H643" t="s">
        <v>12</v>
      </c>
      <c r="I643">
        <v>2</v>
      </c>
      <c r="J643" s="6">
        <v>30</v>
      </c>
      <c r="K643">
        <v>14.4</v>
      </c>
      <c r="L643">
        <v>60</v>
      </c>
      <c r="M643" t="str">
        <f>IF(OR(I643="",J643="",L643=""),"Incomplete","Complete")</f>
        <v>Complete</v>
      </c>
      <c r="N643" t="str">
        <f>IF(M643="Incomplete","Not checked",IF(ROUND(I643*J643,2)=ROUND(L643,2),"Valid","Mismatch"))</f>
        <v>Valid</v>
      </c>
      <c r="O643">
        <f t="shared" si="21"/>
        <v>45.6</v>
      </c>
    </row>
    <row r="644" spans="1:15">
      <c r="A644">
        <v>1960</v>
      </c>
      <c r="B644" t="str">
        <f t="shared" si="20"/>
        <v>2022-06</v>
      </c>
      <c r="C644" s="1">
        <v>44741</v>
      </c>
      <c r="D644" s="5">
        <v>0.9194444444444444</v>
      </c>
      <c r="E644">
        <v>67</v>
      </c>
      <c r="F644" t="s">
        <v>11</v>
      </c>
      <c r="G644">
        <v>59</v>
      </c>
      <c r="H644" t="s">
        <v>12</v>
      </c>
      <c r="I644">
        <v>2</v>
      </c>
      <c r="J644" s="6">
        <v>30</v>
      </c>
      <c r="K644">
        <v>13.2</v>
      </c>
      <c r="L644">
        <v>60</v>
      </c>
      <c r="M644" t="str">
        <f>IF(OR(I644="",J644="",L644=""),"Incomplete","Complete")</f>
        <v>Complete</v>
      </c>
      <c r="N644" t="str">
        <f>IF(M644="Incomplete","Not checked",IF(ROUND(I644*J644,2)=ROUND(L644,2),"Valid","Mismatch"))</f>
        <v>Valid</v>
      </c>
      <c r="O644">
        <f t="shared" si="21"/>
        <v>46.8</v>
      </c>
    </row>
    <row r="645" spans="1:15">
      <c r="A645">
        <v>563</v>
      </c>
      <c r="B645" t="str">
        <f t="shared" si="20"/>
        <v>2022-12</v>
      </c>
      <c r="C645" s="1">
        <v>44916</v>
      </c>
      <c r="D645" s="5">
        <v>0.77777777777777779</v>
      </c>
      <c r="E645">
        <v>150</v>
      </c>
      <c r="F645" t="s">
        <v>11</v>
      </c>
      <c r="G645">
        <v>20</v>
      </c>
      <c r="H645" t="s">
        <v>12</v>
      </c>
      <c r="I645">
        <v>2</v>
      </c>
      <c r="J645" s="6">
        <v>30</v>
      </c>
      <c r="K645">
        <v>16.2</v>
      </c>
      <c r="L645">
        <v>60</v>
      </c>
      <c r="M645" t="str">
        <f>IF(OR(I645="",J645="",L645=""),"Incomplete","Complete")</f>
        <v>Complete</v>
      </c>
      <c r="N645" t="str">
        <f>IF(M645="Incomplete","Not checked",IF(ROUND(I645*J645,2)=ROUND(L645,2),"Valid","Mismatch"))</f>
        <v>Valid</v>
      </c>
      <c r="O645">
        <f t="shared" si="21"/>
        <v>43.8</v>
      </c>
    </row>
    <row r="646" spans="1:15">
      <c r="A646">
        <v>1563</v>
      </c>
      <c r="B646" t="str">
        <f t="shared" si="20"/>
        <v>2022-10</v>
      </c>
      <c r="C646" s="1">
        <v>44847</v>
      </c>
      <c r="D646" s="5">
        <v>0.73888888888888893</v>
      </c>
      <c r="E646">
        <v>22</v>
      </c>
      <c r="F646" t="s">
        <v>11</v>
      </c>
      <c r="G646">
        <v>20</v>
      </c>
      <c r="H646" t="s">
        <v>12</v>
      </c>
      <c r="I646">
        <v>2</v>
      </c>
      <c r="J646" s="6">
        <v>30</v>
      </c>
      <c r="K646">
        <v>15.3</v>
      </c>
      <c r="L646">
        <v>60</v>
      </c>
      <c r="M646" t="str">
        <f>IF(OR(I646="",J646="",L646=""),"Incomplete","Complete")</f>
        <v>Complete</v>
      </c>
      <c r="N646" t="str">
        <f>IF(M646="Incomplete","Not checked",IF(ROUND(I646*J646,2)=ROUND(L646,2),"Valid","Mismatch"))</f>
        <v>Valid</v>
      </c>
      <c r="O646">
        <f t="shared" si="21"/>
        <v>44.7</v>
      </c>
    </row>
    <row r="647" spans="1:15">
      <c r="A647">
        <v>521</v>
      </c>
      <c r="B647" t="str">
        <f t="shared" si="20"/>
        <v>2023-10</v>
      </c>
      <c r="C647" s="1">
        <v>45227</v>
      </c>
      <c r="D647" s="5">
        <v>0.8305555555555556</v>
      </c>
      <c r="E647">
        <v>133</v>
      </c>
      <c r="F647" t="s">
        <v>14</v>
      </c>
      <c r="G647">
        <v>47</v>
      </c>
      <c r="H647" t="s">
        <v>12</v>
      </c>
      <c r="I647">
        <v>4</v>
      </c>
      <c r="J647" s="6">
        <v>30</v>
      </c>
      <c r="K647">
        <v>8.6999999999999993</v>
      </c>
      <c r="L647">
        <v>120</v>
      </c>
      <c r="M647" t="str">
        <f>IF(OR(I647="",J647="",L647=""),"Incomplete","Complete")</f>
        <v>Complete</v>
      </c>
      <c r="N647" t="str">
        <f>IF(M647="Incomplete","Not checked",IF(ROUND(I647*J647,2)=ROUND(L647,2),"Valid","Mismatch"))</f>
        <v>Valid</v>
      </c>
      <c r="O647">
        <f t="shared" si="21"/>
        <v>111.3</v>
      </c>
    </row>
    <row r="648" spans="1:15">
      <c r="A648">
        <v>1521</v>
      </c>
      <c r="B648" t="str">
        <f t="shared" si="20"/>
        <v>2023-07</v>
      </c>
      <c r="C648" s="1">
        <v>45130</v>
      </c>
      <c r="D648" s="5">
        <v>0.79722222222222228</v>
      </c>
      <c r="E648">
        <v>30</v>
      </c>
      <c r="F648" t="s">
        <v>14</v>
      </c>
      <c r="G648">
        <v>47</v>
      </c>
      <c r="H648" t="s">
        <v>12</v>
      </c>
      <c r="I648">
        <v>4</v>
      </c>
      <c r="J648" s="6">
        <v>30</v>
      </c>
      <c r="K648">
        <v>12.9</v>
      </c>
      <c r="L648">
        <v>120</v>
      </c>
      <c r="M648" t="str">
        <f>IF(OR(I648="",J648="",L648=""),"Incomplete","Complete")</f>
        <v>Complete</v>
      </c>
      <c r="N648" t="str">
        <f>IF(M648="Incomplete","Not checked",IF(ROUND(I648*J648,2)=ROUND(L648,2),"Valid","Mismatch"))</f>
        <v>Valid</v>
      </c>
      <c r="O648">
        <f t="shared" si="21"/>
        <v>107.1</v>
      </c>
    </row>
    <row r="649" spans="1:15">
      <c r="A649">
        <v>926</v>
      </c>
      <c r="B649" t="str">
        <f t="shared" si="20"/>
        <v>2023-10</v>
      </c>
      <c r="C649" s="1">
        <v>45205</v>
      </c>
      <c r="D649" s="5">
        <v>0.95347222222222228</v>
      </c>
      <c r="E649">
        <v>53</v>
      </c>
      <c r="F649" t="s">
        <v>11</v>
      </c>
      <c r="G649">
        <v>22</v>
      </c>
      <c r="H649" t="s">
        <v>15</v>
      </c>
      <c r="I649">
        <v>1</v>
      </c>
      <c r="J649" s="6">
        <v>30</v>
      </c>
      <c r="K649">
        <v>15.6</v>
      </c>
      <c r="L649">
        <v>30</v>
      </c>
      <c r="M649" t="str">
        <f>IF(OR(I649="",J649="",L649=""),"Incomplete","Complete")</f>
        <v>Complete</v>
      </c>
      <c r="N649" t="str">
        <f>IF(M649="Incomplete","Not checked",IF(ROUND(I649*J649,2)=ROUND(L649,2),"Valid","Mismatch"))</f>
        <v>Valid</v>
      </c>
      <c r="O649">
        <f t="shared" si="21"/>
        <v>14.4</v>
      </c>
    </row>
    <row r="650" spans="1:15">
      <c r="A650">
        <v>1926</v>
      </c>
      <c r="B650" t="str">
        <f t="shared" si="20"/>
        <v>2023-08</v>
      </c>
      <c r="C650" s="1">
        <v>45145</v>
      </c>
      <c r="D650" s="5">
        <v>0.84861111111111109</v>
      </c>
      <c r="E650">
        <v>74</v>
      </c>
      <c r="F650" t="s">
        <v>11</v>
      </c>
      <c r="G650">
        <v>22</v>
      </c>
      <c r="H650" t="s">
        <v>15</v>
      </c>
      <c r="I650">
        <v>1</v>
      </c>
      <c r="J650" s="6">
        <v>30</v>
      </c>
      <c r="K650">
        <v>9.6</v>
      </c>
      <c r="L650">
        <v>30</v>
      </c>
      <c r="M650" t="str">
        <f>IF(OR(I650="",J650="",L650=""),"Incomplete","Complete")</f>
        <v>Complete</v>
      </c>
      <c r="N650" t="str">
        <f>IF(M650="Incomplete","Not checked",IF(ROUND(I650*J650,2)=ROUND(L650,2),"Valid","Mismatch"))</f>
        <v>Valid</v>
      </c>
      <c r="O650">
        <f t="shared" si="21"/>
        <v>20.399999999999999</v>
      </c>
    </row>
    <row r="651" spans="1:15">
      <c r="A651">
        <v>957</v>
      </c>
      <c r="B651" t="str">
        <f t="shared" si="20"/>
        <v>2023-06</v>
      </c>
      <c r="C651" s="1">
        <v>45096</v>
      </c>
      <c r="D651" s="5">
        <v>0.79166666666666663</v>
      </c>
      <c r="E651">
        <v>105</v>
      </c>
      <c r="F651" t="s">
        <v>14</v>
      </c>
      <c r="G651">
        <v>60</v>
      </c>
      <c r="H651" t="s">
        <v>15</v>
      </c>
      <c r="I651">
        <v>4</v>
      </c>
      <c r="J651" s="6">
        <v>30</v>
      </c>
      <c r="K651">
        <v>9.3000000000000007</v>
      </c>
      <c r="L651">
        <v>120</v>
      </c>
      <c r="M651" t="str">
        <f>IF(OR(I651="",J651="",L651=""),"Incomplete","Complete")</f>
        <v>Complete</v>
      </c>
      <c r="N651" t="str">
        <f>IF(M651="Incomplete","Not checked",IF(ROUND(I651*J651,2)=ROUND(L651,2),"Valid","Mismatch"))</f>
        <v>Valid</v>
      </c>
      <c r="O651">
        <f t="shared" si="21"/>
        <v>110.7</v>
      </c>
    </row>
    <row r="652" spans="1:15">
      <c r="A652">
        <v>1957</v>
      </c>
      <c r="B652" t="str">
        <f t="shared" si="20"/>
        <v>2022-10</v>
      </c>
      <c r="C652" s="1">
        <v>44859</v>
      </c>
      <c r="D652" s="5">
        <v>0.79166666666666663</v>
      </c>
      <c r="E652">
        <v>75</v>
      </c>
      <c r="F652" t="s">
        <v>14</v>
      </c>
      <c r="G652">
        <v>60</v>
      </c>
      <c r="H652" t="s">
        <v>15</v>
      </c>
      <c r="I652">
        <v>4</v>
      </c>
      <c r="J652" s="6">
        <v>30</v>
      </c>
      <c r="K652">
        <v>14.7</v>
      </c>
      <c r="L652">
        <v>120</v>
      </c>
      <c r="M652" t="str">
        <f>IF(OR(I652="",J652="",L652=""),"Incomplete","Complete")</f>
        <v>Complete</v>
      </c>
      <c r="N652" t="str">
        <f>IF(M652="Incomplete","Not checked",IF(ROUND(I652*J652,2)=ROUND(L652,2),"Valid","Mismatch"))</f>
        <v>Valid</v>
      </c>
      <c r="O652">
        <f t="shared" si="21"/>
        <v>105.3</v>
      </c>
    </row>
    <row r="653" spans="1:15">
      <c r="A653">
        <v>29</v>
      </c>
      <c r="B653" t="str">
        <f t="shared" si="20"/>
        <v>2022-03</v>
      </c>
      <c r="C653" s="1">
        <v>44628</v>
      </c>
      <c r="D653" s="5">
        <v>0.84027777777777779</v>
      </c>
      <c r="E653">
        <v>31</v>
      </c>
      <c r="F653" t="s">
        <v>14</v>
      </c>
      <c r="G653">
        <v>42</v>
      </c>
      <c r="H653" t="s">
        <v>15</v>
      </c>
      <c r="I653">
        <v>1</v>
      </c>
      <c r="J653" s="6">
        <v>30</v>
      </c>
      <c r="K653">
        <v>13.5</v>
      </c>
      <c r="L653">
        <v>30</v>
      </c>
      <c r="M653" t="str">
        <f>IF(OR(I653="",J653="",L653=""),"Incomplete","Complete")</f>
        <v>Complete</v>
      </c>
      <c r="N653" t="str">
        <f>IF(M653="Incomplete","Not checked",IF(ROUND(I653*J653,2)=ROUND(L653,2),"Valid","Mismatch"))</f>
        <v>Valid</v>
      </c>
      <c r="O653">
        <f t="shared" si="21"/>
        <v>16.5</v>
      </c>
    </row>
    <row r="654" spans="1:15">
      <c r="A654">
        <v>1029</v>
      </c>
      <c r="B654" t="str">
        <f t="shared" si="20"/>
        <v>2023-07</v>
      </c>
      <c r="C654" s="1">
        <v>45125</v>
      </c>
      <c r="D654" s="5">
        <v>0.80763888888888891</v>
      </c>
      <c r="E654">
        <v>117</v>
      </c>
      <c r="F654" t="s">
        <v>14</v>
      </c>
      <c r="G654">
        <v>42</v>
      </c>
      <c r="H654" t="s">
        <v>15</v>
      </c>
      <c r="I654">
        <v>1</v>
      </c>
      <c r="J654" s="6">
        <v>30</v>
      </c>
      <c r="K654">
        <v>12.3</v>
      </c>
      <c r="L654">
        <v>30</v>
      </c>
      <c r="M654" t="str">
        <f>IF(OR(I654="",J654="",L654=""),"Incomplete","Complete")</f>
        <v>Complete</v>
      </c>
      <c r="N654" t="str">
        <f>IF(M654="Incomplete","Not checked",IF(ROUND(I654*J654,2)=ROUND(L654,2),"Valid","Mismatch"))</f>
        <v>Valid</v>
      </c>
      <c r="O654">
        <f t="shared" si="21"/>
        <v>17.7</v>
      </c>
    </row>
    <row r="655" spans="1:15">
      <c r="A655">
        <v>981</v>
      </c>
      <c r="B655" t="str">
        <f t="shared" si="20"/>
        <v>2022-02</v>
      </c>
      <c r="C655" s="1">
        <v>44597</v>
      </c>
      <c r="D655" s="5">
        <v>0.88055555555555554</v>
      </c>
      <c r="E655">
        <v>5</v>
      </c>
      <c r="F655" t="s">
        <v>14</v>
      </c>
      <c r="G655">
        <v>30</v>
      </c>
      <c r="H655" t="s">
        <v>15</v>
      </c>
      <c r="I655">
        <v>2</v>
      </c>
      <c r="J655" s="6">
        <v>30</v>
      </c>
      <c r="K655">
        <v>12.9</v>
      </c>
      <c r="L655">
        <v>60</v>
      </c>
      <c r="M655" t="str">
        <f>IF(OR(I655="",J655="",L655=""),"Incomplete","Complete")</f>
        <v>Complete</v>
      </c>
      <c r="N655" t="str">
        <f>IF(M655="Incomplete","Not checked",IF(ROUND(I655*J655,2)=ROUND(L655,2),"Valid","Mismatch"))</f>
        <v>Valid</v>
      </c>
      <c r="O655">
        <f t="shared" si="21"/>
        <v>47.1</v>
      </c>
    </row>
    <row r="656" spans="1:15">
      <c r="A656">
        <v>1981</v>
      </c>
      <c r="B656" t="str">
        <f t="shared" si="20"/>
        <v>2022-06</v>
      </c>
      <c r="C656" s="1">
        <v>44717</v>
      </c>
      <c r="D656" s="5">
        <v>0.95138888888888884</v>
      </c>
      <c r="E656">
        <v>19</v>
      </c>
      <c r="F656" t="s">
        <v>14</v>
      </c>
      <c r="G656">
        <v>30</v>
      </c>
      <c r="H656" t="s">
        <v>15</v>
      </c>
      <c r="I656">
        <v>2</v>
      </c>
      <c r="J656" s="6">
        <v>30</v>
      </c>
      <c r="K656">
        <v>11.7</v>
      </c>
      <c r="L656">
        <v>60</v>
      </c>
      <c r="M656" t="str">
        <f>IF(OR(I656="",J656="",L656=""),"Incomplete","Complete")</f>
        <v>Complete</v>
      </c>
      <c r="N656" t="str">
        <f>IF(M656="Incomplete","Not checked",IF(ROUND(I656*J656,2)=ROUND(L656,2),"Valid","Mismatch"))</f>
        <v>Valid</v>
      </c>
      <c r="O656">
        <f t="shared" si="21"/>
        <v>48.3</v>
      </c>
    </row>
    <row r="657" spans="1:15">
      <c r="A657">
        <v>219</v>
      </c>
      <c r="B657" t="str">
        <f t="shared" si="20"/>
        <v>2023-09</v>
      </c>
      <c r="C657" s="1">
        <v>45185</v>
      </c>
      <c r="D657" s="5">
        <v>0.94027777777777777</v>
      </c>
      <c r="E657">
        <v>79</v>
      </c>
      <c r="F657" t="s">
        <v>14</v>
      </c>
      <c r="G657">
        <v>53</v>
      </c>
      <c r="H657" t="s">
        <v>15</v>
      </c>
      <c r="I657">
        <v>3</v>
      </c>
      <c r="J657" s="6">
        <v>30</v>
      </c>
      <c r="K657">
        <v>10.199999999999999</v>
      </c>
      <c r="L657">
        <v>90</v>
      </c>
      <c r="M657" t="str">
        <f>IF(OR(I657="",J657="",L657=""),"Incomplete","Complete")</f>
        <v>Complete</v>
      </c>
      <c r="N657" t="str">
        <f>IF(M657="Incomplete","Not checked",IF(ROUND(I657*J657,2)=ROUND(L657,2),"Valid","Mismatch"))</f>
        <v>Valid</v>
      </c>
      <c r="O657">
        <f t="shared" si="21"/>
        <v>79.8</v>
      </c>
    </row>
    <row r="658" spans="1:15">
      <c r="A658">
        <v>1219</v>
      </c>
      <c r="B658" t="str">
        <f t="shared" si="20"/>
        <v>2022-11</v>
      </c>
      <c r="C658" s="1">
        <v>44867</v>
      </c>
      <c r="D658" s="5">
        <v>0.90763888888888888</v>
      </c>
      <c r="E658">
        <v>149</v>
      </c>
      <c r="F658" t="s">
        <v>14</v>
      </c>
      <c r="G658">
        <v>53</v>
      </c>
      <c r="H658" t="s">
        <v>15</v>
      </c>
      <c r="I658">
        <v>3</v>
      </c>
      <c r="J658" s="6">
        <v>30</v>
      </c>
      <c r="K658">
        <v>11.1</v>
      </c>
      <c r="L658">
        <v>90</v>
      </c>
      <c r="M658" t="str">
        <f>IF(OR(I658="",J658="",L658=""),"Incomplete","Complete")</f>
        <v>Complete</v>
      </c>
      <c r="N658" t="str">
        <f>IF(M658="Incomplete","Not checked",IF(ROUND(I658*J658,2)=ROUND(L658,2),"Valid","Mismatch"))</f>
        <v>Valid</v>
      </c>
      <c r="O658">
        <f t="shared" si="21"/>
        <v>78.900000000000006</v>
      </c>
    </row>
    <row r="659" spans="1:15">
      <c r="A659">
        <v>73</v>
      </c>
      <c r="B659" t="str">
        <f t="shared" si="20"/>
        <v>2022-01</v>
      </c>
      <c r="C659" s="1">
        <v>44575</v>
      </c>
      <c r="D659" s="5">
        <v>0.90763888888888888</v>
      </c>
      <c r="E659">
        <v>42</v>
      </c>
      <c r="F659" t="s">
        <v>11</v>
      </c>
      <c r="G659">
        <v>29</v>
      </c>
      <c r="H659" t="s">
        <v>15</v>
      </c>
      <c r="I659">
        <v>3</v>
      </c>
      <c r="J659" s="6">
        <v>30</v>
      </c>
      <c r="K659">
        <v>9</v>
      </c>
      <c r="L659">
        <v>90</v>
      </c>
      <c r="M659" t="str">
        <f>IF(OR(I659="",J659="",L659=""),"Incomplete","Complete")</f>
        <v>Complete</v>
      </c>
      <c r="N659" t="str">
        <f>IF(M659="Incomplete","Not checked",IF(ROUND(I659*J659,2)=ROUND(L659,2),"Valid","Mismatch"))</f>
        <v>Valid</v>
      </c>
      <c r="O659">
        <f t="shared" si="21"/>
        <v>81</v>
      </c>
    </row>
    <row r="660" spans="1:15">
      <c r="A660">
        <v>162</v>
      </c>
      <c r="B660" t="str">
        <f t="shared" si="20"/>
        <v>2023-04</v>
      </c>
      <c r="C660" s="1">
        <v>45027</v>
      </c>
      <c r="D660" s="5">
        <v>0.81736111111111109</v>
      </c>
      <c r="E660">
        <v>118</v>
      </c>
      <c r="F660" t="s">
        <v>11</v>
      </c>
      <c r="G660">
        <v>39</v>
      </c>
      <c r="H660" t="s">
        <v>12</v>
      </c>
      <c r="I660">
        <v>2</v>
      </c>
      <c r="J660" s="6">
        <v>30</v>
      </c>
      <c r="K660">
        <v>9</v>
      </c>
      <c r="L660">
        <v>60</v>
      </c>
      <c r="M660" t="str">
        <f>IF(OR(I660="",J660="",L660=""),"Incomplete","Complete")</f>
        <v>Complete</v>
      </c>
      <c r="N660" t="str">
        <f>IF(M660="Incomplete","Not checked",IF(ROUND(I660*J660,2)=ROUND(L660,2),"Valid","Mismatch"))</f>
        <v>Valid</v>
      </c>
      <c r="O660">
        <f t="shared" si="21"/>
        <v>51</v>
      </c>
    </row>
    <row r="661" spans="1:15">
      <c r="A661">
        <v>992</v>
      </c>
      <c r="B661" t="str">
        <f t="shared" si="20"/>
        <v>2023-10</v>
      </c>
      <c r="C661" s="1">
        <v>45214</v>
      </c>
      <c r="D661" s="5">
        <v>0.81527777777777777</v>
      </c>
      <c r="E661">
        <v>134</v>
      </c>
      <c r="F661" t="s">
        <v>14</v>
      </c>
      <c r="G661">
        <v>57</v>
      </c>
      <c r="H661" t="s">
        <v>15</v>
      </c>
      <c r="I661">
        <v>2</v>
      </c>
      <c r="J661" s="6">
        <v>30</v>
      </c>
      <c r="K661">
        <v>7.8</v>
      </c>
      <c r="L661">
        <v>60</v>
      </c>
      <c r="M661" t="str">
        <f>IF(OR(I661="",J661="",L661=""),"Incomplete","Complete")</f>
        <v>Complete</v>
      </c>
      <c r="N661" t="str">
        <f>IF(M661="Incomplete","Not checked",IF(ROUND(I661*J661,2)=ROUND(L661,2),"Valid","Mismatch"))</f>
        <v>Valid</v>
      </c>
      <c r="O661">
        <f t="shared" si="21"/>
        <v>52.2</v>
      </c>
    </row>
    <row r="662" spans="1:15">
      <c r="A662">
        <v>1073</v>
      </c>
      <c r="B662" t="str">
        <f t="shared" si="20"/>
        <v>2022-02</v>
      </c>
      <c r="C662" s="1">
        <v>44613</v>
      </c>
      <c r="D662" s="5">
        <v>0.76111111111111107</v>
      </c>
      <c r="E662">
        <v>82</v>
      </c>
      <c r="F662" t="s">
        <v>11</v>
      </c>
      <c r="G662">
        <v>29</v>
      </c>
      <c r="H662" t="s">
        <v>15</v>
      </c>
      <c r="I662">
        <v>3</v>
      </c>
      <c r="J662" s="6">
        <v>30</v>
      </c>
      <c r="K662">
        <v>15.3</v>
      </c>
      <c r="L662">
        <v>90</v>
      </c>
      <c r="M662" t="str">
        <f>IF(OR(I662="",J662="",L662=""),"Incomplete","Complete")</f>
        <v>Complete</v>
      </c>
      <c r="N662" t="str">
        <f>IF(M662="Incomplete","Not checked",IF(ROUND(I662*J662,2)=ROUND(L662,2),"Valid","Mismatch"))</f>
        <v>Valid</v>
      </c>
      <c r="O662">
        <f t="shared" si="21"/>
        <v>74.7</v>
      </c>
    </row>
    <row r="663" spans="1:15">
      <c r="A663">
        <v>1162</v>
      </c>
      <c r="B663" t="str">
        <f t="shared" si="20"/>
        <v>2022-07</v>
      </c>
      <c r="C663" s="1">
        <v>44755</v>
      </c>
      <c r="D663" s="5">
        <v>0.71388888888888891</v>
      </c>
      <c r="E663">
        <v>101</v>
      </c>
      <c r="F663" t="s">
        <v>11</v>
      </c>
      <c r="G663">
        <v>39</v>
      </c>
      <c r="H663" t="s">
        <v>12</v>
      </c>
      <c r="I663">
        <v>2</v>
      </c>
      <c r="J663" s="6">
        <v>30</v>
      </c>
      <c r="K663">
        <v>12.6</v>
      </c>
      <c r="L663">
        <v>60</v>
      </c>
      <c r="M663" t="str">
        <f>IF(OR(I663="",J663="",L663=""),"Incomplete","Complete")</f>
        <v>Complete</v>
      </c>
      <c r="N663" t="str">
        <f>IF(M663="Incomplete","Not checked",IF(ROUND(I663*J663,2)=ROUND(L663,2),"Valid","Mismatch"))</f>
        <v>Valid</v>
      </c>
      <c r="O663">
        <f t="shared" si="21"/>
        <v>47.4</v>
      </c>
    </row>
    <row r="664" spans="1:15">
      <c r="A664">
        <v>1992</v>
      </c>
      <c r="B664" t="str">
        <f t="shared" si="20"/>
        <v>2023-05</v>
      </c>
      <c r="C664" s="1">
        <v>45065</v>
      </c>
      <c r="D664" s="5">
        <v>0.89930555555555558</v>
      </c>
      <c r="E664">
        <v>70</v>
      </c>
      <c r="F664" t="s">
        <v>14</v>
      </c>
      <c r="G664">
        <v>57</v>
      </c>
      <c r="H664" t="s">
        <v>15</v>
      </c>
      <c r="I664">
        <v>2</v>
      </c>
      <c r="J664" s="6">
        <v>30</v>
      </c>
      <c r="K664">
        <v>8.6999999999999993</v>
      </c>
      <c r="L664">
        <v>60</v>
      </c>
      <c r="M664" t="str">
        <f>IF(OR(I664="",J664="",L664=""),"Incomplete","Complete")</f>
        <v>Complete</v>
      </c>
      <c r="N664" t="str">
        <f>IF(M664="Incomplete","Not checked",IF(ROUND(I664*J664,2)=ROUND(L664,2),"Valid","Mismatch"))</f>
        <v>Valid</v>
      </c>
      <c r="O664">
        <f t="shared" si="21"/>
        <v>51.3</v>
      </c>
    </row>
    <row r="665" spans="1:15">
      <c r="A665">
        <v>116</v>
      </c>
      <c r="B665" t="str">
        <f t="shared" si="20"/>
        <v>2023-06</v>
      </c>
      <c r="C665" s="1">
        <v>45099</v>
      </c>
      <c r="D665" s="5">
        <v>0.83611111111111114</v>
      </c>
      <c r="E665">
        <v>58</v>
      </c>
      <c r="F665" t="s">
        <v>14</v>
      </c>
      <c r="G665">
        <v>23</v>
      </c>
      <c r="H665" t="s">
        <v>12</v>
      </c>
      <c r="I665">
        <v>1</v>
      </c>
      <c r="J665" s="6">
        <v>30</v>
      </c>
      <c r="K665">
        <v>15</v>
      </c>
      <c r="L665">
        <v>30</v>
      </c>
      <c r="M665" t="str">
        <f>IF(OR(I665="",J665="",L665=""),"Incomplete","Complete")</f>
        <v>Complete</v>
      </c>
      <c r="N665" t="str">
        <f>IF(M665="Incomplete","Not checked",IF(ROUND(I665*J665,2)=ROUND(L665,2),"Valid","Mismatch"))</f>
        <v>Valid</v>
      </c>
      <c r="O665">
        <f t="shared" si="21"/>
        <v>15</v>
      </c>
    </row>
    <row r="666" spans="1:15">
      <c r="A666">
        <v>1116</v>
      </c>
      <c r="B666" t="str">
        <f t="shared" si="20"/>
        <v>2022-08</v>
      </c>
      <c r="C666" s="1">
        <v>44788</v>
      </c>
      <c r="D666" s="5">
        <v>0.93472222222222223</v>
      </c>
      <c r="E666">
        <v>145</v>
      </c>
      <c r="F666" t="s">
        <v>14</v>
      </c>
      <c r="G666">
        <v>23</v>
      </c>
      <c r="H666" t="s">
        <v>12</v>
      </c>
      <c r="I666">
        <v>1</v>
      </c>
      <c r="J666" s="6">
        <v>30</v>
      </c>
      <c r="K666">
        <v>12.3</v>
      </c>
      <c r="L666">
        <v>30</v>
      </c>
      <c r="M666" t="str">
        <f>IF(OR(I666="",J666="",L666=""),"Incomplete","Complete")</f>
        <v>Complete</v>
      </c>
      <c r="N666" t="str">
        <f>IF(M666="Incomplete","Not checked",IF(ROUND(I666*J666,2)=ROUND(L666,2),"Valid","Mismatch"))</f>
        <v>Valid</v>
      </c>
      <c r="O666">
        <f t="shared" si="21"/>
        <v>17.7</v>
      </c>
    </row>
    <row r="667" spans="1:15">
      <c r="A667">
        <v>804</v>
      </c>
      <c r="B667" t="str">
        <f t="shared" si="20"/>
        <v>2023-12</v>
      </c>
      <c r="C667" s="1">
        <v>45271</v>
      </c>
      <c r="D667" s="5">
        <v>0.71666666666666667</v>
      </c>
      <c r="E667">
        <v>99</v>
      </c>
      <c r="F667" t="s">
        <v>11</v>
      </c>
      <c r="G667">
        <v>42</v>
      </c>
      <c r="H667" t="s">
        <v>15</v>
      </c>
      <c r="I667">
        <v>1</v>
      </c>
      <c r="J667" s="6">
        <v>30</v>
      </c>
      <c r="K667">
        <v>10.8</v>
      </c>
      <c r="L667">
        <v>30</v>
      </c>
      <c r="M667" t="str">
        <f>IF(OR(I667="",J667="",L667=""),"Incomplete","Complete")</f>
        <v>Complete</v>
      </c>
      <c r="N667" t="str">
        <f>IF(M667="Incomplete","Not checked",IF(ROUND(I667*J667,2)=ROUND(L667,2),"Valid","Mismatch"))</f>
        <v>Valid</v>
      </c>
      <c r="O667">
        <f t="shared" si="21"/>
        <v>19.2</v>
      </c>
    </row>
    <row r="668" spans="1:15">
      <c r="A668">
        <v>1804</v>
      </c>
      <c r="B668" t="str">
        <f t="shared" si="20"/>
        <v>2023-01</v>
      </c>
      <c r="C668" s="1">
        <v>44936</v>
      </c>
      <c r="D668" s="5">
        <v>0.94861111111111107</v>
      </c>
      <c r="E668">
        <v>74</v>
      </c>
      <c r="F668" t="s">
        <v>11</v>
      </c>
      <c r="G668">
        <v>42</v>
      </c>
      <c r="H668" t="s">
        <v>15</v>
      </c>
      <c r="I668">
        <v>1</v>
      </c>
      <c r="J668" s="6">
        <v>30</v>
      </c>
      <c r="K668">
        <v>14.7</v>
      </c>
      <c r="L668">
        <v>30</v>
      </c>
      <c r="M668" t="str">
        <f>IF(OR(I668="",J668="",L668=""),"Incomplete","Complete")</f>
        <v>Complete</v>
      </c>
      <c r="N668" t="str">
        <f>IF(M668="Incomplete","Not checked",IF(ROUND(I668*J668,2)=ROUND(L668,2),"Valid","Mismatch"))</f>
        <v>Valid</v>
      </c>
      <c r="O668">
        <f t="shared" si="21"/>
        <v>15.3</v>
      </c>
    </row>
    <row r="669" spans="1:15">
      <c r="A669">
        <v>92</v>
      </c>
      <c r="B669" t="str">
        <f t="shared" si="20"/>
        <v>2022-03</v>
      </c>
      <c r="C669" s="1">
        <v>44641</v>
      </c>
      <c r="D669" s="5">
        <v>0.82013888888888886</v>
      </c>
      <c r="E669">
        <v>10</v>
      </c>
      <c r="F669" t="s">
        <v>14</v>
      </c>
      <c r="G669">
        <v>51</v>
      </c>
      <c r="H669" t="s">
        <v>15</v>
      </c>
      <c r="I669">
        <v>4</v>
      </c>
      <c r="J669" s="6">
        <v>30</v>
      </c>
      <c r="K669">
        <v>8.6999999999999993</v>
      </c>
      <c r="L669">
        <v>120</v>
      </c>
      <c r="M669" t="str">
        <f>IF(OR(I669="",J669="",L669=""),"Incomplete","Complete")</f>
        <v>Complete</v>
      </c>
      <c r="N669" t="str">
        <f>IF(M669="Incomplete","Not checked",IF(ROUND(I669*J669,2)=ROUND(L669,2),"Valid","Mismatch"))</f>
        <v>Valid</v>
      </c>
      <c r="O669">
        <f t="shared" si="21"/>
        <v>111.3</v>
      </c>
    </row>
    <row r="670" spans="1:15">
      <c r="A670">
        <v>1092</v>
      </c>
      <c r="B670" t="str">
        <f t="shared" si="20"/>
        <v>2022-05</v>
      </c>
      <c r="C670" s="1">
        <v>44684</v>
      </c>
      <c r="D670" s="5">
        <v>0.84375</v>
      </c>
      <c r="E670">
        <v>58</v>
      </c>
      <c r="F670" t="s">
        <v>14</v>
      </c>
      <c r="G670">
        <v>51</v>
      </c>
      <c r="H670" t="s">
        <v>15</v>
      </c>
      <c r="I670">
        <v>4</v>
      </c>
      <c r="J670" s="6">
        <v>30</v>
      </c>
      <c r="K670">
        <v>31.5</v>
      </c>
      <c r="L670">
        <v>120</v>
      </c>
      <c r="M670" t="str">
        <f>IF(OR(I670="",J670="",L670=""),"Incomplete","Complete")</f>
        <v>Complete</v>
      </c>
      <c r="N670" t="str">
        <f>IF(M670="Incomplete","Not checked",IF(ROUND(I670*J670,2)=ROUND(L670,2),"Valid","Mismatch"))</f>
        <v>Valid</v>
      </c>
      <c r="O670">
        <f t="shared" si="21"/>
        <v>88.5</v>
      </c>
    </row>
    <row r="671" spans="1:15">
      <c r="A671">
        <v>617</v>
      </c>
      <c r="B671" t="str">
        <f t="shared" si="20"/>
        <v>2022-08</v>
      </c>
      <c r="C671" s="1">
        <v>44779</v>
      </c>
      <c r="D671" s="5">
        <v>0.8</v>
      </c>
      <c r="E671">
        <v>30</v>
      </c>
      <c r="F671" t="s">
        <v>11</v>
      </c>
      <c r="G671">
        <v>34</v>
      </c>
      <c r="H671" t="s">
        <v>15</v>
      </c>
      <c r="I671">
        <v>1</v>
      </c>
      <c r="J671" s="6">
        <v>30</v>
      </c>
      <c r="K671">
        <v>28.5</v>
      </c>
      <c r="L671">
        <v>30</v>
      </c>
      <c r="M671" t="str">
        <f>IF(OR(I671="",J671="",L671=""),"Incomplete","Complete")</f>
        <v>Complete</v>
      </c>
      <c r="N671" t="str">
        <f>IF(M671="Incomplete","Not checked",IF(ROUND(I671*J671,2)=ROUND(L671,2),"Valid","Mismatch"))</f>
        <v>Valid</v>
      </c>
      <c r="O671">
        <f t="shared" si="21"/>
        <v>1.5</v>
      </c>
    </row>
    <row r="672" spans="1:15">
      <c r="A672">
        <v>1617</v>
      </c>
      <c r="B672" t="str">
        <f t="shared" si="20"/>
        <v>2022-05</v>
      </c>
      <c r="C672" s="1">
        <v>44682</v>
      </c>
      <c r="D672" s="5">
        <v>0.71458333333333335</v>
      </c>
      <c r="E672">
        <v>77</v>
      </c>
      <c r="F672" t="s">
        <v>11</v>
      </c>
      <c r="G672">
        <v>34</v>
      </c>
      <c r="H672" t="s">
        <v>15</v>
      </c>
      <c r="I672">
        <v>1</v>
      </c>
      <c r="J672" s="6">
        <v>30</v>
      </c>
      <c r="K672">
        <v>35.1</v>
      </c>
      <c r="L672">
        <v>30</v>
      </c>
      <c r="M672" t="str">
        <f>IF(OR(I672="",J672="",L672=""),"Incomplete","Complete")</f>
        <v>Complete</v>
      </c>
      <c r="N672" t="str">
        <f>IF(M672="Incomplete","Not checked",IF(ROUND(I672*J672,2)=ROUND(L672,2),"Valid","Mismatch"))</f>
        <v>Valid</v>
      </c>
      <c r="O672">
        <f t="shared" si="21"/>
        <v>-5.1000000000000014</v>
      </c>
    </row>
    <row r="673" spans="1:15">
      <c r="A673">
        <v>263</v>
      </c>
      <c r="B673" t="str">
        <f t="shared" si="20"/>
        <v>2022-05</v>
      </c>
      <c r="C673" s="1">
        <v>44685</v>
      </c>
      <c r="D673" s="5">
        <v>0.90833333333333333</v>
      </c>
      <c r="E673">
        <v>133</v>
      </c>
      <c r="F673" t="s">
        <v>11</v>
      </c>
      <c r="G673">
        <v>23</v>
      </c>
      <c r="H673" t="s">
        <v>13</v>
      </c>
      <c r="I673">
        <v>2</v>
      </c>
      <c r="J673" s="6">
        <v>30</v>
      </c>
      <c r="K673">
        <v>34.799999999999997</v>
      </c>
      <c r="L673">
        <v>60</v>
      </c>
      <c r="M673" t="str">
        <f>IF(OR(I673="",J673="",L673=""),"Incomplete","Complete")</f>
        <v>Complete</v>
      </c>
      <c r="N673" t="str">
        <f>IF(M673="Incomplete","Not checked",IF(ROUND(I673*J673,2)=ROUND(L673,2),"Valid","Mismatch"))</f>
        <v>Valid</v>
      </c>
      <c r="O673">
        <f t="shared" si="21"/>
        <v>25.200000000000003</v>
      </c>
    </row>
    <row r="674" spans="1:15">
      <c r="A674">
        <v>704</v>
      </c>
      <c r="B674" t="str">
        <f t="shared" si="20"/>
        <v>2023-09</v>
      </c>
      <c r="C674" s="1">
        <v>45180</v>
      </c>
      <c r="D674" s="5">
        <v>0.94444444444444442</v>
      </c>
      <c r="E674">
        <v>141</v>
      </c>
      <c r="F674" t="s">
        <v>14</v>
      </c>
      <c r="G674">
        <v>62</v>
      </c>
      <c r="H674" t="s">
        <v>12</v>
      </c>
      <c r="I674">
        <v>3</v>
      </c>
      <c r="J674" s="6">
        <v>30</v>
      </c>
      <c r="K674">
        <v>34.799999999999997</v>
      </c>
      <c r="L674">
        <v>90</v>
      </c>
      <c r="M674" t="str">
        <f>IF(OR(I674="",J674="",L674=""),"Incomplete","Complete")</f>
        <v>Complete</v>
      </c>
      <c r="N674" t="str">
        <f>IF(M674="Incomplete","Not checked",IF(ROUND(I674*J674,2)=ROUND(L674,2),"Valid","Mismatch"))</f>
        <v>Valid</v>
      </c>
      <c r="O674">
        <f t="shared" si="21"/>
        <v>55.2</v>
      </c>
    </row>
    <row r="675" spans="1:15">
      <c r="A675">
        <v>1263</v>
      </c>
      <c r="B675" t="str">
        <f t="shared" si="20"/>
        <v>2022-09</v>
      </c>
      <c r="C675" s="1">
        <v>44811</v>
      </c>
      <c r="D675" s="5">
        <v>0.86736111111111114</v>
      </c>
      <c r="E675">
        <v>47</v>
      </c>
      <c r="F675" t="s">
        <v>11</v>
      </c>
      <c r="G675">
        <v>23</v>
      </c>
      <c r="H675" t="s">
        <v>13</v>
      </c>
      <c r="I675">
        <v>2</v>
      </c>
      <c r="J675" s="6">
        <v>30</v>
      </c>
      <c r="K675">
        <v>35.4</v>
      </c>
      <c r="L675">
        <v>60</v>
      </c>
      <c r="M675" t="str">
        <f>IF(OR(I675="",J675="",L675=""),"Incomplete","Complete")</f>
        <v>Complete</v>
      </c>
      <c r="N675" t="str">
        <f>IF(M675="Incomplete","Not checked",IF(ROUND(I675*J675,2)=ROUND(L675,2),"Valid","Mismatch"))</f>
        <v>Valid</v>
      </c>
      <c r="O675">
        <f t="shared" si="21"/>
        <v>24.6</v>
      </c>
    </row>
    <row r="676" spans="1:15">
      <c r="A676">
        <v>1704</v>
      </c>
      <c r="B676" t="str">
        <f t="shared" si="20"/>
        <v>2022-09</v>
      </c>
      <c r="C676" s="1">
        <v>44820</v>
      </c>
      <c r="D676" s="5">
        <v>0.83819444444444446</v>
      </c>
      <c r="E676">
        <v>155</v>
      </c>
      <c r="F676" t="s">
        <v>14</v>
      </c>
      <c r="G676">
        <v>62</v>
      </c>
      <c r="H676" t="s">
        <v>12</v>
      </c>
      <c r="I676">
        <v>3</v>
      </c>
      <c r="J676" s="6">
        <v>30</v>
      </c>
      <c r="K676">
        <v>30.3</v>
      </c>
      <c r="L676">
        <v>90</v>
      </c>
      <c r="M676" t="str">
        <f>IF(OR(I676="",J676="",L676=""),"Incomplete","Complete")</f>
        <v>Complete</v>
      </c>
      <c r="N676" t="str">
        <f>IF(M676="Incomplete","Not checked",IF(ROUND(I676*J676,2)=ROUND(L676,2),"Valid","Mismatch"))</f>
        <v>Valid</v>
      </c>
      <c r="O676">
        <f t="shared" si="21"/>
        <v>59.7</v>
      </c>
    </row>
    <row r="677" spans="1:15">
      <c r="A677">
        <v>733</v>
      </c>
      <c r="B677" t="str">
        <f t="shared" si="20"/>
        <v>2022-10</v>
      </c>
      <c r="C677" s="1">
        <v>44859</v>
      </c>
      <c r="D677" s="5">
        <v>0.87986111111111109</v>
      </c>
      <c r="E677">
        <v>143</v>
      </c>
      <c r="F677" t="s">
        <v>11</v>
      </c>
      <c r="G677">
        <v>34</v>
      </c>
      <c r="H677" t="s">
        <v>13</v>
      </c>
      <c r="I677">
        <v>1</v>
      </c>
      <c r="J677" s="6">
        <v>30</v>
      </c>
      <c r="K677">
        <v>28.5</v>
      </c>
      <c r="L677">
        <v>30</v>
      </c>
      <c r="M677" t="str">
        <f>IF(OR(I677="",J677="",L677=""),"Incomplete","Complete")</f>
        <v>Complete</v>
      </c>
      <c r="N677" t="str">
        <f>IF(M677="Incomplete","Not checked",IF(ROUND(I677*J677,2)=ROUND(L677,2),"Valid","Mismatch"))</f>
        <v>Valid</v>
      </c>
      <c r="O677">
        <f t="shared" si="21"/>
        <v>1.5</v>
      </c>
    </row>
    <row r="678" spans="1:15">
      <c r="A678">
        <v>1733</v>
      </c>
      <c r="B678" t="str">
        <f t="shared" si="20"/>
        <v>2023-09</v>
      </c>
      <c r="C678" s="1">
        <v>45172</v>
      </c>
      <c r="D678" s="5">
        <v>0.86944444444444446</v>
      </c>
      <c r="E678">
        <v>146</v>
      </c>
      <c r="F678" t="s">
        <v>11</v>
      </c>
      <c r="G678">
        <v>34</v>
      </c>
      <c r="H678" t="s">
        <v>13</v>
      </c>
      <c r="I678">
        <v>1</v>
      </c>
      <c r="J678" s="6">
        <v>30</v>
      </c>
      <c r="K678">
        <v>36.6</v>
      </c>
      <c r="L678">
        <v>30</v>
      </c>
      <c r="M678" t="str">
        <f>IF(OR(I678="",J678="",L678=""),"Incomplete","Complete")</f>
        <v>Complete</v>
      </c>
      <c r="N678" t="str">
        <f>IF(M678="Incomplete","Not checked",IF(ROUND(I678*J678,2)=ROUND(L678,2),"Valid","Mismatch"))</f>
        <v>Valid</v>
      </c>
      <c r="O678">
        <f t="shared" si="21"/>
        <v>-6.6000000000000014</v>
      </c>
    </row>
    <row r="679" spans="1:15">
      <c r="A679">
        <v>871</v>
      </c>
      <c r="B679" t="str">
        <f t="shared" si="20"/>
        <v>2023-11</v>
      </c>
      <c r="C679" s="1">
        <v>45232</v>
      </c>
      <c r="D679" s="5">
        <v>0.95833333333333337</v>
      </c>
      <c r="E679">
        <v>57</v>
      </c>
      <c r="F679" t="s">
        <v>11</v>
      </c>
      <c r="G679">
        <v>62</v>
      </c>
      <c r="H679" t="s">
        <v>13</v>
      </c>
      <c r="I679">
        <v>2</v>
      </c>
      <c r="J679" s="6">
        <v>30</v>
      </c>
      <c r="K679">
        <v>33.9</v>
      </c>
      <c r="L679">
        <v>60</v>
      </c>
      <c r="M679" t="str">
        <f>IF(OR(I679="",J679="",L679=""),"Incomplete","Complete")</f>
        <v>Complete</v>
      </c>
      <c r="N679" t="str">
        <f>IF(M679="Incomplete","Not checked",IF(ROUND(I679*J679,2)=ROUND(L679,2),"Valid","Mismatch"))</f>
        <v>Valid</v>
      </c>
      <c r="O679">
        <f t="shared" si="21"/>
        <v>26.1</v>
      </c>
    </row>
    <row r="680" spans="1:15">
      <c r="A680">
        <v>1871</v>
      </c>
      <c r="B680" t="str">
        <f t="shared" si="20"/>
        <v>2022-09</v>
      </c>
      <c r="C680" s="1">
        <v>44830</v>
      </c>
      <c r="D680" s="5">
        <v>0.77708333333333335</v>
      </c>
      <c r="E680">
        <v>41</v>
      </c>
      <c r="F680" t="s">
        <v>11</v>
      </c>
      <c r="G680">
        <v>62</v>
      </c>
      <c r="H680" t="s">
        <v>13</v>
      </c>
      <c r="I680">
        <v>2</v>
      </c>
      <c r="J680" s="6">
        <v>30</v>
      </c>
      <c r="K680">
        <v>30.6</v>
      </c>
      <c r="L680">
        <v>60</v>
      </c>
      <c r="M680" t="str">
        <f>IF(OR(I680="",J680="",L680=""),"Incomplete","Complete")</f>
        <v>Complete</v>
      </c>
      <c r="N680" t="str">
        <f>IF(M680="Incomplete","Not checked",IF(ROUND(I680*J680,2)=ROUND(L680,2),"Valid","Mismatch"))</f>
        <v>Valid</v>
      </c>
      <c r="O680">
        <f t="shared" si="21"/>
        <v>29.4</v>
      </c>
    </row>
    <row r="681" spans="1:15">
      <c r="A681">
        <v>931</v>
      </c>
      <c r="B681" t="str">
        <f t="shared" si="20"/>
        <v>2023-10</v>
      </c>
      <c r="C681" s="1">
        <v>45206</v>
      </c>
      <c r="D681" s="5">
        <v>0.89861111111111114</v>
      </c>
      <c r="E681">
        <v>48</v>
      </c>
      <c r="F681" t="s">
        <v>11</v>
      </c>
      <c r="G681">
        <v>30</v>
      </c>
      <c r="H681" t="s">
        <v>13</v>
      </c>
      <c r="I681">
        <v>4</v>
      </c>
      <c r="J681" s="6">
        <v>30</v>
      </c>
      <c r="K681">
        <v>29.1</v>
      </c>
      <c r="L681">
        <v>120</v>
      </c>
      <c r="M681" t="str">
        <f>IF(OR(I681="",J681="",L681=""),"Incomplete","Complete")</f>
        <v>Complete</v>
      </c>
      <c r="N681" t="str">
        <f>IF(M681="Incomplete","Not checked",IF(ROUND(I681*J681,2)=ROUND(L681,2),"Valid","Mismatch"))</f>
        <v>Valid</v>
      </c>
      <c r="O681">
        <f t="shared" si="21"/>
        <v>90.9</v>
      </c>
    </row>
    <row r="682" spans="1:15">
      <c r="A682">
        <v>1931</v>
      </c>
      <c r="B682" t="str">
        <f t="shared" si="20"/>
        <v>2022-12</v>
      </c>
      <c r="C682" s="1">
        <v>44896</v>
      </c>
      <c r="D682" s="5">
        <v>0.80208333333333337</v>
      </c>
      <c r="E682">
        <v>61</v>
      </c>
      <c r="F682" t="s">
        <v>11</v>
      </c>
      <c r="G682">
        <v>30</v>
      </c>
      <c r="H682" t="s">
        <v>13</v>
      </c>
      <c r="I682">
        <v>4</v>
      </c>
      <c r="J682" s="6">
        <v>30</v>
      </c>
      <c r="K682">
        <v>34.200000000000003</v>
      </c>
      <c r="L682">
        <v>120</v>
      </c>
      <c r="M682" t="str">
        <f>IF(OR(I682="",J682="",L682=""),"Incomplete","Complete")</f>
        <v>Complete</v>
      </c>
      <c r="N682" t="str">
        <f>IF(M682="Incomplete","Not checked",IF(ROUND(I682*J682,2)=ROUND(L682,2),"Valid","Mismatch"))</f>
        <v>Valid</v>
      </c>
      <c r="O682">
        <f t="shared" si="21"/>
        <v>85.8</v>
      </c>
    </row>
    <row r="683" spans="1:15">
      <c r="A683">
        <v>894</v>
      </c>
      <c r="B683" t="str">
        <f t="shared" si="20"/>
        <v>2022-09</v>
      </c>
      <c r="C683" s="1">
        <v>44826</v>
      </c>
      <c r="D683" s="5">
        <v>0.95347222222222228</v>
      </c>
      <c r="E683">
        <v>111</v>
      </c>
      <c r="F683" t="s">
        <v>11</v>
      </c>
      <c r="G683">
        <v>52</v>
      </c>
      <c r="H683" t="s">
        <v>15</v>
      </c>
      <c r="I683">
        <v>1</v>
      </c>
      <c r="J683" s="6">
        <v>30</v>
      </c>
      <c r="K683">
        <v>30.6</v>
      </c>
      <c r="L683">
        <v>30</v>
      </c>
      <c r="M683" t="str">
        <f>IF(OR(I683="",J683="",L683=""),"Incomplete","Complete")</f>
        <v>Complete</v>
      </c>
      <c r="N683" t="str">
        <f>IF(M683="Incomplete","Not checked",IF(ROUND(I683*J683,2)=ROUND(L683,2),"Valid","Mismatch"))</f>
        <v>Valid</v>
      </c>
      <c r="O683">
        <f t="shared" si="21"/>
        <v>-0.60000000000000142</v>
      </c>
    </row>
    <row r="684" spans="1:15">
      <c r="A684">
        <v>1894</v>
      </c>
      <c r="B684" t="str">
        <f t="shared" si="20"/>
        <v>2023-12</v>
      </c>
      <c r="C684" s="1">
        <v>45289</v>
      </c>
      <c r="D684" s="5">
        <v>0.75763888888888886</v>
      </c>
      <c r="E684">
        <v>92</v>
      </c>
      <c r="F684" t="s">
        <v>11</v>
      </c>
      <c r="G684">
        <v>52</v>
      </c>
      <c r="H684" t="s">
        <v>15</v>
      </c>
      <c r="I684">
        <v>1</v>
      </c>
      <c r="J684" s="6">
        <v>30</v>
      </c>
      <c r="K684">
        <v>30</v>
      </c>
      <c r="L684">
        <v>30</v>
      </c>
      <c r="M684" t="str">
        <f>IF(OR(I684="",J684="",L684=""),"Incomplete","Complete")</f>
        <v>Complete</v>
      </c>
      <c r="N684" t="str">
        <f>IF(M684="Incomplete","Not checked",IF(ROUND(I684*J684,2)=ROUND(L684,2),"Valid","Mismatch"))</f>
        <v>Valid</v>
      </c>
      <c r="O684">
        <f t="shared" si="21"/>
        <v>0</v>
      </c>
    </row>
    <row r="685" spans="1:15">
      <c r="A685">
        <v>245</v>
      </c>
      <c r="B685" t="str">
        <f t="shared" si="20"/>
        <v>2023-12</v>
      </c>
      <c r="C685" s="1">
        <v>45261</v>
      </c>
      <c r="D685" s="5">
        <v>0.90347222222222223</v>
      </c>
      <c r="E685">
        <v>75</v>
      </c>
      <c r="F685" t="s">
        <v>11</v>
      </c>
      <c r="G685">
        <v>47</v>
      </c>
      <c r="H685" t="s">
        <v>12</v>
      </c>
      <c r="I685">
        <v>3</v>
      </c>
      <c r="J685" s="6">
        <v>30</v>
      </c>
      <c r="K685">
        <v>36</v>
      </c>
      <c r="L685">
        <v>90</v>
      </c>
      <c r="M685" t="str">
        <f>IF(OR(I685="",J685="",L685=""),"Incomplete","Complete")</f>
        <v>Complete</v>
      </c>
      <c r="N685" t="str">
        <f>IF(M685="Incomplete","Not checked",IF(ROUND(I685*J685,2)=ROUND(L685,2),"Valid","Mismatch"))</f>
        <v>Valid</v>
      </c>
      <c r="O685">
        <f t="shared" si="21"/>
        <v>54</v>
      </c>
    </row>
    <row r="686" spans="1:15">
      <c r="A686">
        <v>1245</v>
      </c>
      <c r="B686" t="str">
        <f t="shared" si="20"/>
        <v>2022-10</v>
      </c>
      <c r="C686" s="1">
        <v>44859</v>
      </c>
      <c r="D686" s="5">
        <v>0.86597222222222225</v>
      </c>
      <c r="E686">
        <v>129</v>
      </c>
      <c r="F686" t="s">
        <v>11</v>
      </c>
      <c r="G686">
        <v>47</v>
      </c>
      <c r="H686" t="s">
        <v>12</v>
      </c>
      <c r="I686">
        <v>3</v>
      </c>
      <c r="J686" s="6">
        <v>30</v>
      </c>
      <c r="K686">
        <v>36</v>
      </c>
      <c r="L686">
        <v>90</v>
      </c>
      <c r="M686" t="str">
        <f>IF(OR(I686="",J686="",L686=""),"Incomplete","Complete")</f>
        <v>Complete</v>
      </c>
      <c r="N686" t="str">
        <f>IF(M686="Incomplete","Not checked",IF(ROUND(I686*J686,2)=ROUND(L686,2),"Valid","Mismatch"))</f>
        <v>Valid</v>
      </c>
      <c r="O686">
        <f t="shared" si="21"/>
        <v>54</v>
      </c>
    </row>
    <row r="687" spans="1:15">
      <c r="A687">
        <v>312</v>
      </c>
      <c r="B687" t="str">
        <f t="shared" si="20"/>
        <v>2022-10</v>
      </c>
      <c r="C687" s="1">
        <v>44865</v>
      </c>
      <c r="D687" s="5">
        <v>0.75555555555555554</v>
      </c>
      <c r="E687">
        <v>18</v>
      </c>
      <c r="F687" t="s">
        <v>11</v>
      </c>
      <c r="G687">
        <v>41</v>
      </c>
      <c r="H687" t="s">
        <v>12</v>
      </c>
      <c r="I687">
        <v>4</v>
      </c>
      <c r="J687" s="6">
        <v>30</v>
      </c>
      <c r="K687">
        <v>28.5</v>
      </c>
      <c r="L687">
        <v>120</v>
      </c>
      <c r="M687" t="str">
        <f>IF(OR(I687="",J687="",L687=""),"Incomplete","Complete")</f>
        <v>Complete</v>
      </c>
      <c r="N687" t="str">
        <f>IF(M687="Incomplete","Not checked",IF(ROUND(I687*J687,2)=ROUND(L687,2),"Valid","Mismatch"))</f>
        <v>Valid</v>
      </c>
      <c r="O687">
        <f t="shared" si="21"/>
        <v>91.5</v>
      </c>
    </row>
    <row r="688" spans="1:15">
      <c r="A688">
        <v>1312</v>
      </c>
      <c r="B688" t="str">
        <f t="shared" si="20"/>
        <v>2022-12</v>
      </c>
      <c r="C688" s="1">
        <v>44898</v>
      </c>
      <c r="D688" s="5">
        <v>0.72777777777777775</v>
      </c>
      <c r="E688">
        <v>73</v>
      </c>
      <c r="F688" t="s">
        <v>11</v>
      </c>
      <c r="G688">
        <v>41</v>
      </c>
      <c r="H688" t="s">
        <v>12</v>
      </c>
      <c r="I688">
        <v>4</v>
      </c>
      <c r="J688" s="6">
        <v>30</v>
      </c>
      <c r="K688">
        <v>29.1</v>
      </c>
      <c r="L688">
        <v>120</v>
      </c>
      <c r="M688" t="str">
        <f>IF(OR(I688="",J688="",L688=""),"Incomplete","Complete")</f>
        <v>Complete</v>
      </c>
      <c r="N688" t="str">
        <f>IF(M688="Incomplete","Not checked",IF(ROUND(I688*J688,2)=ROUND(L688,2),"Valid","Mismatch"))</f>
        <v>Valid</v>
      </c>
      <c r="O688">
        <f t="shared" si="21"/>
        <v>90.9</v>
      </c>
    </row>
    <row r="689" spans="1:15">
      <c r="A689">
        <v>573</v>
      </c>
      <c r="B689" t="str">
        <f t="shared" si="20"/>
        <v>2023-09</v>
      </c>
      <c r="C689" s="1">
        <v>45188</v>
      </c>
      <c r="D689" s="5">
        <v>0.95763888888888893</v>
      </c>
      <c r="E689">
        <v>78</v>
      </c>
      <c r="F689" t="s">
        <v>11</v>
      </c>
      <c r="G689">
        <v>49</v>
      </c>
      <c r="H689" t="s">
        <v>13</v>
      </c>
      <c r="I689">
        <v>2</v>
      </c>
      <c r="J689" s="6">
        <v>30</v>
      </c>
      <c r="K689">
        <v>36.299999999999997</v>
      </c>
      <c r="L689">
        <v>60</v>
      </c>
      <c r="M689" t="str">
        <f>IF(OR(I689="",J689="",L689=""),"Incomplete","Complete")</f>
        <v>Complete</v>
      </c>
      <c r="N689" t="str">
        <f>IF(M689="Incomplete","Not checked",IF(ROUND(I689*J689,2)=ROUND(L689,2),"Valid","Mismatch"))</f>
        <v>Valid</v>
      </c>
      <c r="O689">
        <f t="shared" si="21"/>
        <v>23.700000000000003</v>
      </c>
    </row>
    <row r="690" spans="1:15">
      <c r="A690">
        <v>1573</v>
      </c>
      <c r="B690" t="str">
        <f t="shared" si="20"/>
        <v>2022-10</v>
      </c>
      <c r="C690" s="1">
        <v>44847</v>
      </c>
      <c r="D690" s="5">
        <v>0.90625</v>
      </c>
      <c r="E690">
        <v>148</v>
      </c>
      <c r="F690" t="s">
        <v>11</v>
      </c>
      <c r="G690">
        <v>49</v>
      </c>
      <c r="H690" t="s">
        <v>13</v>
      </c>
      <c r="I690">
        <v>2</v>
      </c>
      <c r="J690" s="6">
        <v>30</v>
      </c>
      <c r="K690">
        <v>31.2</v>
      </c>
      <c r="L690">
        <v>60</v>
      </c>
      <c r="M690" t="str">
        <f>IF(OR(I690="",J690="",L690=""),"Incomplete","Complete")</f>
        <v>Complete</v>
      </c>
      <c r="N690" t="str">
        <f>IF(M690="Incomplete","Not checked",IF(ROUND(I690*J690,2)=ROUND(L690,2),"Valid","Mismatch"))</f>
        <v>Valid</v>
      </c>
      <c r="O690">
        <f t="shared" si="21"/>
        <v>28.8</v>
      </c>
    </row>
    <row r="691" spans="1:15">
      <c r="A691">
        <v>579</v>
      </c>
      <c r="B691" t="str">
        <f t="shared" si="20"/>
        <v>2023-10</v>
      </c>
      <c r="C691" s="1">
        <v>45205</v>
      </c>
      <c r="D691" s="5">
        <v>0.73819444444444449</v>
      </c>
      <c r="E691">
        <v>41</v>
      </c>
      <c r="F691" t="s">
        <v>14</v>
      </c>
      <c r="G691">
        <v>38</v>
      </c>
      <c r="H691" t="s">
        <v>15</v>
      </c>
      <c r="I691">
        <v>1</v>
      </c>
      <c r="J691" s="6">
        <v>30</v>
      </c>
      <c r="K691">
        <v>36.6</v>
      </c>
      <c r="L691">
        <v>30</v>
      </c>
      <c r="M691" t="str">
        <f>IF(OR(I691="",J691="",L691=""),"Incomplete","Complete")</f>
        <v>Complete</v>
      </c>
      <c r="N691" t="str">
        <f>IF(M691="Incomplete","Not checked",IF(ROUND(I691*J691,2)=ROUND(L691,2),"Valid","Mismatch"))</f>
        <v>Valid</v>
      </c>
      <c r="O691">
        <f t="shared" si="21"/>
        <v>-6.6000000000000014</v>
      </c>
    </row>
    <row r="692" spans="1:15">
      <c r="A692">
        <v>1579</v>
      </c>
      <c r="B692" t="str">
        <f t="shared" si="20"/>
        <v>2023-09</v>
      </c>
      <c r="C692" s="1">
        <v>45197</v>
      </c>
      <c r="D692" s="5">
        <v>0.73472222222222228</v>
      </c>
      <c r="E692">
        <v>119</v>
      </c>
      <c r="F692" t="s">
        <v>14</v>
      </c>
      <c r="G692">
        <v>38</v>
      </c>
      <c r="H692" t="s">
        <v>15</v>
      </c>
      <c r="I692">
        <v>1</v>
      </c>
      <c r="J692" s="6">
        <v>30</v>
      </c>
      <c r="K692">
        <v>28.8</v>
      </c>
      <c r="L692">
        <v>30</v>
      </c>
      <c r="M692" t="str">
        <f>IF(OR(I692="",J692="",L692=""),"Incomplete","Complete")</f>
        <v>Complete</v>
      </c>
      <c r="N692" t="str">
        <f>IF(M692="Incomplete","Not checked",IF(ROUND(I692*J692,2)=ROUND(L692,2),"Valid","Mismatch"))</f>
        <v>Valid</v>
      </c>
      <c r="O692">
        <f t="shared" si="21"/>
        <v>1.1999999999999993</v>
      </c>
    </row>
    <row r="693" spans="1:15">
      <c r="A693">
        <v>218</v>
      </c>
      <c r="B693" t="str">
        <f t="shared" si="20"/>
        <v>2022-11</v>
      </c>
      <c r="C693" s="1">
        <v>44889</v>
      </c>
      <c r="D693" s="5">
        <v>0.86041666666666672</v>
      </c>
      <c r="E693">
        <v>144</v>
      </c>
      <c r="F693" t="s">
        <v>11</v>
      </c>
      <c r="G693">
        <v>64</v>
      </c>
      <c r="H693" t="s">
        <v>13</v>
      </c>
      <c r="I693">
        <v>3</v>
      </c>
      <c r="J693" s="6">
        <v>30</v>
      </c>
      <c r="K693">
        <v>33.9</v>
      </c>
      <c r="L693">
        <v>90</v>
      </c>
      <c r="M693" t="str">
        <f>IF(OR(I693="",J693="",L693=""),"Incomplete","Complete")</f>
        <v>Complete</v>
      </c>
      <c r="N693" t="str">
        <f>IF(M693="Incomplete","Not checked",IF(ROUND(I693*J693,2)=ROUND(L693,2),"Valid","Mismatch"))</f>
        <v>Valid</v>
      </c>
      <c r="O693">
        <f t="shared" si="21"/>
        <v>56.1</v>
      </c>
    </row>
    <row r="694" spans="1:15">
      <c r="A694">
        <v>1218</v>
      </c>
      <c r="B694" t="str">
        <f t="shared" si="20"/>
        <v>2023-10</v>
      </c>
      <c r="C694" s="1">
        <v>45224</v>
      </c>
      <c r="D694" s="5">
        <v>0.9243055555555556</v>
      </c>
      <c r="E694">
        <v>30</v>
      </c>
      <c r="F694" t="s">
        <v>11</v>
      </c>
      <c r="G694">
        <v>64</v>
      </c>
      <c r="H694" t="s">
        <v>13</v>
      </c>
      <c r="I694">
        <v>3</v>
      </c>
      <c r="J694" s="6">
        <v>30</v>
      </c>
      <c r="K694">
        <v>34.200000000000003</v>
      </c>
      <c r="L694">
        <v>90</v>
      </c>
      <c r="M694" t="str">
        <f>IF(OR(I694="",J694="",L694=""),"Incomplete","Complete")</f>
        <v>Complete</v>
      </c>
      <c r="N694" t="str">
        <f>IF(M694="Incomplete","Not checked",IF(ROUND(I694*J694,2)=ROUND(L694,2),"Valid","Mismatch"))</f>
        <v>Valid</v>
      </c>
      <c r="O694">
        <f t="shared" si="21"/>
        <v>55.8</v>
      </c>
    </row>
    <row r="695" spans="1:15">
      <c r="A695">
        <v>643</v>
      </c>
      <c r="B695" t="str">
        <f t="shared" si="20"/>
        <v>2022-10</v>
      </c>
      <c r="C695" s="1">
        <v>44839</v>
      </c>
      <c r="D695" s="5">
        <v>0.93472222222222223</v>
      </c>
      <c r="E695">
        <v>63</v>
      </c>
      <c r="F695" t="s">
        <v>14</v>
      </c>
      <c r="G695">
        <v>28</v>
      </c>
      <c r="H695" t="s">
        <v>15</v>
      </c>
      <c r="I695">
        <v>3</v>
      </c>
      <c r="J695" s="6">
        <v>30</v>
      </c>
      <c r="K695">
        <v>28.8</v>
      </c>
      <c r="L695">
        <v>90</v>
      </c>
      <c r="M695" t="str">
        <f>IF(OR(I695="",J695="",L695=""),"Incomplete","Complete")</f>
        <v>Complete</v>
      </c>
      <c r="N695" t="str">
        <f>IF(M695="Incomplete","Not checked",IF(ROUND(I695*J695,2)=ROUND(L695,2),"Valid","Mismatch"))</f>
        <v>Valid</v>
      </c>
      <c r="O695">
        <f t="shared" si="21"/>
        <v>61.2</v>
      </c>
    </row>
    <row r="696" spans="1:15">
      <c r="A696">
        <v>1643</v>
      </c>
      <c r="B696" t="str">
        <f t="shared" si="20"/>
        <v>2023-10</v>
      </c>
      <c r="C696" s="1">
        <v>45216</v>
      </c>
      <c r="D696" s="5">
        <v>0.90763888888888888</v>
      </c>
      <c r="E696">
        <v>12</v>
      </c>
      <c r="F696" t="s">
        <v>14</v>
      </c>
      <c r="G696">
        <v>28</v>
      </c>
      <c r="H696" t="s">
        <v>15</v>
      </c>
      <c r="I696">
        <v>3</v>
      </c>
      <c r="J696" s="6">
        <v>30</v>
      </c>
      <c r="K696">
        <v>33.299999999999997</v>
      </c>
      <c r="L696">
        <v>90</v>
      </c>
      <c r="M696" t="str">
        <f>IF(OR(I696="",J696="",L696=""),"Incomplete","Complete")</f>
        <v>Complete</v>
      </c>
      <c r="N696" t="str">
        <f>IF(M696="Incomplete","Not checked",IF(ROUND(I696*J696,2)=ROUND(L696,2),"Valid","Mismatch"))</f>
        <v>Valid</v>
      </c>
      <c r="O696">
        <f t="shared" si="21"/>
        <v>56.7</v>
      </c>
    </row>
    <row r="697" spans="1:15">
      <c r="A697">
        <v>351</v>
      </c>
      <c r="B697" t="str">
        <f t="shared" si="20"/>
        <v>2023-11</v>
      </c>
      <c r="C697" s="1">
        <v>45241</v>
      </c>
      <c r="D697" s="5">
        <v>0.92777777777777781</v>
      </c>
      <c r="E697">
        <v>38</v>
      </c>
      <c r="F697" t="s">
        <v>14</v>
      </c>
      <c r="G697">
        <v>56</v>
      </c>
      <c r="H697" t="s">
        <v>12</v>
      </c>
      <c r="I697">
        <v>3</v>
      </c>
      <c r="J697" s="6">
        <v>30</v>
      </c>
      <c r="K697">
        <v>36.6</v>
      </c>
      <c r="L697">
        <v>90</v>
      </c>
      <c r="M697" t="str">
        <f>IF(OR(I697="",J697="",L697=""),"Incomplete","Complete")</f>
        <v>Complete</v>
      </c>
      <c r="N697" t="str">
        <f>IF(M697="Incomplete","Not checked",IF(ROUND(I697*J697,2)=ROUND(L697,2),"Valid","Mismatch"))</f>
        <v>Valid</v>
      </c>
      <c r="O697">
        <f t="shared" si="21"/>
        <v>53.4</v>
      </c>
    </row>
    <row r="698" spans="1:15">
      <c r="A698">
        <v>1351</v>
      </c>
      <c r="B698" t="str">
        <f t="shared" si="20"/>
        <v>2022-10</v>
      </c>
      <c r="C698" s="1">
        <v>44836</v>
      </c>
      <c r="D698" s="5">
        <v>0.87361111111111112</v>
      </c>
      <c r="E698">
        <v>88</v>
      </c>
      <c r="F698" t="s">
        <v>14</v>
      </c>
      <c r="G698">
        <v>56</v>
      </c>
      <c r="H698" t="s">
        <v>12</v>
      </c>
      <c r="I698">
        <v>3</v>
      </c>
      <c r="J698" s="6">
        <v>30</v>
      </c>
      <c r="K698">
        <v>28.5</v>
      </c>
      <c r="L698">
        <v>90</v>
      </c>
      <c r="M698" t="str">
        <f>IF(OR(I698="",J698="",L698=""),"Incomplete","Complete")</f>
        <v>Complete</v>
      </c>
      <c r="N698" t="str">
        <f>IF(M698="Incomplete","Not checked",IF(ROUND(I698*J698,2)=ROUND(L698,2),"Valid","Mismatch"))</f>
        <v>Valid</v>
      </c>
      <c r="O698">
        <f t="shared" si="21"/>
        <v>61.5</v>
      </c>
    </row>
    <row r="699" spans="1:15">
      <c r="A699">
        <v>497</v>
      </c>
      <c r="B699" t="str">
        <f t="shared" si="20"/>
        <v>2023-12</v>
      </c>
      <c r="C699" s="1">
        <v>45291</v>
      </c>
      <c r="D699" s="5">
        <v>0.75763888888888886</v>
      </c>
      <c r="E699">
        <v>127</v>
      </c>
      <c r="F699" t="s">
        <v>11</v>
      </c>
      <c r="G699">
        <v>41</v>
      </c>
      <c r="H699" t="s">
        <v>12</v>
      </c>
      <c r="I699">
        <v>4</v>
      </c>
      <c r="J699" s="6">
        <v>30</v>
      </c>
      <c r="K699">
        <v>37.200000000000003</v>
      </c>
      <c r="L699">
        <v>120</v>
      </c>
      <c r="M699" t="str">
        <f>IF(OR(I699="",J699="",L699=""),"Incomplete","Complete")</f>
        <v>Complete</v>
      </c>
      <c r="N699" t="str">
        <f>IF(M699="Incomplete","Not checked",IF(ROUND(I699*J699,2)=ROUND(L699,2),"Valid","Mismatch"))</f>
        <v>Valid</v>
      </c>
      <c r="O699">
        <f t="shared" si="21"/>
        <v>82.8</v>
      </c>
    </row>
    <row r="700" spans="1:15">
      <c r="A700">
        <v>1497</v>
      </c>
      <c r="B700" t="str">
        <f t="shared" si="20"/>
        <v>2022-11</v>
      </c>
      <c r="C700" s="1">
        <v>44884</v>
      </c>
      <c r="D700" s="5">
        <v>0.90555555555555556</v>
      </c>
      <c r="E700">
        <v>109</v>
      </c>
      <c r="F700" t="s">
        <v>11</v>
      </c>
      <c r="G700">
        <v>41</v>
      </c>
      <c r="H700" t="s">
        <v>12</v>
      </c>
      <c r="I700">
        <v>4</v>
      </c>
      <c r="J700" s="6">
        <v>30</v>
      </c>
      <c r="K700">
        <v>32.4</v>
      </c>
      <c r="L700">
        <v>120</v>
      </c>
      <c r="M700" t="str">
        <f>IF(OR(I700="",J700="",L700=""),"Incomplete","Complete")</f>
        <v>Complete</v>
      </c>
      <c r="N700" t="str">
        <f>IF(M700="Incomplete","Not checked",IF(ROUND(I700*J700,2)=ROUND(L700,2),"Valid","Mismatch"))</f>
        <v>Valid</v>
      </c>
      <c r="O700">
        <f t="shared" si="21"/>
        <v>87.6</v>
      </c>
    </row>
    <row r="701" spans="1:15">
      <c r="A701">
        <v>122</v>
      </c>
      <c r="B701" t="str">
        <f t="shared" si="20"/>
        <v>2023-12</v>
      </c>
      <c r="C701" s="1">
        <v>45261</v>
      </c>
      <c r="D701" s="5">
        <v>0.79305555555555551</v>
      </c>
      <c r="E701">
        <v>1</v>
      </c>
      <c r="F701" t="s">
        <v>11</v>
      </c>
      <c r="G701">
        <v>64</v>
      </c>
      <c r="H701" t="s">
        <v>15</v>
      </c>
      <c r="I701">
        <v>4</v>
      </c>
      <c r="J701" s="6">
        <v>30</v>
      </c>
      <c r="K701">
        <v>35.4</v>
      </c>
      <c r="L701">
        <v>120</v>
      </c>
      <c r="M701" t="str">
        <f>IF(OR(I701="",J701="",L701=""),"Incomplete","Complete")</f>
        <v>Complete</v>
      </c>
      <c r="N701" t="str">
        <f>IF(M701="Incomplete","Not checked",IF(ROUND(I701*J701,2)=ROUND(L701,2),"Valid","Mismatch"))</f>
        <v>Valid</v>
      </c>
      <c r="O701">
        <f t="shared" si="21"/>
        <v>84.6</v>
      </c>
    </row>
    <row r="702" spans="1:15">
      <c r="A702">
        <v>1122</v>
      </c>
      <c r="B702" t="str">
        <f t="shared" si="20"/>
        <v>2022-09</v>
      </c>
      <c r="C702" s="1">
        <v>44811</v>
      </c>
      <c r="D702" s="5">
        <v>0.82847222222222228</v>
      </c>
      <c r="E702">
        <v>138</v>
      </c>
      <c r="F702" t="s">
        <v>11</v>
      </c>
      <c r="G702">
        <v>64</v>
      </c>
      <c r="H702" t="s">
        <v>15</v>
      </c>
      <c r="I702">
        <v>4</v>
      </c>
      <c r="J702" s="6">
        <v>30</v>
      </c>
      <c r="K702">
        <v>31.8</v>
      </c>
      <c r="L702">
        <v>120</v>
      </c>
      <c r="M702" t="str">
        <f>IF(OR(I702="",J702="",L702=""),"Incomplete","Complete")</f>
        <v>Complete</v>
      </c>
      <c r="N702" t="str">
        <f>IF(M702="Incomplete","Not checked",IF(ROUND(I702*J702,2)=ROUND(L702,2),"Valid","Mismatch"))</f>
        <v>Valid</v>
      </c>
      <c r="O702">
        <f t="shared" si="21"/>
        <v>88.2</v>
      </c>
    </row>
    <row r="703" spans="1:15">
      <c r="A703">
        <v>178</v>
      </c>
      <c r="B703" t="str">
        <f t="shared" si="20"/>
        <v>2023-10</v>
      </c>
      <c r="C703" s="1">
        <v>45210</v>
      </c>
      <c r="D703" s="5">
        <v>0.74375000000000002</v>
      </c>
      <c r="E703">
        <v>142</v>
      </c>
      <c r="F703" t="s">
        <v>11</v>
      </c>
      <c r="G703">
        <v>40</v>
      </c>
      <c r="H703" t="s">
        <v>12</v>
      </c>
      <c r="I703">
        <v>2</v>
      </c>
      <c r="J703" s="6">
        <v>30</v>
      </c>
      <c r="K703">
        <v>34.200000000000003</v>
      </c>
      <c r="L703">
        <v>60</v>
      </c>
      <c r="M703" t="str">
        <f>IF(OR(I703="",J703="",L703=""),"Incomplete","Complete")</f>
        <v>Complete</v>
      </c>
      <c r="N703" t="str">
        <f>IF(M703="Incomplete","Not checked",IF(ROUND(I703*J703,2)=ROUND(L703,2),"Valid","Mismatch"))</f>
        <v>Valid</v>
      </c>
      <c r="O703">
        <f t="shared" si="21"/>
        <v>25.799999999999997</v>
      </c>
    </row>
    <row r="704" spans="1:15">
      <c r="A704">
        <v>247</v>
      </c>
      <c r="B704" t="str">
        <f t="shared" si="20"/>
        <v>2022-12</v>
      </c>
      <c r="C704" s="1">
        <v>44918</v>
      </c>
      <c r="D704" s="5">
        <v>0.74722222222222223</v>
      </c>
      <c r="E704">
        <v>82</v>
      </c>
      <c r="F704" t="s">
        <v>11</v>
      </c>
      <c r="G704">
        <v>41</v>
      </c>
      <c r="H704" t="s">
        <v>15</v>
      </c>
      <c r="I704">
        <v>2</v>
      </c>
      <c r="J704" s="6">
        <v>30</v>
      </c>
      <c r="K704">
        <v>31.5</v>
      </c>
      <c r="L704">
        <v>60</v>
      </c>
      <c r="M704" t="str">
        <f>IF(OR(I704="",J704="",L704=""),"Incomplete","Complete")</f>
        <v>Complete</v>
      </c>
      <c r="N704" t="str">
        <f>IF(M704="Incomplete","Not checked",IF(ROUND(I704*J704,2)=ROUND(L704,2),"Valid","Mismatch"))</f>
        <v>Valid</v>
      </c>
      <c r="O704">
        <f t="shared" si="21"/>
        <v>28.5</v>
      </c>
    </row>
    <row r="705" spans="1:15">
      <c r="A705">
        <v>656</v>
      </c>
      <c r="B705" t="str">
        <f t="shared" si="20"/>
        <v>2023-11</v>
      </c>
      <c r="C705" s="1">
        <v>45242</v>
      </c>
      <c r="D705" s="5">
        <v>0.87361111111111112</v>
      </c>
      <c r="E705">
        <v>27</v>
      </c>
      <c r="F705" t="s">
        <v>11</v>
      </c>
      <c r="G705">
        <v>29</v>
      </c>
      <c r="H705" t="s">
        <v>13</v>
      </c>
      <c r="I705">
        <v>3</v>
      </c>
      <c r="J705" s="6">
        <v>30</v>
      </c>
      <c r="K705">
        <v>29.4</v>
      </c>
      <c r="L705">
        <v>90</v>
      </c>
      <c r="M705" t="str">
        <f>IF(OR(I705="",J705="",L705=""),"Incomplete","Complete")</f>
        <v>Complete</v>
      </c>
      <c r="N705" t="str">
        <f>IF(M705="Incomplete","Not checked",IF(ROUND(I705*J705,2)=ROUND(L705,2),"Valid","Mismatch"))</f>
        <v>Valid</v>
      </c>
      <c r="O705">
        <f t="shared" si="21"/>
        <v>60.6</v>
      </c>
    </row>
    <row r="706" spans="1:15">
      <c r="A706">
        <v>1178</v>
      </c>
      <c r="B706" t="str">
        <f t="shared" ref="B706:B769" si="22">TEXT(C706,"yyyy-mm")</f>
        <v>2023-12</v>
      </c>
      <c r="C706" s="1">
        <v>45289</v>
      </c>
      <c r="D706" s="5">
        <v>0.88541666666666663</v>
      </c>
      <c r="E706">
        <v>137</v>
      </c>
      <c r="F706" t="s">
        <v>11</v>
      </c>
      <c r="G706">
        <v>40</v>
      </c>
      <c r="H706" t="s">
        <v>12</v>
      </c>
      <c r="I706">
        <v>2</v>
      </c>
      <c r="J706" s="6">
        <v>30</v>
      </c>
      <c r="K706">
        <v>33</v>
      </c>
      <c r="L706">
        <v>60</v>
      </c>
      <c r="M706" t="str">
        <f>IF(OR(I706="",J706="",L706=""),"Incomplete","Complete")</f>
        <v>Complete</v>
      </c>
      <c r="N706" t="str">
        <f>IF(M706="Incomplete","Not checked",IF(ROUND(I706*J706,2)=ROUND(L706,2),"Valid","Mismatch"))</f>
        <v>Valid</v>
      </c>
      <c r="O706">
        <f t="shared" ref="O706:O769" si="23">IF(M706="Incomplete","",L706-K706)</f>
        <v>27</v>
      </c>
    </row>
    <row r="707" spans="1:15">
      <c r="A707">
        <v>1247</v>
      </c>
      <c r="B707" t="str">
        <f t="shared" si="22"/>
        <v>2023-09</v>
      </c>
      <c r="C707" s="1">
        <v>45171</v>
      </c>
      <c r="D707" s="5">
        <v>0.76180555555555551</v>
      </c>
      <c r="E707">
        <v>78</v>
      </c>
      <c r="F707" t="s">
        <v>11</v>
      </c>
      <c r="G707">
        <v>41</v>
      </c>
      <c r="H707" t="s">
        <v>15</v>
      </c>
      <c r="I707">
        <v>2</v>
      </c>
      <c r="J707" s="6">
        <v>30</v>
      </c>
      <c r="K707">
        <v>35.700000000000003</v>
      </c>
      <c r="L707">
        <v>60</v>
      </c>
      <c r="M707" t="str">
        <f>IF(OR(I707="",J707="",L707=""),"Incomplete","Complete")</f>
        <v>Complete</v>
      </c>
      <c r="N707" t="str">
        <f>IF(M707="Incomplete","Not checked",IF(ROUND(I707*J707,2)=ROUND(L707,2),"Valid","Mismatch"))</f>
        <v>Valid</v>
      </c>
      <c r="O707">
        <f t="shared" si="23"/>
        <v>24.299999999999997</v>
      </c>
    </row>
    <row r="708" spans="1:15">
      <c r="A708">
        <v>1656</v>
      </c>
      <c r="B708" t="str">
        <f t="shared" si="22"/>
        <v>2023-09</v>
      </c>
      <c r="C708" s="1">
        <v>45185</v>
      </c>
      <c r="D708" s="5">
        <v>0.8354166666666667</v>
      </c>
      <c r="E708">
        <v>141</v>
      </c>
      <c r="F708" t="s">
        <v>11</v>
      </c>
      <c r="G708">
        <v>29</v>
      </c>
      <c r="H708" t="s">
        <v>13</v>
      </c>
      <c r="I708">
        <v>3</v>
      </c>
      <c r="J708" s="6">
        <v>30</v>
      </c>
      <c r="K708">
        <v>35.4</v>
      </c>
      <c r="L708">
        <v>90</v>
      </c>
      <c r="M708" t="str">
        <f>IF(OR(I708="",J708="",L708=""),"Incomplete","Complete")</f>
        <v>Complete</v>
      </c>
      <c r="N708" t="str">
        <f>IF(M708="Incomplete","Not checked",IF(ROUND(I708*J708,2)=ROUND(L708,2),"Valid","Mismatch"))</f>
        <v>Valid</v>
      </c>
      <c r="O708">
        <f t="shared" si="23"/>
        <v>54.6</v>
      </c>
    </row>
    <row r="709" spans="1:15">
      <c r="A709">
        <v>670</v>
      </c>
      <c r="B709" t="str">
        <f t="shared" si="22"/>
        <v>2023-09</v>
      </c>
      <c r="C709" s="1">
        <v>45198</v>
      </c>
      <c r="D709" s="5">
        <v>0.72499999999999998</v>
      </c>
      <c r="E709">
        <v>59</v>
      </c>
      <c r="F709" t="s">
        <v>11</v>
      </c>
      <c r="G709">
        <v>27</v>
      </c>
      <c r="H709" t="s">
        <v>13</v>
      </c>
      <c r="I709">
        <v>1</v>
      </c>
      <c r="J709" s="6">
        <v>30</v>
      </c>
      <c r="K709">
        <v>35.700000000000003</v>
      </c>
      <c r="L709">
        <v>30</v>
      </c>
      <c r="M709" t="str">
        <f>IF(OR(I709="",J709="",L709=""),"Incomplete","Complete")</f>
        <v>Complete</v>
      </c>
      <c r="N709" t="str">
        <f>IF(M709="Incomplete","Not checked",IF(ROUND(I709*J709,2)=ROUND(L709,2),"Valid","Mismatch"))</f>
        <v>Valid</v>
      </c>
      <c r="O709">
        <f t="shared" si="23"/>
        <v>-5.7000000000000028</v>
      </c>
    </row>
    <row r="710" spans="1:15">
      <c r="A710">
        <v>1670</v>
      </c>
      <c r="B710" t="str">
        <f t="shared" si="22"/>
        <v>2023-10</v>
      </c>
      <c r="C710" s="1">
        <v>45223</v>
      </c>
      <c r="D710" s="5">
        <v>0.89722222222222225</v>
      </c>
      <c r="E710">
        <v>58</v>
      </c>
      <c r="F710" t="s">
        <v>11</v>
      </c>
      <c r="G710">
        <v>27</v>
      </c>
      <c r="H710" t="s">
        <v>13</v>
      </c>
      <c r="I710">
        <v>1</v>
      </c>
      <c r="J710" s="6">
        <v>30</v>
      </c>
      <c r="K710">
        <v>34.200000000000003</v>
      </c>
      <c r="L710">
        <v>30</v>
      </c>
      <c r="M710" t="str">
        <f>IF(OR(I710="",J710="",L710=""),"Incomplete","Complete")</f>
        <v>Complete</v>
      </c>
      <c r="N710" t="str">
        <f>IF(M710="Incomplete","Not checked",IF(ROUND(I710*J710,2)=ROUND(L710,2),"Valid","Mismatch"))</f>
        <v>Valid</v>
      </c>
      <c r="O710">
        <f t="shared" si="23"/>
        <v>-4.2000000000000028</v>
      </c>
    </row>
    <row r="711" spans="1:15">
      <c r="A711">
        <v>876</v>
      </c>
      <c r="B711" t="str">
        <f t="shared" si="22"/>
        <v>2023-10</v>
      </c>
      <c r="C711" s="1">
        <v>45202</v>
      </c>
      <c r="D711" s="5">
        <v>0.81874999999999998</v>
      </c>
      <c r="E711">
        <v>104</v>
      </c>
      <c r="F711" t="s">
        <v>11</v>
      </c>
      <c r="G711">
        <v>43</v>
      </c>
      <c r="H711" t="s">
        <v>12</v>
      </c>
      <c r="I711">
        <v>4</v>
      </c>
      <c r="J711" s="6">
        <v>30</v>
      </c>
      <c r="K711">
        <v>30</v>
      </c>
      <c r="L711">
        <v>120</v>
      </c>
      <c r="M711" t="str">
        <f>IF(OR(I711="",J711="",L711=""),"Incomplete","Complete")</f>
        <v>Complete</v>
      </c>
      <c r="N711" t="str">
        <f>IF(M711="Incomplete","Not checked",IF(ROUND(I711*J711,2)=ROUND(L711,2),"Valid","Mismatch"))</f>
        <v>Valid</v>
      </c>
      <c r="O711">
        <f t="shared" si="23"/>
        <v>90</v>
      </c>
    </row>
    <row r="712" spans="1:15">
      <c r="A712">
        <v>1876</v>
      </c>
      <c r="B712" t="str">
        <f t="shared" si="22"/>
        <v>2023-11</v>
      </c>
      <c r="C712" s="1">
        <v>45235</v>
      </c>
      <c r="D712" s="5">
        <v>0.82847222222222228</v>
      </c>
      <c r="E712">
        <v>68</v>
      </c>
      <c r="F712" t="s">
        <v>11</v>
      </c>
      <c r="G712">
        <v>43</v>
      </c>
      <c r="H712" t="s">
        <v>12</v>
      </c>
      <c r="I712">
        <v>4</v>
      </c>
      <c r="J712" s="6">
        <v>30</v>
      </c>
      <c r="K712">
        <v>32.1</v>
      </c>
      <c r="L712">
        <v>120</v>
      </c>
      <c r="M712" t="str">
        <f>IF(OR(I712="",J712="",L712=""),"Incomplete","Complete")</f>
        <v>Complete</v>
      </c>
      <c r="N712" t="str">
        <f>IF(M712="Incomplete","Not checked",IF(ROUND(I712*J712,2)=ROUND(L712,2),"Valid","Mismatch"))</f>
        <v>Valid</v>
      </c>
      <c r="O712">
        <f t="shared" si="23"/>
        <v>87.9</v>
      </c>
    </row>
    <row r="713" spans="1:15">
      <c r="A713">
        <v>55</v>
      </c>
      <c r="B713" t="str">
        <f t="shared" si="22"/>
        <v>2023-09</v>
      </c>
      <c r="C713" s="1">
        <v>45197</v>
      </c>
      <c r="D713" s="5">
        <v>0.85555555555555551</v>
      </c>
      <c r="E713">
        <v>57</v>
      </c>
      <c r="F713" t="s">
        <v>11</v>
      </c>
      <c r="G713">
        <v>31</v>
      </c>
      <c r="H713" t="s">
        <v>13</v>
      </c>
      <c r="I713">
        <v>4</v>
      </c>
      <c r="J713" s="6">
        <v>30</v>
      </c>
      <c r="K713">
        <v>31.8</v>
      </c>
      <c r="L713">
        <v>120</v>
      </c>
      <c r="M713" t="str">
        <f>IF(OR(I713="",J713="",L713=""),"Incomplete","Complete")</f>
        <v>Complete</v>
      </c>
      <c r="N713" t="str">
        <f>IF(M713="Incomplete","Not checked",IF(ROUND(I713*J713,2)=ROUND(L713,2),"Valid","Mismatch"))</f>
        <v>Valid</v>
      </c>
      <c r="O713">
        <f t="shared" si="23"/>
        <v>88.2</v>
      </c>
    </row>
    <row r="714" spans="1:15">
      <c r="A714">
        <v>1055</v>
      </c>
      <c r="B714" t="str">
        <f t="shared" si="22"/>
        <v>2022-10</v>
      </c>
      <c r="C714" s="1">
        <v>44857</v>
      </c>
      <c r="D714" s="5">
        <v>0.89930555555555558</v>
      </c>
      <c r="E714">
        <v>97</v>
      </c>
      <c r="F714" t="s">
        <v>11</v>
      </c>
      <c r="G714">
        <v>31</v>
      </c>
      <c r="H714" t="s">
        <v>13</v>
      </c>
      <c r="I714">
        <v>4</v>
      </c>
      <c r="J714" s="6">
        <v>30</v>
      </c>
      <c r="K714">
        <v>37.5</v>
      </c>
      <c r="L714">
        <v>120</v>
      </c>
      <c r="M714" t="str">
        <f>IF(OR(I714="",J714="",L714=""),"Incomplete","Complete")</f>
        <v>Complete</v>
      </c>
      <c r="N714" t="str">
        <f>IF(M714="Incomplete","Not checked",IF(ROUND(I714*J714,2)=ROUND(L714,2),"Valid","Mismatch"))</f>
        <v>Valid</v>
      </c>
      <c r="O714">
        <f t="shared" si="23"/>
        <v>82.5</v>
      </c>
    </row>
    <row r="715" spans="1:15">
      <c r="A715">
        <v>456</v>
      </c>
      <c r="B715" t="str">
        <f t="shared" si="22"/>
        <v>2023-12</v>
      </c>
      <c r="C715" s="1">
        <v>45275</v>
      </c>
      <c r="D715" s="5">
        <v>0.82291666666666663</v>
      </c>
      <c r="E715">
        <v>51</v>
      </c>
      <c r="F715" t="s">
        <v>11</v>
      </c>
      <c r="G715">
        <v>57</v>
      </c>
      <c r="H715" t="s">
        <v>15</v>
      </c>
      <c r="I715">
        <v>2</v>
      </c>
      <c r="J715" s="6">
        <v>30</v>
      </c>
      <c r="K715">
        <v>33.9</v>
      </c>
      <c r="L715">
        <v>60</v>
      </c>
      <c r="M715" t="str">
        <f>IF(OR(I715="",J715="",L715=""),"Incomplete","Complete")</f>
        <v>Complete</v>
      </c>
      <c r="N715" t="str">
        <f>IF(M715="Incomplete","Not checked",IF(ROUND(I715*J715,2)=ROUND(L715,2),"Valid","Mismatch"))</f>
        <v>Valid</v>
      </c>
      <c r="O715">
        <f t="shared" si="23"/>
        <v>26.1</v>
      </c>
    </row>
    <row r="716" spans="1:15">
      <c r="A716">
        <v>1456</v>
      </c>
      <c r="B716" t="str">
        <f t="shared" si="22"/>
        <v>2022-09</v>
      </c>
      <c r="C716" s="1">
        <v>44806</v>
      </c>
      <c r="D716" s="5">
        <v>0.78402777777777777</v>
      </c>
      <c r="E716">
        <v>85</v>
      </c>
      <c r="F716" t="s">
        <v>11</v>
      </c>
      <c r="G716">
        <v>57</v>
      </c>
      <c r="H716" t="s">
        <v>15</v>
      </c>
      <c r="I716">
        <v>2</v>
      </c>
      <c r="J716" s="6">
        <v>30</v>
      </c>
      <c r="K716">
        <v>37.200000000000003</v>
      </c>
      <c r="L716">
        <v>60</v>
      </c>
      <c r="M716" t="str">
        <f>IF(OR(I716="",J716="",L716=""),"Incomplete","Complete")</f>
        <v>Complete</v>
      </c>
      <c r="N716" t="str">
        <f>IF(M716="Incomplete","Not checked",IF(ROUND(I716*J716,2)=ROUND(L716,2),"Valid","Mismatch"))</f>
        <v>Valid</v>
      </c>
      <c r="O716">
        <f t="shared" si="23"/>
        <v>22.799999999999997</v>
      </c>
    </row>
    <row r="717" spans="1:15">
      <c r="A717">
        <v>370</v>
      </c>
      <c r="B717" t="str">
        <f t="shared" si="22"/>
        <v>2023-10</v>
      </c>
      <c r="C717" s="1">
        <v>45223</v>
      </c>
      <c r="D717" s="5">
        <v>0.87777777777777777</v>
      </c>
      <c r="E717">
        <v>61</v>
      </c>
      <c r="F717" t="s">
        <v>11</v>
      </c>
      <c r="G717">
        <v>23</v>
      </c>
      <c r="H717" t="s">
        <v>15</v>
      </c>
      <c r="I717">
        <v>2</v>
      </c>
      <c r="J717" s="6">
        <v>30</v>
      </c>
      <c r="K717">
        <v>34.799999999999997</v>
      </c>
      <c r="L717">
        <v>60</v>
      </c>
      <c r="M717" t="str">
        <f>IF(OR(I717="",J717="",L717=""),"Incomplete","Complete")</f>
        <v>Complete</v>
      </c>
      <c r="N717" t="str">
        <f>IF(M717="Incomplete","Not checked",IF(ROUND(I717*J717,2)=ROUND(L717,2),"Valid","Mismatch"))</f>
        <v>Valid</v>
      </c>
      <c r="O717">
        <f t="shared" si="23"/>
        <v>25.200000000000003</v>
      </c>
    </row>
    <row r="718" spans="1:15">
      <c r="A718">
        <v>1370</v>
      </c>
      <c r="B718" t="str">
        <f t="shared" si="22"/>
        <v>2022-11</v>
      </c>
      <c r="C718" s="1">
        <v>44869</v>
      </c>
      <c r="D718" s="5">
        <v>0.95208333333333328</v>
      </c>
      <c r="E718">
        <v>90</v>
      </c>
      <c r="F718" t="s">
        <v>11</v>
      </c>
      <c r="G718">
        <v>23</v>
      </c>
      <c r="H718" t="s">
        <v>15</v>
      </c>
      <c r="I718">
        <v>2</v>
      </c>
      <c r="J718" s="6">
        <v>30</v>
      </c>
      <c r="K718">
        <v>36</v>
      </c>
      <c r="L718">
        <v>60</v>
      </c>
      <c r="M718" t="str">
        <f>IF(OR(I718="",J718="",L718=""),"Incomplete","Complete")</f>
        <v>Complete</v>
      </c>
      <c r="N718" t="str">
        <f>IF(M718="Incomplete","Not checked",IF(ROUND(I718*J718,2)=ROUND(L718,2),"Valid","Mismatch"))</f>
        <v>Valid</v>
      </c>
      <c r="O718">
        <f t="shared" si="23"/>
        <v>24</v>
      </c>
    </row>
    <row r="719" spans="1:15">
      <c r="A719">
        <v>962</v>
      </c>
      <c r="B719" t="str">
        <f t="shared" si="22"/>
        <v>2023-12</v>
      </c>
      <c r="C719" s="1">
        <v>45275</v>
      </c>
      <c r="D719" s="5">
        <v>0.91805555555555551</v>
      </c>
      <c r="E719">
        <v>76</v>
      </c>
      <c r="F719" t="s">
        <v>11</v>
      </c>
      <c r="G719">
        <v>44</v>
      </c>
      <c r="H719" t="s">
        <v>12</v>
      </c>
      <c r="I719">
        <v>2</v>
      </c>
      <c r="J719" s="6">
        <v>30</v>
      </c>
      <c r="K719">
        <v>35.1</v>
      </c>
      <c r="L719">
        <v>60</v>
      </c>
      <c r="M719" t="str">
        <f>IF(OR(I719="",J719="",L719=""),"Incomplete","Complete")</f>
        <v>Complete</v>
      </c>
      <c r="N719" t="str">
        <f>IF(M719="Incomplete","Not checked",IF(ROUND(I719*J719,2)=ROUND(L719,2),"Valid","Mismatch"))</f>
        <v>Valid</v>
      </c>
      <c r="O719">
        <f t="shared" si="23"/>
        <v>24.9</v>
      </c>
    </row>
    <row r="720" spans="1:15">
      <c r="A720">
        <v>1962</v>
      </c>
      <c r="B720" t="str">
        <f t="shared" si="22"/>
        <v>2022-09</v>
      </c>
      <c r="C720" s="1">
        <v>44811</v>
      </c>
      <c r="D720" s="5">
        <v>0.79097222222222219</v>
      </c>
      <c r="E720">
        <v>65</v>
      </c>
      <c r="F720" t="s">
        <v>11</v>
      </c>
      <c r="G720">
        <v>44</v>
      </c>
      <c r="H720" t="s">
        <v>12</v>
      </c>
      <c r="I720">
        <v>2</v>
      </c>
      <c r="J720" s="6">
        <v>30</v>
      </c>
      <c r="K720">
        <v>32.700000000000003</v>
      </c>
      <c r="L720">
        <v>60</v>
      </c>
      <c r="M720" t="str">
        <f>IF(OR(I720="",J720="",L720=""),"Incomplete","Complete")</f>
        <v>Complete</v>
      </c>
      <c r="N720" t="str">
        <f>IF(M720="Incomplete","Not checked",IF(ROUND(I720*J720,2)=ROUND(L720,2),"Valid","Mismatch"))</f>
        <v>Valid</v>
      </c>
      <c r="O720">
        <f t="shared" si="23"/>
        <v>27.299999999999997</v>
      </c>
    </row>
    <row r="721" spans="1:15">
      <c r="A721">
        <v>126</v>
      </c>
      <c r="B721" t="str">
        <f t="shared" si="22"/>
        <v>2022-11</v>
      </c>
      <c r="C721" s="1">
        <v>44866</v>
      </c>
      <c r="D721" s="5">
        <v>0.76111111111111107</v>
      </c>
      <c r="E721">
        <v>63</v>
      </c>
      <c r="F721" t="s">
        <v>14</v>
      </c>
      <c r="G721">
        <v>28</v>
      </c>
      <c r="H721" t="s">
        <v>12</v>
      </c>
      <c r="I721">
        <v>3</v>
      </c>
      <c r="J721" s="6">
        <v>30</v>
      </c>
      <c r="K721">
        <v>28.8</v>
      </c>
      <c r="L721">
        <v>90</v>
      </c>
      <c r="M721" t="str">
        <f>IF(OR(I721="",J721="",L721=""),"Incomplete","Complete")</f>
        <v>Complete</v>
      </c>
      <c r="N721" t="str">
        <f>IF(M721="Incomplete","Not checked",IF(ROUND(I721*J721,2)=ROUND(L721,2),"Valid","Mismatch"))</f>
        <v>Valid</v>
      </c>
      <c r="O721">
        <f t="shared" si="23"/>
        <v>61.2</v>
      </c>
    </row>
    <row r="722" spans="1:15">
      <c r="A722">
        <v>1126</v>
      </c>
      <c r="B722" t="str">
        <f t="shared" si="22"/>
        <v>2022-09</v>
      </c>
      <c r="C722" s="1">
        <v>44816</v>
      </c>
      <c r="D722" s="5">
        <v>0.71666666666666667</v>
      </c>
      <c r="E722">
        <v>62</v>
      </c>
      <c r="F722" t="s">
        <v>14</v>
      </c>
      <c r="G722">
        <v>28</v>
      </c>
      <c r="H722" t="s">
        <v>12</v>
      </c>
      <c r="I722">
        <v>3</v>
      </c>
      <c r="J722" s="6">
        <v>30</v>
      </c>
      <c r="K722">
        <v>28.8</v>
      </c>
      <c r="L722">
        <v>90</v>
      </c>
      <c r="M722" t="str">
        <f>IF(OR(I722="",J722="",L722=""),"Incomplete","Complete")</f>
        <v>Complete</v>
      </c>
      <c r="N722" t="str">
        <f>IF(M722="Incomplete","Not checked",IF(ROUND(I722*J722,2)=ROUND(L722,2),"Valid","Mismatch"))</f>
        <v>Valid</v>
      </c>
      <c r="O722">
        <f t="shared" si="23"/>
        <v>61.2</v>
      </c>
    </row>
    <row r="723" spans="1:15">
      <c r="A723">
        <v>229</v>
      </c>
      <c r="B723" t="str">
        <f t="shared" si="22"/>
        <v>2023-11</v>
      </c>
      <c r="C723" s="1">
        <v>45239</v>
      </c>
      <c r="D723" s="5">
        <v>0.80763888888888891</v>
      </c>
      <c r="E723">
        <v>92</v>
      </c>
      <c r="F723" t="s">
        <v>11</v>
      </c>
      <c r="G723">
        <v>58</v>
      </c>
      <c r="H723" t="s">
        <v>13</v>
      </c>
      <c r="I723">
        <v>3</v>
      </c>
      <c r="J723" s="6">
        <v>30</v>
      </c>
      <c r="K723">
        <v>36.9</v>
      </c>
      <c r="L723">
        <v>90</v>
      </c>
      <c r="M723" t="str">
        <f>IF(OR(I723="",J723="",L723=""),"Incomplete","Complete")</f>
        <v>Complete</v>
      </c>
      <c r="N723" t="str">
        <f>IF(M723="Incomplete","Not checked",IF(ROUND(I723*J723,2)=ROUND(L723,2),"Valid","Mismatch"))</f>
        <v>Valid</v>
      </c>
      <c r="O723">
        <f t="shared" si="23"/>
        <v>53.1</v>
      </c>
    </row>
    <row r="724" spans="1:15">
      <c r="A724">
        <v>959</v>
      </c>
      <c r="B724" t="str">
        <f t="shared" si="22"/>
        <v>2022-09</v>
      </c>
      <c r="C724" s="1">
        <v>44822</v>
      </c>
      <c r="D724" s="5">
        <v>0.74930555555555556</v>
      </c>
      <c r="E724">
        <v>54</v>
      </c>
      <c r="F724" t="s">
        <v>14</v>
      </c>
      <c r="G724">
        <v>42</v>
      </c>
      <c r="H724" t="s">
        <v>15</v>
      </c>
      <c r="I724">
        <v>2</v>
      </c>
      <c r="J724" s="6">
        <v>30</v>
      </c>
      <c r="K724">
        <v>28.5</v>
      </c>
      <c r="L724">
        <v>60</v>
      </c>
      <c r="M724" t="str">
        <f>IF(OR(I724="",J724="",L724=""),"Incomplete","Complete")</f>
        <v>Complete</v>
      </c>
      <c r="N724" t="str">
        <f>IF(M724="Incomplete","Not checked",IF(ROUND(I724*J724,2)=ROUND(L724,2),"Valid","Mismatch"))</f>
        <v>Valid</v>
      </c>
      <c r="O724">
        <f t="shared" si="23"/>
        <v>31.5</v>
      </c>
    </row>
    <row r="725" spans="1:15">
      <c r="A725">
        <v>1229</v>
      </c>
      <c r="B725" t="str">
        <f t="shared" si="22"/>
        <v>2023-11</v>
      </c>
      <c r="C725" s="1">
        <v>45232</v>
      </c>
      <c r="D725" s="5">
        <v>0.88055555555555554</v>
      </c>
      <c r="E725">
        <v>62</v>
      </c>
      <c r="F725" t="s">
        <v>11</v>
      </c>
      <c r="G725">
        <v>58</v>
      </c>
      <c r="H725" t="s">
        <v>13</v>
      </c>
      <c r="I725">
        <v>3</v>
      </c>
      <c r="J725" s="6">
        <v>30</v>
      </c>
      <c r="K725">
        <v>34.5</v>
      </c>
      <c r="L725">
        <v>90</v>
      </c>
      <c r="M725" t="str">
        <f>IF(OR(I725="",J725="",L725=""),"Incomplete","Complete")</f>
        <v>Complete</v>
      </c>
      <c r="N725" t="str">
        <f>IF(M725="Incomplete","Not checked",IF(ROUND(I725*J725,2)=ROUND(L725,2),"Valid","Mismatch"))</f>
        <v>Valid</v>
      </c>
      <c r="O725">
        <f t="shared" si="23"/>
        <v>55.5</v>
      </c>
    </row>
    <row r="726" spans="1:15">
      <c r="A726">
        <v>1959</v>
      </c>
      <c r="B726" t="str">
        <f t="shared" si="22"/>
        <v>2022-10</v>
      </c>
      <c r="C726" s="1">
        <v>44842</v>
      </c>
      <c r="D726" s="5">
        <v>0.8305555555555556</v>
      </c>
      <c r="E726">
        <v>95</v>
      </c>
      <c r="F726" t="s">
        <v>14</v>
      </c>
      <c r="G726">
        <v>42</v>
      </c>
      <c r="H726" t="s">
        <v>15</v>
      </c>
      <c r="I726">
        <v>2</v>
      </c>
      <c r="J726" s="6">
        <v>30</v>
      </c>
      <c r="K726">
        <v>34.200000000000003</v>
      </c>
      <c r="L726">
        <v>60</v>
      </c>
      <c r="M726" t="str">
        <f>IF(OR(I726="",J726="",L726=""),"Incomplete","Complete")</f>
        <v>Complete</v>
      </c>
      <c r="N726" t="str">
        <f>IF(M726="Incomplete","Not checked",IF(ROUND(I726*J726,2)=ROUND(L726,2),"Valid","Mismatch"))</f>
        <v>Valid</v>
      </c>
      <c r="O726">
        <f t="shared" si="23"/>
        <v>25.799999999999997</v>
      </c>
    </row>
    <row r="727" spans="1:15">
      <c r="A727">
        <v>776</v>
      </c>
      <c r="B727" t="str">
        <f t="shared" si="22"/>
        <v>2023-09</v>
      </c>
      <c r="C727" s="1">
        <v>45177</v>
      </c>
      <c r="D727" s="5">
        <v>0.7895833333333333</v>
      </c>
      <c r="E727">
        <v>109</v>
      </c>
      <c r="F727" t="s">
        <v>11</v>
      </c>
      <c r="G727">
        <v>35</v>
      </c>
      <c r="H727" t="s">
        <v>12</v>
      </c>
      <c r="I727">
        <v>3</v>
      </c>
      <c r="J727" s="6">
        <v>30</v>
      </c>
      <c r="K727">
        <v>30.9</v>
      </c>
      <c r="L727">
        <v>90</v>
      </c>
      <c r="M727" t="str">
        <f>IF(OR(I727="",J727="",L727=""),"Incomplete","Complete")</f>
        <v>Complete</v>
      </c>
      <c r="N727" t="str">
        <f>IF(M727="Incomplete","Not checked",IF(ROUND(I727*J727,2)=ROUND(L727,2),"Valid","Mismatch"))</f>
        <v>Valid</v>
      </c>
      <c r="O727">
        <f t="shared" si="23"/>
        <v>59.1</v>
      </c>
    </row>
    <row r="728" spans="1:15">
      <c r="A728">
        <v>1776</v>
      </c>
      <c r="B728" t="str">
        <f t="shared" si="22"/>
        <v>2022-10</v>
      </c>
      <c r="C728" s="1">
        <v>44857</v>
      </c>
      <c r="D728" s="5">
        <v>0.83819444444444446</v>
      </c>
      <c r="E728">
        <v>111</v>
      </c>
      <c r="F728" t="s">
        <v>11</v>
      </c>
      <c r="G728">
        <v>35</v>
      </c>
      <c r="H728" t="s">
        <v>12</v>
      </c>
      <c r="I728">
        <v>3</v>
      </c>
      <c r="J728" s="6">
        <v>30</v>
      </c>
      <c r="K728">
        <v>32.1</v>
      </c>
      <c r="L728">
        <v>90</v>
      </c>
      <c r="M728" t="str">
        <f>IF(OR(I728="",J728="",L728=""),"Incomplete","Complete")</f>
        <v>Complete</v>
      </c>
      <c r="N728" t="str">
        <f>IF(M728="Incomplete","Not checked",IF(ROUND(I728*J728,2)=ROUND(L728,2),"Valid","Mismatch"))</f>
        <v>Valid</v>
      </c>
      <c r="O728">
        <f t="shared" si="23"/>
        <v>57.9</v>
      </c>
    </row>
    <row r="729" spans="1:15">
      <c r="A729">
        <v>898</v>
      </c>
      <c r="B729" t="str">
        <f t="shared" si="22"/>
        <v>2023-09</v>
      </c>
      <c r="C729" s="1">
        <v>45186</v>
      </c>
      <c r="D729" s="5">
        <v>0.87152777777777779</v>
      </c>
      <c r="E729">
        <v>53</v>
      </c>
      <c r="F729" t="s">
        <v>14</v>
      </c>
      <c r="G729">
        <v>42</v>
      </c>
      <c r="H729" t="s">
        <v>12</v>
      </c>
      <c r="I729">
        <v>3</v>
      </c>
      <c r="J729" s="6">
        <v>30</v>
      </c>
      <c r="K729">
        <v>35.1</v>
      </c>
      <c r="L729">
        <v>90</v>
      </c>
      <c r="M729" t="str">
        <f>IF(OR(I729="",J729="",L729=""),"Incomplete","Complete")</f>
        <v>Complete</v>
      </c>
      <c r="N729" t="str">
        <f>IF(M729="Incomplete","Not checked",IF(ROUND(I729*J729,2)=ROUND(L729,2),"Valid","Mismatch"))</f>
        <v>Valid</v>
      </c>
      <c r="O729">
        <f t="shared" si="23"/>
        <v>54.9</v>
      </c>
    </row>
    <row r="730" spans="1:15">
      <c r="A730">
        <v>1898</v>
      </c>
      <c r="B730" t="str">
        <f t="shared" si="22"/>
        <v>2023-11</v>
      </c>
      <c r="C730" s="1">
        <v>45243</v>
      </c>
      <c r="D730" s="5">
        <v>0.76180555555555551</v>
      </c>
      <c r="E730">
        <v>81</v>
      </c>
      <c r="F730" t="s">
        <v>14</v>
      </c>
      <c r="G730">
        <v>42</v>
      </c>
      <c r="H730" t="s">
        <v>12</v>
      </c>
      <c r="I730">
        <v>3</v>
      </c>
      <c r="J730" s="6">
        <v>30</v>
      </c>
      <c r="K730">
        <v>35.1</v>
      </c>
      <c r="L730">
        <v>90</v>
      </c>
      <c r="M730" t="str">
        <f>IF(OR(I730="",J730="",L730=""),"Incomplete","Complete")</f>
        <v>Complete</v>
      </c>
      <c r="N730" t="str">
        <f>IF(M730="Incomplete","Not checked",IF(ROUND(I730*J730,2)=ROUND(L730,2),"Valid","Mismatch"))</f>
        <v>Valid</v>
      </c>
      <c r="O730">
        <f t="shared" si="23"/>
        <v>54.9</v>
      </c>
    </row>
    <row r="731" spans="1:15">
      <c r="A731">
        <v>565</v>
      </c>
      <c r="B731" t="str">
        <f t="shared" si="22"/>
        <v>2023-09</v>
      </c>
      <c r="C731" s="1">
        <v>45174</v>
      </c>
      <c r="D731" s="5">
        <v>0.85</v>
      </c>
      <c r="E731">
        <v>75</v>
      </c>
      <c r="F731" t="s">
        <v>14</v>
      </c>
      <c r="G731">
        <v>45</v>
      </c>
      <c r="H731" t="s">
        <v>13</v>
      </c>
      <c r="I731">
        <v>2</v>
      </c>
      <c r="J731" s="6">
        <v>30</v>
      </c>
      <c r="K731">
        <v>9</v>
      </c>
      <c r="L731">
        <v>60</v>
      </c>
      <c r="M731" t="str">
        <f>IF(OR(I731="",J731="",L731=""),"Incomplete","Complete")</f>
        <v>Complete</v>
      </c>
      <c r="N731" t="str">
        <f>IF(M731="Incomplete","Not checked",IF(ROUND(I731*J731,2)=ROUND(L731,2),"Valid","Mismatch"))</f>
        <v>Valid</v>
      </c>
      <c r="O731">
        <f t="shared" si="23"/>
        <v>51</v>
      </c>
    </row>
    <row r="732" spans="1:15">
      <c r="A732">
        <v>1565</v>
      </c>
      <c r="B732" t="str">
        <f t="shared" si="22"/>
        <v>2023-09</v>
      </c>
      <c r="C732" s="1">
        <v>45173</v>
      </c>
      <c r="D732" s="5">
        <v>0.86458333333333337</v>
      </c>
      <c r="E732">
        <v>74</v>
      </c>
      <c r="F732" t="s">
        <v>14</v>
      </c>
      <c r="G732">
        <v>45</v>
      </c>
      <c r="H732" t="s">
        <v>13</v>
      </c>
      <c r="I732">
        <v>2</v>
      </c>
      <c r="J732" s="6">
        <v>30</v>
      </c>
      <c r="K732">
        <v>11.1</v>
      </c>
      <c r="L732">
        <v>60</v>
      </c>
      <c r="M732" t="str">
        <f>IF(OR(I732="",J732="",L732=""),"Incomplete","Complete")</f>
        <v>Complete</v>
      </c>
      <c r="N732" t="str">
        <f>IF(M732="Incomplete","Not checked",IF(ROUND(I732*J732,2)=ROUND(L732,2),"Valid","Mismatch"))</f>
        <v>Valid</v>
      </c>
      <c r="O732">
        <f t="shared" si="23"/>
        <v>48.9</v>
      </c>
    </row>
    <row r="733" spans="1:15">
      <c r="A733">
        <v>86</v>
      </c>
      <c r="B733" t="str">
        <f t="shared" si="22"/>
        <v>2023-09</v>
      </c>
      <c r="C733" s="1">
        <v>45198</v>
      </c>
      <c r="D733" s="5">
        <v>0.78819444444444442</v>
      </c>
      <c r="E733">
        <v>69</v>
      </c>
      <c r="F733" t="s">
        <v>11</v>
      </c>
      <c r="G733">
        <v>19</v>
      </c>
      <c r="H733" t="s">
        <v>13</v>
      </c>
      <c r="I733">
        <v>3</v>
      </c>
      <c r="J733" s="6">
        <v>30</v>
      </c>
      <c r="K733">
        <v>15.6</v>
      </c>
      <c r="L733">
        <v>90</v>
      </c>
      <c r="M733" t="str">
        <f>IF(OR(I733="",J733="",L733=""),"Incomplete","Complete")</f>
        <v>Complete</v>
      </c>
      <c r="N733" t="str">
        <f>IF(M733="Incomplete","Not checked",IF(ROUND(I733*J733,2)=ROUND(L733,2),"Valid","Mismatch"))</f>
        <v>Valid</v>
      </c>
      <c r="O733">
        <f t="shared" si="23"/>
        <v>74.400000000000006</v>
      </c>
    </row>
    <row r="734" spans="1:15">
      <c r="A734">
        <v>173</v>
      </c>
      <c r="B734" t="str">
        <f t="shared" si="22"/>
        <v>2023-12</v>
      </c>
      <c r="C734" s="1">
        <v>45279</v>
      </c>
      <c r="D734" s="5">
        <v>0.72916666666666663</v>
      </c>
      <c r="E734">
        <v>85</v>
      </c>
      <c r="F734" t="s">
        <v>11</v>
      </c>
      <c r="G734">
        <v>64</v>
      </c>
      <c r="H734" t="s">
        <v>15</v>
      </c>
      <c r="I734">
        <v>4</v>
      </c>
      <c r="J734" s="6">
        <v>30</v>
      </c>
      <c r="K734">
        <v>14.1</v>
      </c>
      <c r="L734">
        <v>120</v>
      </c>
      <c r="M734" t="str">
        <f>IF(OR(I734="",J734="",L734=""),"Incomplete","Complete")</f>
        <v>Complete</v>
      </c>
      <c r="N734" t="str">
        <f>IF(M734="Incomplete","Not checked",IF(ROUND(I734*J734,2)=ROUND(L734,2),"Valid","Mismatch"))</f>
        <v>Valid</v>
      </c>
      <c r="O734">
        <f t="shared" si="23"/>
        <v>105.9</v>
      </c>
    </row>
    <row r="735" spans="1:15">
      <c r="A735">
        <v>1086</v>
      </c>
      <c r="B735" t="str">
        <f t="shared" si="22"/>
        <v>2023-09</v>
      </c>
      <c r="C735" s="1">
        <v>45183</v>
      </c>
      <c r="D735" s="5">
        <v>0.82638888888888884</v>
      </c>
      <c r="E735">
        <v>84</v>
      </c>
      <c r="F735" t="s">
        <v>11</v>
      </c>
      <c r="G735">
        <v>19</v>
      </c>
      <c r="H735" t="s">
        <v>13</v>
      </c>
      <c r="I735">
        <v>3</v>
      </c>
      <c r="J735" s="6">
        <v>30</v>
      </c>
      <c r="K735">
        <v>16.5</v>
      </c>
      <c r="L735">
        <v>90</v>
      </c>
      <c r="M735" t="str">
        <f>IF(OR(I735="",J735="",L735=""),"Incomplete","Complete")</f>
        <v>Complete</v>
      </c>
      <c r="N735" t="str">
        <f>IF(M735="Incomplete","Not checked",IF(ROUND(I735*J735,2)=ROUND(L735,2),"Valid","Mismatch"))</f>
        <v>Valid</v>
      </c>
      <c r="O735">
        <f t="shared" si="23"/>
        <v>73.5</v>
      </c>
    </row>
    <row r="736" spans="1:15">
      <c r="A736">
        <v>1173</v>
      </c>
      <c r="B736" t="str">
        <f t="shared" si="22"/>
        <v>2022-12</v>
      </c>
      <c r="C736" s="1">
        <v>44899</v>
      </c>
      <c r="D736" s="5">
        <v>0.87708333333333333</v>
      </c>
      <c r="E736">
        <v>70</v>
      </c>
      <c r="F736" t="s">
        <v>11</v>
      </c>
      <c r="G736">
        <v>64</v>
      </c>
      <c r="H736" t="s">
        <v>15</v>
      </c>
      <c r="I736">
        <v>4</v>
      </c>
      <c r="J736" s="6">
        <v>30</v>
      </c>
      <c r="K736">
        <v>15</v>
      </c>
      <c r="L736">
        <v>120</v>
      </c>
      <c r="M736" t="str">
        <f>IF(OR(I736="",J736="",L736=""),"Incomplete","Complete")</f>
        <v>Complete</v>
      </c>
      <c r="N736" t="str">
        <f>IF(M736="Incomplete","Not checked",IF(ROUND(I736*J736,2)=ROUND(L736,2),"Valid","Mismatch"))</f>
        <v>Valid</v>
      </c>
      <c r="O736">
        <f t="shared" si="23"/>
        <v>105</v>
      </c>
    </row>
    <row r="737" spans="1:15">
      <c r="A737">
        <v>631</v>
      </c>
      <c r="B737" t="str">
        <f t="shared" si="22"/>
        <v>2023-10</v>
      </c>
      <c r="C737" s="1">
        <v>45221</v>
      </c>
      <c r="D737" s="5">
        <v>0.9291666666666667</v>
      </c>
      <c r="E737">
        <v>92</v>
      </c>
      <c r="F737" t="s">
        <v>11</v>
      </c>
      <c r="G737">
        <v>56</v>
      </c>
      <c r="H737" t="s">
        <v>15</v>
      </c>
      <c r="I737">
        <v>3</v>
      </c>
      <c r="J737" s="6">
        <v>30</v>
      </c>
      <c r="K737">
        <v>16.5</v>
      </c>
      <c r="L737">
        <v>90</v>
      </c>
      <c r="M737" t="str">
        <f>IF(OR(I737="",J737="",L737=""),"Incomplete","Complete")</f>
        <v>Complete</v>
      </c>
      <c r="N737" t="str">
        <f>IF(M737="Incomplete","Not checked",IF(ROUND(I737*J737,2)=ROUND(L737,2),"Valid","Mismatch"))</f>
        <v>Valid</v>
      </c>
      <c r="O737">
        <f t="shared" si="23"/>
        <v>73.5</v>
      </c>
    </row>
    <row r="738" spans="1:15">
      <c r="A738">
        <v>1631</v>
      </c>
      <c r="B738" t="str">
        <f t="shared" si="22"/>
        <v>2022-11</v>
      </c>
      <c r="C738" s="1">
        <v>44866</v>
      </c>
      <c r="D738" s="5">
        <v>0.7993055555555556</v>
      </c>
      <c r="E738">
        <v>75</v>
      </c>
      <c r="F738" t="s">
        <v>11</v>
      </c>
      <c r="G738">
        <v>56</v>
      </c>
      <c r="H738" t="s">
        <v>15</v>
      </c>
      <c r="I738">
        <v>3</v>
      </c>
      <c r="J738" s="6">
        <v>30</v>
      </c>
      <c r="K738">
        <v>12.3</v>
      </c>
      <c r="L738">
        <v>90</v>
      </c>
      <c r="M738" t="str">
        <f>IF(OR(I738="",J738="",L738=""),"Incomplete","Complete")</f>
        <v>Complete</v>
      </c>
      <c r="N738" t="str">
        <f>IF(M738="Incomplete","Not checked",IF(ROUND(I738*J738,2)=ROUND(L738,2),"Valid","Mismatch"))</f>
        <v>Valid</v>
      </c>
      <c r="O738">
        <f t="shared" si="23"/>
        <v>77.7</v>
      </c>
    </row>
    <row r="739" spans="1:15">
      <c r="A739">
        <v>345</v>
      </c>
      <c r="B739" t="str">
        <f t="shared" si="22"/>
        <v>2022-12</v>
      </c>
      <c r="C739" s="1">
        <v>44902</v>
      </c>
      <c r="D739" s="5">
        <v>0.78888888888888886</v>
      </c>
      <c r="E739">
        <v>104</v>
      </c>
      <c r="F739" t="s">
        <v>11</v>
      </c>
      <c r="G739">
        <v>62</v>
      </c>
      <c r="H739" t="s">
        <v>15</v>
      </c>
      <c r="I739">
        <v>1</v>
      </c>
      <c r="J739" s="6">
        <v>30</v>
      </c>
      <c r="K739">
        <v>13.5</v>
      </c>
      <c r="L739">
        <v>30</v>
      </c>
      <c r="M739" t="str">
        <f>IF(OR(I739="",J739="",L739=""),"Incomplete","Complete")</f>
        <v>Complete</v>
      </c>
      <c r="N739" t="str">
        <f>IF(M739="Incomplete","Not checked",IF(ROUND(I739*J739,2)=ROUND(L739,2),"Valid","Mismatch"))</f>
        <v>Valid</v>
      </c>
      <c r="O739">
        <f t="shared" si="23"/>
        <v>16.5</v>
      </c>
    </row>
    <row r="740" spans="1:15">
      <c r="A740">
        <v>1345</v>
      </c>
      <c r="B740" t="str">
        <f t="shared" si="22"/>
        <v>2022-09</v>
      </c>
      <c r="C740" s="1">
        <v>44833</v>
      </c>
      <c r="D740" s="5">
        <v>0.74305555555555558</v>
      </c>
      <c r="E740">
        <v>98</v>
      </c>
      <c r="F740" t="s">
        <v>11</v>
      </c>
      <c r="G740">
        <v>62</v>
      </c>
      <c r="H740" t="s">
        <v>15</v>
      </c>
      <c r="I740">
        <v>1</v>
      </c>
      <c r="J740" s="6">
        <v>30</v>
      </c>
      <c r="K740">
        <v>11.4</v>
      </c>
      <c r="L740">
        <v>30</v>
      </c>
      <c r="M740" t="str">
        <f>IF(OR(I740="",J740="",L740=""),"Incomplete","Complete")</f>
        <v>Complete</v>
      </c>
      <c r="N740" t="str">
        <f>IF(M740="Incomplete","Not checked",IF(ROUND(I740*J740,2)=ROUND(L740,2),"Valid","Mismatch"))</f>
        <v>Valid</v>
      </c>
      <c r="O740">
        <f t="shared" si="23"/>
        <v>18.600000000000001</v>
      </c>
    </row>
    <row r="741" spans="1:15">
      <c r="A741">
        <v>747</v>
      </c>
      <c r="B741" t="str">
        <f t="shared" si="22"/>
        <v>2022-10</v>
      </c>
      <c r="C741" s="1">
        <v>44855</v>
      </c>
      <c r="D741" s="5">
        <v>0.7583333333333333</v>
      </c>
      <c r="E741">
        <v>51</v>
      </c>
      <c r="F741" t="s">
        <v>11</v>
      </c>
      <c r="G741">
        <v>23</v>
      </c>
      <c r="H741" t="s">
        <v>13</v>
      </c>
      <c r="I741">
        <v>1</v>
      </c>
      <c r="J741" s="6">
        <v>30</v>
      </c>
      <c r="K741">
        <v>9.3000000000000007</v>
      </c>
      <c r="L741">
        <v>30</v>
      </c>
      <c r="M741" t="str">
        <f>IF(OR(I741="",J741="",L741=""),"Incomplete","Complete")</f>
        <v>Complete</v>
      </c>
      <c r="N741" t="str">
        <f>IF(M741="Incomplete","Not checked",IF(ROUND(I741*J741,2)=ROUND(L741,2),"Valid","Mismatch"))</f>
        <v>Valid</v>
      </c>
      <c r="O741">
        <f t="shared" si="23"/>
        <v>20.7</v>
      </c>
    </row>
    <row r="742" spans="1:15">
      <c r="A742">
        <v>1747</v>
      </c>
      <c r="B742" t="str">
        <f t="shared" si="22"/>
        <v>2023-09</v>
      </c>
      <c r="C742" s="1">
        <v>45174</v>
      </c>
      <c r="D742" s="5">
        <v>0.76527777777777772</v>
      </c>
      <c r="E742">
        <v>87</v>
      </c>
      <c r="F742" t="s">
        <v>11</v>
      </c>
      <c r="G742">
        <v>23</v>
      </c>
      <c r="H742" t="s">
        <v>13</v>
      </c>
      <c r="I742">
        <v>1</v>
      </c>
      <c r="J742" s="6">
        <v>30</v>
      </c>
      <c r="K742">
        <v>16.2</v>
      </c>
      <c r="L742">
        <v>30</v>
      </c>
      <c r="M742" t="str">
        <f>IF(OR(I742="",J742="",L742=""),"Incomplete","Complete")</f>
        <v>Complete</v>
      </c>
      <c r="N742" t="str">
        <f>IF(M742="Incomplete","Not checked",IF(ROUND(I742*J742,2)=ROUND(L742,2),"Valid","Mismatch"))</f>
        <v>Valid</v>
      </c>
      <c r="O742">
        <f t="shared" si="23"/>
        <v>13.8</v>
      </c>
    </row>
    <row r="743" spans="1:15">
      <c r="A743">
        <v>645</v>
      </c>
      <c r="B743" t="str">
        <f t="shared" si="22"/>
        <v>2022-12</v>
      </c>
      <c r="C743" s="1">
        <v>44909</v>
      </c>
      <c r="D743" s="5">
        <v>0.9243055555555556</v>
      </c>
      <c r="E743">
        <v>51</v>
      </c>
      <c r="F743" t="s">
        <v>14</v>
      </c>
      <c r="G743">
        <v>35</v>
      </c>
      <c r="H743" t="s">
        <v>15</v>
      </c>
      <c r="I743">
        <v>4</v>
      </c>
      <c r="J743" s="6">
        <v>30</v>
      </c>
      <c r="K743">
        <v>11.1</v>
      </c>
      <c r="L743">
        <v>120</v>
      </c>
      <c r="M743" t="str">
        <f>IF(OR(I743="",J743="",L743=""),"Incomplete","Complete")</f>
        <v>Complete</v>
      </c>
      <c r="N743" t="str">
        <f>IF(M743="Incomplete","Not checked",IF(ROUND(I743*J743,2)=ROUND(L743,2),"Valid","Mismatch"))</f>
        <v>Valid</v>
      </c>
      <c r="O743">
        <f t="shared" si="23"/>
        <v>108.9</v>
      </c>
    </row>
    <row r="744" spans="1:15">
      <c r="A744">
        <v>997</v>
      </c>
      <c r="B744" t="str">
        <f t="shared" si="22"/>
        <v>2023-10</v>
      </c>
      <c r="C744" s="1">
        <v>45200</v>
      </c>
      <c r="D744" s="5">
        <v>0.85833333333333328</v>
      </c>
      <c r="E744">
        <v>51</v>
      </c>
      <c r="F744" t="s">
        <v>11</v>
      </c>
      <c r="G744">
        <v>52</v>
      </c>
      <c r="H744" t="s">
        <v>13</v>
      </c>
      <c r="I744">
        <v>3</v>
      </c>
      <c r="J744" s="6">
        <v>30</v>
      </c>
      <c r="K744">
        <v>15</v>
      </c>
      <c r="L744">
        <v>90</v>
      </c>
      <c r="M744" t="str">
        <f>IF(OR(I744="",J744="",L744=""),"Incomplete","Complete")</f>
        <v>Complete</v>
      </c>
      <c r="N744" t="str">
        <f>IF(M744="Incomplete","Not checked",IF(ROUND(I744*J744,2)=ROUND(L744,2),"Valid","Mismatch"))</f>
        <v>Valid</v>
      </c>
      <c r="O744">
        <f t="shared" si="23"/>
        <v>75</v>
      </c>
    </row>
    <row r="745" spans="1:15">
      <c r="A745">
        <v>1645</v>
      </c>
      <c r="B745" t="str">
        <f t="shared" si="22"/>
        <v>2023-10</v>
      </c>
      <c r="C745" s="1">
        <v>45211</v>
      </c>
      <c r="D745" s="5">
        <v>0.7270833333333333</v>
      </c>
      <c r="E745">
        <v>109</v>
      </c>
      <c r="F745" t="s">
        <v>14</v>
      </c>
      <c r="G745">
        <v>35</v>
      </c>
      <c r="H745" t="s">
        <v>15</v>
      </c>
      <c r="I745">
        <v>4</v>
      </c>
      <c r="J745" s="6">
        <v>30</v>
      </c>
      <c r="K745">
        <v>9</v>
      </c>
      <c r="L745">
        <v>120</v>
      </c>
      <c r="M745" t="str">
        <f>IF(OR(I745="",J745="",L745=""),"Incomplete","Complete")</f>
        <v>Complete</v>
      </c>
      <c r="N745" t="str">
        <f>IF(M745="Incomplete","Not checked",IF(ROUND(I745*J745,2)=ROUND(L745,2),"Valid","Mismatch"))</f>
        <v>Valid</v>
      </c>
      <c r="O745">
        <f t="shared" si="23"/>
        <v>111</v>
      </c>
    </row>
    <row r="746" spans="1:15">
      <c r="A746">
        <v>1997</v>
      </c>
      <c r="B746" t="str">
        <f t="shared" si="22"/>
        <v>2023-10</v>
      </c>
      <c r="C746" s="1">
        <v>45228</v>
      </c>
      <c r="D746" s="5">
        <v>0.88124999999999998</v>
      </c>
      <c r="E746">
        <v>99</v>
      </c>
      <c r="F746" t="s">
        <v>11</v>
      </c>
      <c r="G746">
        <v>52</v>
      </c>
      <c r="H746" t="s">
        <v>13</v>
      </c>
      <c r="I746">
        <v>3</v>
      </c>
      <c r="J746" s="6">
        <v>30</v>
      </c>
      <c r="K746">
        <v>10.199999999999999</v>
      </c>
      <c r="L746">
        <v>90</v>
      </c>
      <c r="M746" t="str">
        <f>IF(OR(I746="",J746="",L746=""),"Incomplete","Complete")</f>
        <v>Complete</v>
      </c>
      <c r="N746" t="str">
        <f>IF(M746="Incomplete","Not checked",IF(ROUND(I746*J746,2)=ROUND(L746,2),"Valid","Mismatch"))</f>
        <v>Valid</v>
      </c>
      <c r="O746">
        <f t="shared" si="23"/>
        <v>79.8</v>
      </c>
    </row>
    <row r="747" spans="1:15">
      <c r="A747">
        <v>57</v>
      </c>
      <c r="B747" t="str">
        <f t="shared" si="22"/>
        <v>2022-10</v>
      </c>
      <c r="C747" s="1">
        <v>44845</v>
      </c>
      <c r="D747" s="5">
        <v>0.84166666666666667</v>
      </c>
      <c r="E747">
        <v>64</v>
      </c>
      <c r="F747" t="s">
        <v>14</v>
      </c>
      <c r="G747">
        <v>63</v>
      </c>
      <c r="H747" t="s">
        <v>13</v>
      </c>
      <c r="I747">
        <v>1</v>
      </c>
      <c r="J747" s="6">
        <v>30</v>
      </c>
      <c r="K747">
        <v>10.199999999999999</v>
      </c>
      <c r="L747">
        <v>30</v>
      </c>
      <c r="M747" t="str">
        <f>IF(OR(I747="",J747="",L747=""),"Incomplete","Complete")</f>
        <v>Complete</v>
      </c>
      <c r="N747" t="str">
        <f>IF(M747="Incomplete","Not checked",IF(ROUND(I747*J747,2)=ROUND(L747,2),"Valid","Mismatch"))</f>
        <v>Valid</v>
      </c>
      <c r="O747">
        <f t="shared" si="23"/>
        <v>19.8</v>
      </c>
    </row>
    <row r="748" spans="1:15">
      <c r="A748">
        <v>1057</v>
      </c>
      <c r="B748" t="str">
        <f t="shared" si="22"/>
        <v>2023-09</v>
      </c>
      <c r="C748" s="1">
        <v>45188</v>
      </c>
      <c r="D748" s="5">
        <v>0.93819444444444444</v>
      </c>
      <c r="E748">
        <v>114</v>
      </c>
      <c r="F748" t="s">
        <v>14</v>
      </c>
      <c r="G748">
        <v>63</v>
      </c>
      <c r="H748" t="s">
        <v>13</v>
      </c>
      <c r="I748">
        <v>1</v>
      </c>
      <c r="J748" s="6">
        <v>30</v>
      </c>
      <c r="K748">
        <v>15.9</v>
      </c>
      <c r="L748">
        <v>30</v>
      </c>
      <c r="M748" t="str">
        <f>IF(OR(I748="",J748="",L748=""),"Incomplete","Complete")</f>
        <v>Complete</v>
      </c>
      <c r="N748" t="str">
        <f>IF(M748="Incomplete","Not checked",IF(ROUND(I748*J748,2)=ROUND(L748,2),"Valid","Mismatch"))</f>
        <v>Valid</v>
      </c>
      <c r="O748">
        <f t="shared" si="23"/>
        <v>14.1</v>
      </c>
    </row>
    <row r="749" spans="1:15">
      <c r="A749">
        <v>581</v>
      </c>
      <c r="B749" t="str">
        <f t="shared" si="22"/>
        <v>2022-12</v>
      </c>
      <c r="C749" s="1">
        <v>44910</v>
      </c>
      <c r="D749" s="5">
        <v>0.88611111111111107</v>
      </c>
      <c r="E749">
        <v>103</v>
      </c>
      <c r="F749" t="s">
        <v>14</v>
      </c>
      <c r="G749">
        <v>48</v>
      </c>
      <c r="H749" t="s">
        <v>13</v>
      </c>
      <c r="I749">
        <v>2</v>
      </c>
      <c r="J749" s="6">
        <v>30</v>
      </c>
      <c r="K749">
        <v>13.8</v>
      </c>
      <c r="L749">
        <v>60</v>
      </c>
      <c r="M749" t="str">
        <f>IF(OR(I749="",J749="",L749=""),"Incomplete","Complete")</f>
        <v>Complete</v>
      </c>
      <c r="N749" t="str">
        <f>IF(M749="Incomplete","Not checked",IF(ROUND(I749*J749,2)=ROUND(L749,2),"Valid","Mismatch"))</f>
        <v>Valid</v>
      </c>
      <c r="O749">
        <f t="shared" si="23"/>
        <v>46.2</v>
      </c>
    </row>
    <row r="750" spans="1:15">
      <c r="A750">
        <v>1581</v>
      </c>
      <c r="B750" t="str">
        <f t="shared" si="22"/>
        <v>2022-12</v>
      </c>
      <c r="C750" s="1">
        <v>44915</v>
      </c>
      <c r="D750" s="5">
        <v>0.7895833333333333</v>
      </c>
      <c r="E750">
        <v>108</v>
      </c>
      <c r="F750" t="s">
        <v>14</v>
      </c>
      <c r="G750">
        <v>48</v>
      </c>
      <c r="H750" t="s">
        <v>13</v>
      </c>
      <c r="I750">
        <v>2</v>
      </c>
      <c r="J750" s="6">
        <v>30</v>
      </c>
      <c r="K750">
        <v>9.9</v>
      </c>
      <c r="L750">
        <v>60</v>
      </c>
      <c r="M750" t="str">
        <f>IF(OR(I750="",J750="",L750=""),"Incomplete","Complete")</f>
        <v>Complete</v>
      </c>
      <c r="N750" t="str">
        <f>IF(M750="Incomplete","Not checked",IF(ROUND(I750*J750,2)=ROUND(L750,2),"Valid","Mismatch"))</f>
        <v>Valid</v>
      </c>
      <c r="O750">
        <f t="shared" si="23"/>
        <v>50.1</v>
      </c>
    </row>
    <row r="751" spans="1:15">
      <c r="A751">
        <v>918</v>
      </c>
      <c r="B751" t="str">
        <f t="shared" si="22"/>
        <v>2023-10</v>
      </c>
      <c r="C751" s="1">
        <v>45212</v>
      </c>
      <c r="D751" s="5">
        <v>0.91597222222222219</v>
      </c>
      <c r="E751">
        <v>114</v>
      </c>
      <c r="F751" t="s">
        <v>14</v>
      </c>
      <c r="G751">
        <v>42</v>
      </c>
      <c r="H751" t="s">
        <v>15</v>
      </c>
      <c r="I751">
        <v>3</v>
      </c>
      <c r="J751" s="6">
        <v>30</v>
      </c>
      <c r="K751">
        <v>16.2</v>
      </c>
      <c r="L751">
        <v>90</v>
      </c>
      <c r="M751" t="str">
        <f>IF(OR(I751="",J751="",L751=""),"Incomplete","Complete")</f>
        <v>Complete</v>
      </c>
      <c r="N751" t="str">
        <f>IF(M751="Incomplete","Not checked",IF(ROUND(I751*J751,2)=ROUND(L751,2),"Valid","Mismatch"))</f>
        <v>Valid</v>
      </c>
      <c r="O751">
        <f t="shared" si="23"/>
        <v>73.8</v>
      </c>
    </row>
    <row r="752" spans="1:15">
      <c r="A752">
        <v>1918</v>
      </c>
      <c r="B752" t="str">
        <f t="shared" si="22"/>
        <v>2022-12</v>
      </c>
      <c r="C752" s="1">
        <v>44905</v>
      </c>
      <c r="D752" s="5">
        <v>0.9145833333333333</v>
      </c>
      <c r="E752">
        <v>56</v>
      </c>
      <c r="F752" t="s">
        <v>14</v>
      </c>
      <c r="G752">
        <v>42</v>
      </c>
      <c r="H752" t="s">
        <v>15</v>
      </c>
      <c r="I752">
        <v>3</v>
      </c>
      <c r="J752" s="6">
        <v>30</v>
      </c>
      <c r="K752">
        <v>13.2</v>
      </c>
      <c r="L752">
        <v>90</v>
      </c>
      <c r="M752" t="str">
        <f>IF(OR(I752="",J752="",L752=""),"Incomplete","Complete")</f>
        <v>Complete</v>
      </c>
      <c r="N752" t="str">
        <f>IF(M752="Incomplete","Not checked",IF(ROUND(I752*J752,2)=ROUND(L752,2),"Valid","Mismatch"))</f>
        <v>Valid</v>
      </c>
      <c r="O752">
        <f t="shared" si="23"/>
        <v>76.8</v>
      </c>
    </row>
    <row r="753" spans="1:15">
      <c r="A753">
        <v>95</v>
      </c>
      <c r="B753" t="str">
        <f t="shared" si="22"/>
        <v>2022-11</v>
      </c>
      <c r="C753" s="1">
        <v>44871</v>
      </c>
      <c r="D753" s="5">
        <v>0.83125000000000004</v>
      </c>
      <c r="E753">
        <v>103</v>
      </c>
      <c r="F753" t="s">
        <v>14</v>
      </c>
      <c r="G753">
        <v>32</v>
      </c>
      <c r="H753" t="s">
        <v>12</v>
      </c>
      <c r="I753">
        <v>2</v>
      </c>
      <c r="J753" s="6">
        <v>30</v>
      </c>
      <c r="K753">
        <v>7.5</v>
      </c>
      <c r="L753">
        <v>60</v>
      </c>
      <c r="M753" t="str">
        <f>IF(OR(I753="",J753="",L753=""),"Incomplete","Complete")</f>
        <v>Complete</v>
      </c>
      <c r="N753" t="str">
        <f>IF(M753="Incomplete","Not checked",IF(ROUND(I753*J753,2)=ROUND(L753,2),"Valid","Mismatch"))</f>
        <v>Valid</v>
      </c>
      <c r="O753">
        <f t="shared" si="23"/>
        <v>52.5</v>
      </c>
    </row>
    <row r="754" spans="1:15">
      <c r="A754">
        <v>1095</v>
      </c>
      <c r="B754" t="str">
        <f t="shared" si="22"/>
        <v>2022-09</v>
      </c>
      <c r="C754" s="1">
        <v>44809</v>
      </c>
      <c r="D754" s="5">
        <v>0.74722222222222223</v>
      </c>
      <c r="E754">
        <v>56</v>
      </c>
      <c r="F754" t="s">
        <v>14</v>
      </c>
      <c r="G754">
        <v>32</v>
      </c>
      <c r="H754" t="s">
        <v>12</v>
      </c>
      <c r="I754">
        <v>2</v>
      </c>
      <c r="J754" s="6">
        <v>30</v>
      </c>
      <c r="K754">
        <v>9.9</v>
      </c>
      <c r="L754">
        <v>60</v>
      </c>
      <c r="M754" t="str">
        <f>IF(OR(I754="",J754="",L754=""),"Incomplete","Complete")</f>
        <v>Complete</v>
      </c>
      <c r="N754" t="str">
        <f>IF(M754="Incomplete","Not checked",IF(ROUND(I754*J754,2)=ROUND(L754,2),"Valid","Mismatch"))</f>
        <v>Valid</v>
      </c>
      <c r="O754">
        <f t="shared" si="23"/>
        <v>50.1</v>
      </c>
    </row>
    <row r="755" spans="1:15">
      <c r="A755">
        <v>267</v>
      </c>
      <c r="B755" t="str">
        <f t="shared" si="22"/>
        <v>2022-11</v>
      </c>
      <c r="C755" s="1">
        <v>44884</v>
      </c>
      <c r="D755" s="5">
        <v>0.74513888888888891</v>
      </c>
      <c r="E755">
        <v>84</v>
      </c>
      <c r="F755" t="s">
        <v>14</v>
      </c>
      <c r="G755">
        <v>32</v>
      </c>
      <c r="H755" t="s">
        <v>13</v>
      </c>
      <c r="I755">
        <v>3</v>
      </c>
      <c r="J755" s="6">
        <v>30</v>
      </c>
      <c r="K755">
        <v>12</v>
      </c>
      <c r="L755">
        <v>90</v>
      </c>
      <c r="M755" t="str">
        <f>IF(OR(I755="",J755="",L755=""),"Incomplete","Complete")</f>
        <v>Complete</v>
      </c>
      <c r="N755" t="str">
        <f>IF(M755="Incomplete","Not checked",IF(ROUND(I755*J755,2)=ROUND(L755,2),"Valid","Mismatch"))</f>
        <v>Valid</v>
      </c>
      <c r="O755">
        <f t="shared" si="23"/>
        <v>78</v>
      </c>
    </row>
    <row r="756" spans="1:15">
      <c r="A756">
        <v>856</v>
      </c>
      <c r="B756" t="str">
        <f t="shared" si="22"/>
        <v>2022-11</v>
      </c>
      <c r="C756" s="1">
        <v>44870</v>
      </c>
      <c r="D756" s="5">
        <v>0.73819444444444449</v>
      </c>
      <c r="E756">
        <v>102</v>
      </c>
      <c r="F756" t="s">
        <v>11</v>
      </c>
      <c r="G756">
        <v>54</v>
      </c>
      <c r="H756" t="s">
        <v>15</v>
      </c>
      <c r="I756">
        <v>4</v>
      </c>
      <c r="J756" s="6">
        <v>30</v>
      </c>
      <c r="K756">
        <v>9.3000000000000007</v>
      </c>
      <c r="L756">
        <v>120</v>
      </c>
      <c r="M756" t="str">
        <f>IF(OR(I756="",J756="",L756=""),"Incomplete","Complete")</f>
        <v>Complete</v>
      </c>
      <c r="N756" t="str">
        <f>IF(M756="Incomplete","Not checked",IF(ROUND(I756*J756,2)=ROUND(L756,2),"Valid","Mismatch"))</f>
        <v>Valid</v>
      </c>
      <c r="O756">
        <f t="shared" si="23"/>
        <v>110.7</v>
      </c>
    </row>
    <row r="757" spans="1:15">
      <c r="A757">
        <v>1267</v>
      </c>
      <c r="B757" t="str">
        <f t="shared" si="22"/>
        <v>2022-12</v>
      </c>
      <c r="C757" s="1">
        <v>44918</v>
      </c>
      <c r="D757" s="5">
        <v>0.87708333333333333</v>
      </c>
      <c r="E757">
        <v>91</v>
      </c>
      <c r="F757" t="s">
        <v>14</v>
      </c>
      <c r="G757">
        <v>32</v>
      </c>
      <c r="H757" t="s">
        <v>13</v>
      </c>
      <c r="I757">
        <v>3</v>
      </c>
      <c r="J757" s="6">
        <v>30</v>
      </c>
      <c r="K757">
        <v>9.6</v>
      </c>
      <c r="L757">
        <v>90</v>
      </c>
      <c r="M757" t="str">
        <f>IF(OR(I757="",J757="",L757=""),"Incomplete","Complete")</f>
        <v>Complete</v>
      </c>
      <c r="N757" t="str">
        <f>IF(M757="Incomplete","Not checked",IF(ROUND(I757*J757,2)=ROUND(L757,2),"Valid","Mismatch"))</f>
        <v>Valid</v>
      </c>
      <c r="O757">
        <f t="shared" si="23"/>
        <v>80.400000000000006</v>
      </c>
    </row>
    <row r="758" spans="1:15">
      <c r="A758">
        <v>1856</v>
      </c>
      <c r="B758" t="str">
        <f t="shared" si="22"/>
        <v>2023-12</v>
      </c>
      <c r="C758" s="1">
        <v>45280</v>
      </c>
      <c r="D758" s="5">
        <v>0.89861111111111114</v>
      </c>
      <c r="E758">
        <v>114</v>
      </c>
      <c r="F758" t="s">
        <v>11</v>
      </c>
      <c r="G758">
        <v>54</v>
      </c>
      <c r="H758" t="s">
        <v>15</v>
      </c>
      <c r="I758">
        <v>4</v>
      </c>
      <c r="J758" s="6">
        <v>30</v>
      </c>
      <c r="K758">
        <v>16.2</v>
      </c>
      <c r="L758">
        <v>120</v>
      </c>
      <c r="M758" t="str">
        <f>IF(OR(I758="",J758="",L758=""),"Incomplete","Complete")</f>
        <v>Complete</v>
      </c>
      <c r="N758" t="str">
        <f>IF(M758="Incomplete","Not checked",IF(ROUND(I758*J758,2)=ROUND(L758,2),"Valid","Mismatch"))</f>
        <v>Valid</v>
      </c>
      <c r="O758">
        <f t="shared" si="23"/>
        <v>103.8</v>
      </c>
    </row>
    <row r="759" spans="1:15">
      <c r="A759">
        <v>84</v>
      </c>
      <c r="B759" t="str">
        <f t="shared" si="22"/>
        <v>2023-11</v>
      </c>
      <c r="C759" s="1">
        <v>45240</v>
      </c>
      <c r="D759" s="5">
        <v>0.72013888888888888</v>
      </c>
      <c r="E759">
        <v>89</v>
      </c>
      <c r="F759" t="s">
        <v>14</v>
      </c>
      <c r="G759">
        <v>38</v>
      </c>
      <c r="H759" t="s">
        <v>15</v>
      </c>
      <c r="I759">
        <v>3</v>
      </c>
      <c r="J759" s="6">
        <v>30</v>
      </c>
      <c r="K759">
        <v>10.199999999999999</v>
      </c>
      <c r="L759">
        <v>90</v>
      </c>
      <c r="M759" t="str">
        <f>IF(OR(I759="",J759="",L759=""),"Incomplete","Complete")</f>
        <v>Complete</v>
      </c>
      <c r="N759" t="str">
        <f>IF(M759="Incomplete","Not checked",IF(ROUND(I759*J759,2)=ROUND(L759,2),"Valid","Mismatch"))</f>
        <v>Valid</v>
      </c>
      <c r="O759">
        <f t="shared" si="23"/>
        <v>79.8</v>
      </c>
    </row>
    <row r="760" spans="1:15">
      <c r="A760">
        <v>1084</v>
      </c>
      <c r="B760" t="str">
        <f t="shared" si="22"/>
        <v>2022-10</v>
      </c>
      <c r="C760" s="1">
        <v>44857</v>
      </c>
      <c r="D760" s="5">
        <v>0.85902777777777772</v>
      </c>
      <c r="E760">
        <v>93</v>
      </c>
      <c r="F760" t="s">
        <v>14</v>
      </c>
      <c r="G760">
        <v>38</v>
      </c>
      <c r="H760" t="s">
        <v>15</v>
      </c>
      <c r="I760">
        <v>3</v>
      </c>
      <c r="J760" s="6">
        <v>30</v>
      </c>
      <c r="K760">
        <v>7.8</v>
      </c>
      <c r="L760">
        <v>90</v>
      </c>
      <c r="M760" t="str">
        <f>IF(OR(I760="",J760="",L760=""),"Incomplete","Complete")</f>
        <v>Complete</v>
      </c>
      <c r="N760" t="str">
        <f>IF(M760="Incomplete","Not checked",IF(ROUND(I760*J760,2)=ROUND(L760,2),"Valid","Mismatch"))</f>
        <v>Valid</v>
      </c>
      <c r="O760">
        <f t="shared" si="23"/>
        <v>82.2</v>
      </c>
    </row>
    <row r="761" spans="1:15">
      <c r="A761">
        <v>289</v>
      </c>
      <c r="B761" t="str">
        <f t="shared" si="22"/>
        <v>2023-09</v>
      </c>
      <c r="C761" s="1">
        <v>45178</v>
      </c>
      <c r="D761" s="5">
        <v>0.85347222222222219</v>
      </c>
      <c r="E761">
        <v>107</v>
      </c>
      <c r="F761" t="s">
        <v>11</v>
      </c>
      <c r="G761">
        <v>53</v>
      </c>
      <c r="H761" t="s">
        <v>15</v>
      </c>
      <c r="I761">
        <v>2</v>
      </c>
      <c r="J761" s="6">
        <v>30</v>
      </c>
      <c r="K761">
        <v>8.1</v>
      </c>
      <c r="L761">
        <v>60</v>
      </c>
      <c r="M761" t="str">
        <f>IF(OR(I761="",J761="",L761=""),"Incomplete","Complete")</f>
        <v>Complete</v>
      </c>
      <c r="N761" t="str">
        <f>IF(M761="Incomplete","Not checked",IF(ROUND(I761*J761,2)=ROUND(L761,2),"Valid","Mismatch"))</f>
        <v>Valid</v>
      </c>
      <c r="O761">
        <f t="shared" si="23"/>
        <v>51.9</v>
      </c>
    </row>
    <row r="762" spans="1:15">
      <c r="A762">
        <v>1289</v>
      </c>
      <c r="B762" t="str">
        <f t="shared" si="22"/>
        <v>2023-10</v>
      </c>
      <c r="C762" s="1">
        <v>45209</v>
      </c>
      <c r="D762" s="5">
        <v>0.81597222222222221</v>
      </c>
      <c r="E762">
        <v>83</v>
      </c>
      <c r="F762" t="s">
        <v>11</v>
      </c>
      <c r="G762">
        <v>53</v>
      </c>
      <c r="H762" t="s">
        <v>15</v>
      </c>
      <c r="I762">
        <v>2</v>
      </c>
      <c r="J762" s="6">
        <v>30</v>
      </c>
      <c r="K762">
        <v>16.2</v>
      </c>
      <c r="L762">
        <v>60</v>
      </c>
      <c r="M762" t="str">
        <f>IF(OR(I762="",J762="",L762=""),"Incomplete","Complete")</f>
        <v>Complete</v>
      </c>
      <c r="N762" t="str">
        <f>IF(M762="Incomplete","Not checked",IF(ROUND(I762*J762,2)=ROUND(L762,2),"Valid","Mismatch"))</f>
        <v>Valid</v>
      </c>
      <c r="O762">
        <f t="shared" si="23"/>
        <v>43.8</v>
      </c>
    </row>
    <row r="763" spans="1:15">
      <c r="A763">
        <v>266</v>
      </c>
      <c r="B763" t="str">
        <f t="shared" si="22"/>
        <v>2022-09</v>
      </c>
      <c r="C763" s="1">
        <v>44816</v>
      </c>
      <c r="D763" s="5">
        <v>0.7680555555555556</v>
      </c>
      <c r="E763">
        <v>66</v>
      </c>
      <c r="F763" t="s">
        <v>14</v>
      </c>
      <c r="G763">
        <v>19</v>
      </c>
      <c r="H763" t="s">
        <v>15</v>
      </c>
      <c r="I763">
        <v>2</v>
      </c>
      <c r="J763" s="6">
        <v>30</v>
      </c>
      <c r="K763">
        <v>14.4</v>
      </c>
      <c r="L763">
        <v>60</v>
      </c>
      <c r="M763" t="str">
        <f>IF(OR(I763="",J763="",L763=""),"Incomplete","Complete")</f>
        <v>Complete</v>
      </c>
      <c r="N763" t="str">
        <f>IF(M763="Incomplete","Not checked",IF(ROUND(I763*J763,2)=ROUND(L763,2),"Valid","Mismatch"))</f>
        <v>Valid</v>
      </c>
      <c r="O763">
        <f t="shared" si="23"/>
        <v>45.6</v>
      </c>
    </row>
    <row r="764" spans="1:15">
      <c r="A764">
        <v>1266</v>
      </c>
      <c r="B764" t="str">
        <f t="shared" si="22"/>
        <v>2023-09</v>
      </c>
      <c r="C764" s="1">
        <v>45172</v>
      </c>
      <c r="D764" s="5">
        <v>0.83888888888888891</v>
      </c>
      <c r="E764">
        <v>79</v>
      </c>
      <c r="F764" t="s">
        <v>14</v>
      </c>
      <c r="G764">
        <v>19</v>
      </c>
      <c r="H764" t="s">
        <v>15</v>
      </c>
      <c r="I764">
        <v>2</v>
      </c>
      <c r="J764" s="6">
        <v>30</v>
      </c>
      <c r="K764">
        <v>15.6</v>
      </c>
      <c r="L764">
        <v>60</v>
      </c>
      <c r="M764" t="str">
        <f>IF(OR(I764="",J764="",L764=""),"Incomplete","Complete")</f>
        <v>Complete</v>
      </c>
      <c r="N764" t="str">
        <f>IF(M764="Incomplete","Not checked",IF(ROUND(I764*J764,2)=ROUND(L764,2),"Valid","Mismatch"))</f>
        <v>Valid</v>
      </c>
      <c r="O764">
        <f t="shared" si="23"/>
        <v>44.4</v>
      </c>
    </row>
    <row r="765" spans="1:15">
      <c r="A765">
        <v>566</v>
      </c>
      <c r="B765" t="str">
        <f t="shared" si="22"/>
        <v>2022-11</v>
      </c>
      <c r="C765" s="1">
        <v>44891</v>
      </c>
      <c r="D765" s="5">
        <v>0.80208333333333337</v>
      </c>
      <c r="E765">
        <v>106</v>
      </c>
      <c r="F765" t="s">
        <v>14</v>
      </c>
      <c r="G765">
        <v>64</v>
      </c>
      <c r="H765" t="s">
        <v>12</v>
      </c>
      <c r="I765">
        <v>1</v>
      </c>
      <c r="J765" s="6">
        <v>30</v>
      </c>
      <c r="K765">
        <v>8.4</v>
      </c>
      <c r="L765">
        <v>30</v>
      </c>
      <c r="M765" t="str">
        <f>IF(OR(I765="",J765="",L765=""),"Incomplete","Complete")</f>
        <v>Complete</v>
      </c>
      <c r="N765" t="str">
        <f>IF(M765="Incomplete","Not checked",IF(ROUND(I765*J765,2)=ROUND(L765,2),"Valid","Mismatch"))</f>
        <v>Valid</v>
      </c>
      <c r="O765">
        <f t="shared" si="23"/>
        <v>21.6</v>
      </c>
    </row>
    <row r="766" spans="1:15">
      <c r="A766">
        <v>1566</v>
      </c>
      <c r="B766" t="str">
        <f t="shared" si="22"/>
        <v>2022-10</v>
      </c>
      <c r="C766" s="1">
        <v>44837</v>
      </c>
      <c r="D766" s="5">
        <v>0.76180555555555551</v>
      </c>
      <c r="E766">
        <v>56</v>
      </c>
      <c r="F766" t="s">
        <v>14</v>
      </c>
      <c r="G766">
        <v>64</v>
      </c>
      <c r="H766" t="s">
        <v>12</v>
      </c>
      <c r="I766">
        <v>1</v>
      </c>
      <c r="J766" s="6">
        <v>30</v>
      </c>
      <c r="K766">
        <v>15.6</v>
      </c>
      <c r="L766">
        <v>30</v>
      </c>
      <c r="M766" t="str">
        <f>IF(OR(I766="",J766="",L766=""),"Incomplete","Complete")</f>
        <v>Complete</v>
      </c>
      <c r="N766" t="str">
        <f>IF(M766="Incomplete","Not checked",IF(ROUND(I766*J766,2)=ROUND(L766,2),"Valid","Mismatch"))</f>
        <v>Valid</v>
      </c>
      <c r="O766">
        <f t="shared" si="23"/>
        <v>14.4</v>
      </c>
    </row>
    <row r="767" spans="1:15">
      <c r="A767">
        <v>485</v>
      </c>
      <c r="B767" t="str">
        <f t="shared" si="22"/>
        <v>2022-11</v>
      </c>
      <c r="C767" s="1">
        <v>44873</v>
      </c>
      <c r="D767" s="5">
        <v>0.72916666666666663</v>
      </c>
      <c r="E767">
        <v>101</v>
      </c>
      <c r="F767" t="s">
        <v>11</v>
      </c>
      <c r="G767">
        <v>24</v>
      </c>
      <c r="H767" t="s">
        <v>15</v>
      </c>
      <c r="I767">
        <v>1</v>
      </c>
      <c r="J767" s="6">
        <v>30</v>
      </c>
      <c r="K767">
        <v>11.4</v>
      </c>
      <c r="L767">
        <v>30</v>
      </c>
      <c r="M767" t="str">
        <f>IF(OR(I767="",J767="",L767=""),"Incomplete","Complete")</f>
        <v>Complete</v>
      </c>
      <c r="N767" t="str">
        <f>IF(M767="Incomplete","Not checked",IF(ROUND(I767*J767,2)=ROUND(L767,2),"Valid","Mismatch"))</f>
        <v>Valid</v>
      </c>
      <c r="O767">
        <f t="shared" si="23"/>
        <v>18.600000000000001</v>
      </c>
    </row>
    <row r="768" spans="1:15">
      <c r="A768">
        <v>1485</v>
      </c>
      <c r="B768" t="str">
        <f t="shared" si="22"/>
        <v>2022-09</v>
      </c>
      <c r="C768" s="1">
        <v>44828</v>
      </c>
      <c r="D768" s="5">
        <v>0.77013888888888893</v>
      </c>
      <c r="E768">
        <v>66</v>
      </c>
      <c r="F768" t="s">
        <v>11</v>
      </c>
      <c r="G768">
        <v>24</v>
      </c>
      <c r="H768" t="s">
        <v>15</v>
      </c>
      <c r="I768">
        <v>1</v>
      </c>
      <c r="J768" s="6">
        <v>30</v>
      </c>
      <c r="K768">
        <v>15.6</v>
      </c>
      <c r="L768">
        <v>30</v>
      </c>
      <c r="M768" t="str">
        <f>IF(OR(I768="",J768="",L768=""),"Incomplete","Complete")</f>
        <v>Complete</v>
      </c>
      <c r="N768" t="str">
        <f>IF(M768="Incomplete","Not checked",IF(ROUND(I768*J768,2)=ROUND(L768,2),"Valid","Mismatch"))</f>
        <v>Valid</v>
      </c>
      <c r="O768">
        <f t="shared" si="23"/>
        <v>14.4</v>
      </c>
    </row>
    <row r="769" spans="1:15">
      <c r="A769">
        <v>535</v>
      </c>
      <c r="B769" t="str">
        <f t="shared" si="22"/>
        <v>2023-11</v>
      </c>
      <c r="C769" s="1">
        <v>45250</v>
      </c>
      <c r="D769" s="5">
        <v>0.57361111111111107</v>
      </c>
      <c r="E769">
        <v>59</v>
      </c>
      <c r="F769" t="s">
        <v>11</v>
      </c>
      <c r="G769">
        <v>47</v>
      </c>
      <c r="H769" t="s">
        <v>13</v>
      </c>
      <c r="I769">
        <v>3</v>
      </c>
      <c r="J769" s="6">
        <v>30</v>
      </c>
      <c r="K769">
        <v>16.2</v>
      </c>
      <c r="L769">
        <v>90</v>
      </c>
      <c r="M769" t="str">
        <f>IF(OR(I769="",J769="",L769=""),"Incomplete","Complete")</f>
        <v>Complete</v>
      </c>
      <c r="N769" t="str">
        <f>IF(M769="Incomplete","Not checked",IF(ROUND(I769*J769,2)=ROUND(L769,2),"Valid","Mismatch"))</f>
        <v>Valid</v>
      </c>
      <c r="O769">
        <f t="shared" si="23"/>
        <v>73.8</v>
      </c>
    </row>
    <row r="770" spans="1:15">
      <c r="A770">
        <v>1535</v>
      </c>
      <c r="B770" t="str">
        <f t="shared" ref="B770:B833" si="24">TEXT(C770,"yyyy-mm")</f>
        <v>2023-12</v>
      </c>
      <c r="C770" s="1">
        <v>45278</v>
      </c>
      <c r="D770" s="5">
        <v>0.64652777777777781</v>
      </c>
      <c r="E770">
        <v>52</v>
      </c>
      <c r="F770" t="s">
        <v>11</v>
      </c>
      <c r="G770">
        <v>47</v>
      </c>
      <c r="H770" t="s">
        <v>13</v>
      </c>
      <c r="I770">
        <v>3</v>
      </c>
      <c r="J770" s="6">
        <v>30</v>
      </c>
      <c r="K770">
        <v>9.9</v>
      </c>
      <c r="L770">
        <v>90</v>
      </c>
      <c r="M770" t="str">
        <f>IF(OR(I770="",J770="",L770=""),"Incomplete","Complete")</f>
        <v>Complete</v>
      </c>
      <c r="N770" t="str">
        <f>IF(M770="Incomplete","Not checked",IF(ROUND(I770*J770,2)=ROUND(L770,2),"Valid","Mismatch"))</f>
        <v>Valid</v>
      </c>
      <c r="O770">
        <f t="shared" ref="O770:O833" si="25">IF(M770="Incomplete","",L770-K770)</f>
        <v>80.099999999999994</v>
      </c>
    </row>
    <row r="771" spans="1:15">
      <c r="A771">
        <v>80</v>
      </c>
      <c r="B771" t="str">
        <f t="shared" si="24"/>
        <v>2023-10</v>
      </c>
      <c r="C771" s="1">
        <v>45221</v>
      </c>
      <c r="D771" s="5">
        <v>0.70208333333333328</v>
      </c>
      <c r="E771">
        <v>82</v>
      </c>
      <c r="F771" t="s">
        <v>14</v>
      </c>
      <c r="G771">
        <v>64</v>
      </c>
      <c r="H771" t="s">
        <v>12</v>
      </c>
      <c r="I771">
        <v>2</v>
      </c>
      <c r="J771" s="6">
        <v>30</v>
      </c>
      <c r="K771">
        <v>12.3</v>
      </c>
      <c r="L771">
        <v>60</v>
      </c>
      <c r="M771" t="str">
        <f>IF(OR(I771="",J771="",L771=""),"Incomplete","Complete")</f>
        <v>Complete</v>
      </c>
      <c r="N771" t="str">
        <f>IF(M771="Incomplete","Not checked",IF(ROUND(I771*J771,2)=ROUND(L771,2),"Valid","Mismatch"))</f>
        <v>Valid</v>
      </c>
      <c r="O771">
        <f t="shared" si="25"/>
        <v>47.7</v>
      </c>
    </row>
    <row r="772" spans="1:15">
      <c r="A772">
        <v>214</v>
      </c>
      <c r="B772" t="str">
        <f t="shared" si="24"/>
        <v>2022-11</v>
      </c>
      <c r="C772" s="1">
        <v>44870</v>
      </c>
      <c r="D772" s="5">
        <v>0.68819444444444444</v>
      </c>
      <c r="E772">
        <v>53</v>
      </c>
      <c r="F772" t="s">
        <v>11</v>
      </c>
      <c r="G772">
        <v>20</v>
      </c>
      <c r="H772" t="s">
        <v>13</v>
      </c>
      <c r="I772">
        <v>2</v>
      </c>
      <c r="J772" s="6">
        <v>30</v>
      </c>
      <c r="K772">
        <v>8.1</v>
      </c>
      <c r="L772">
        <v>60</v>
      </c>
      <c r="M772" t="str">
        <f>IF(OR(I772="",J772="",L772=""),"Incomplete","Complete")</f>
        <v>Complete</v>
      </c>
      <c r="N772" t="str">
        <f>IF(M772="Incomplete","Not checked",IF(ROUND(I772*J772,2)=ROUND(L772,2),"Valid","Mismatch"))</f>
        <v>Valid</v>
      </c>
      <c r="O772">
        <f t="shared" si="25"/>
        <v>51.9</v>
      </c>
    </row>
    <row r="773" spans="1:15">
      <c r="A773">
        <v>1080</v>
      </c>
      <c r="B773" t="str">
        <f t="shared" si="24"/>
        <v>2022-12</v>
      </c>
      <c r="C773" s="1">
        <v>44903</v>
      </c>
      <c r="D773" s="5">
        <v>0.56319444444444444</v>
      </c>
      <c r="E773">
        <v>70</v>
      </c>
      <c r="F773" t="s">
        <v>14</v>
      </c>
      <c r="G773">
        <v>64</v>
      </c>
      <c r="H773" t="s">
        <v>12</v>
      </c>
      <c r="I773">
        <v>2</v>
      </c>
      <c r="J773" s="6">
        <v>30</v>
      </c>
      <c r="K773">
        <v>13.2</v>
      </c>
      <c r="L773">
        <v>60</v>
      </c>
      <c r="M773" t="str">
        <f>IF(OR(I773="",J773="",L773=""),"Incomplete","Complete")</f>
        <v>Complete</v>
      </c>
      <c r="N773" t="str">
        <f>IF(M773="Incomplete","Not checked",IF(ROUND(I773*J773,2)=ROUND(L773,2),"Valid","Mismatch"))</f>
        <v>Valid</v>
      </c>
      <c r="O773">
        <f t="shared" si="25"/>
        <v>46.8</v>
      </c>
    </row>
    <row r="774" spans="1:15">
      <c r="A774">
        <v>1214</v>
      </c>
      <c r="B774" t="str">
        <f t="shared" si="24"/>
        <v>2023-11</v>
      </c>
      <c r="C774" s="1">
        <v>45248</v>
      </c>
      <c r="D774" s="5">
        <v>0.6</v>
      </c>
      <c r="E774">
        <v>50</v>
      </c>
      <c r="F774" t="s">
        <v>11</v>
      </c>
      <c r="G774">
        <v>20</v>
      </c>
      <c r="H774" t="s">
        <v>13</v>
      </c>
      <c r="I774">
        <v>2</v>
      </c>
      <c r="J774" s="6">
        <v>30</v>
      </c>
      <c r="K774">
        <v>11.1</v>
      </c>
      <c r="L774">
        <v>60</v>
      </c>
      <c r="M774" t="str">
        <f>IF(OR(I774="",J774="",L774=""),"Incomplete","Complete")</f>
        <v>Complete</v>
      </c>
      <c r="N774" t="str">
        <f>IF(M774="Incomplete","Not checked",IF(ROUND(I774*J774,2)=ROUND(L774,2),"Valid","Mismatch"))</f>
        <v>Valid</v>
      </c>
      <c r="O774">
        <f t="shared" si="25"/>
        <v>48.9</v>
      </c>
    </row>
    <row r="775" spans="1:15">
      <c r="A775">
        <v>701</v>
      </c>
      <c r="B775" t="str">
        <f t="shared" si="24"/>
        <v>2023-11</v>
      </c>
      <c r="C775" s="1">
        <v>45259</v>
      </c>
      <c r="D775" s="5">
        <v>0.68958333333333333</v>
      </c>
      <c r="E775">
        <v>93</v>
      </c>
      <c r="F775" t="s">
        <v>14</v>
      </c>
      <c r="G775">
        <v>52</v>
      </c>
      <c r="H775" t="s">
        <v>13</v>
      </c>
      <c r="I775">
        <v>2</v>
      </c>
      <c r="J775" s="6">
        <v>30</v>
      </c>
      <c r="K775">
        <v>14.1</v>
      </c>
      <c r="L775">
        <v>60</v>
      </c>
      <c r="M775" t="str">
        <f>IF(OR(I775="",J775="",L775=""),"Incomplete","Complete")</f>
        <v>Complete</v>
      </c>
      <c r="N775" t="str">
        <f>IF(M775="Incomplete","Not checked",IF(ROUND(I775*J775,2)=ROUND(L775,2),"Valid","Mismatch"))</f>
        <v>Valid</v>
      </c>
      <c r="O775">
        <f t="shared" si="25"/>
        <v>45.9</v>
      </c>
    </row>
    <row r="776" spans="1:15">
      <c r="A776">
        <v>1701</v>
      </c>
      <c r="B776" t="str">
        <f t="shared" si="24"/>
        <v>2023-10</v>
      </c>
      <c r="C776" s="1">
        <v>45212</v>
      </c>
      <c r="D776" s="5">
        <v>0.63124999999999998</v>
      </c>
      <c r="E776">
        <v>62</v>
      </c>
      <c r="F776" t="s">
        <v>14</v>
      </c>
      <c r="G776">
        <v>52</v>
      </c>
      <c r="H776" t="s">
        <v>13</v>
      </c>
      <c r="I776">
        <v>2</v>
      </c>
      <c r="J776" s="6">
        <v>30</v>
      </c>
      <c r="K776">
        <v>15.9</v>
      </c>
      <c r="L776">
        <v>60</v>
      </c>
      <c r="M776" t="str">
        <f>IF(OR(I776="",J776="",L776=""),"Incomplete","Complete")</f>
        <v>Complete</v>
      </c>
      <c r="N776" t="str">
        <f>IF(M776="Incomplete","Not checked",IF(ROUND(I776*J776,2)=ROUND(L776,2),"Valid","Mismatch"))</f>
        <v>Valid</v>
      </c>
      <c r="O776">
        <f t="shared" si="25"/>
        <v>44.1</v>
      </c>
    </row>
    <row r="777" spans="1:15">
      <c r="A777">
        <v>451</v>
      </c>
      <c r="B777" t="str">
        <f t="shared" si="24"/>
        <v>2023-10</v>
      </c>
      <c r="C777" s="1">
        <v>45208</v>
      </c>
      <c r="D777" s="5">
        <v>0.65138888888888891</v>
      </c>
      <c r="E777">
        <v>74</v>
      </c>
      <c r="F777" t="s">
        <v>14</v>
      </c>
      <c r="G777">
        <v>45</v>
      </c>
      <c r="H777" t="s">
        <v>15</v>
      </c>
      <c r="I777">
        <v>1</v>
      </c>
      <c r="J777" s="6">
        <v>30</v>
      </c>
      <c r="K777">
        <v>13.5</v>
      </c>
      <c r="L777">
        <v>30</v>
      </c>
      <c r="M777" t="str">
        <f>IF(OR(I777="",J777="",L777=""),"Incomplete","Complete")</f>
        <v>Complete</v>
      </c>
      <c r="N777" t="str">
        <f>IF(M777="Incomplete","Not checked",IF(ROUND(I777*J777,2)=ROUND(L777,2),"Valid","Mismatch"))</f>
        <v>Valid</v>
      </c>
      <c r="O777">
        <f t="shared" si="25"/>
        <v>16.5</v>
      </c>
    </row>
    <row r="778" spans="1:15">
      <c r="A778">
        <v>1451</v>
      </c>
      <c r="B778" t="str">
        <f t="shared" si="24"/>
        <v>2022-09</v>
      </c>
      <c r="C778" s="1">
        <v>44827</v>
      </c>
      <c r="D778" s="5">
        <v>0.50694444444444442</v>
      </c>
      <c r="E778">
        <v>94</v>
      </c>
      <c r="F778" t="s">
        <v>14</v>
      </c>
      <c r="G778">
        <v>45</v>
      </c>
      <c r="H778" t="s">
        <v>15</v>
      </c>
      <c r="I778">
        <v>1</v>
      </c>
      <c r="J778" s="6">
        <v>30</v>
      </c>
      <c r="K778">
        <v>13.2</v>
      </c>
      <c r="L778">
        <v>30</v>
      </c>
      <c r="M778" t="str">
        <f>IF(OR(I778="",J778="",L778=""),"Incomplete","Complete")</f>
        <v>Complete</v>
      </c>
      <c r="N778" t="str">
        <f>IF(M778="Incomplete","Not checked",IF(ROUND(I778*J778,2)=ROUND(L778,2),"Valid","Mismatch"))</f>
        <v>Valid</v>
      </c>
      <c r="O778">
        <f t="shared" si="25"/>
        <v>16.8</v>
      </c>
    </row>
    <row r="779" spans="1:15">
      <c r="A779">
        <v>982</v>
      </c>
      <c r="B779" t="str">
        <f t="shared" si="24"/>
        <v>2022-11</v>
      </c>
      <c r="C779" s="1">
        <v>44875</v>
      </c>
      <c r="D779" s="5">
        <v>0.58888888888888891</v>
      </c>
      <c r="E779">
        <v>50</v>
      </c>
      <c r="F779" t="s">
        <v>14</v>
      </c>
      <c r="G779">
        <v>46</v>
      </c>
      <c r="H779" t="s">
        <v>13</v>
      </c>
      <c r="I779">
        <v>3</v>
      </c>
      <c r="J779" s="6">
        <v>30</v>
      </c>
      <c r="K779">
        <v>15.6</v>
      </c>
      <c r="L779">
        <v>90</v>
      </c>
      <c r="M779" t="str">
        <f>IF(OR(I779="",J779="",L779=""),"Incomplete","Complete")</f>
        <v>Complete</v>
      </c>
      <c r="N779" t="str">
        <f>IF(M779="Incomplete","Not checked",IF(ROUND(I779*J779,2)=ROUND(L779,2),"Valid","Mismatch"))</f>
        <v>Valid</v>
      </c>
      <c r="O779">
        <f t="shared" si="25"/>
        <v>74.400000000000006</v>
      </c>
    </row>
    <row r="780" spans="1:15">
      <c r="A780">
        <v>1982</v>
      </c>
      <c r="B780" t="str">
        <f t="shared" si="24"/>
        <v>2023-09</v>
      </c>
      <c r="C780" s="1">
        <v>45178</v>
      </c>
      <c r="D780" s="5">
        <v>0.53194444444444444</v>
      </c>
      <c r="E780">
        <v>110</v>
      </c>
      <c r="F780" t="s">
        <v>14</v>
      </c>
      <c r="G780">
        <v>46</v>
      </c>
      <c r="H780" t="s">
        <v>13</v>
      </c>
      <c r="I780">
        <v>3</v>
      </c>
      <c r="J780" s="6">
        <v>30</v>
      </c>
      <c r="K780">
        <v>16.5</v>
      </c>
      <c r="L780">
        <v>90</v>
      </c>
      <c r="M780" t="str">
        <f>IF(OR(I780="",J780="",L780=""),"Incomplete","Complete")</f>
        <v>Complete</v>
      </c>
      <c r="N780" t="str">
        <f>IF(M780="Incomplete","Not checked",IF(ROUND(I780*J780,2)=ROUND(L780,2),"Valid","Mismatch"))</f>
        <v>Valid</v>
      </c>
      <c r="O780">
        <f t="shared" si="25"/>
        <v>73.5</v>
      </c>
    </row>
    <row r="781" spans="1:15">
      <c r="A781">
        <v>879</v>
      </c>
      <c r="B781" t="str">
        <f t="shared" si="24"/>
        <v>2022-11</v>
      </c>
      <c r="C781" s="1">
        <v>44878</v>
      </c>
      <c r="D781" s="5">
        <v>0.70208333333333328</v>
      </c>
      <c r="E781">
        <v>50</v>
      </c>
      <c r="F781" t="s">
        <v>11</v>
      </c>
      <c r="G781">
        <v>23</v>
      </c>
      <c r="H781" t="s">
        <v>12</v>
      </c>
      <c r="I781">
        <v>1</v>
      </c>
      <c r="J781" s="6">
        <v>30</v>
      </c>
      <c r="K781">
        <v>15.3</v>
      </c>
      <c r="L781">
        <v>30</v>
      </c>
      <c r="M781" t="str">
        <f>IF(OR(I781="",J781="",L781=""),"Incomplete","Complete")</f>
        <v>Complete</v>
      </c>
      <c r="N781" t="str">
        <f>IF(M781="Incomplete","Not checked",IF(ROUND(I781*J781,2)=ROUND(L781,2),"Valid","Mismatch"))</f>
        <v>Valid</v>
      </c>
      <c r="O781">
        <f t="shared" si="25"/>
        <v>14.7</v>
      </c>
    </row>
    <row r="782" spans="1:15">
      <c r="A782">
        <v>1879</v>
      </c>
      <c r="B782" t="str">
        <f t="shared" si="24"/>
        <v>2022-11</v>
      </c>
      <c r="C782" s="1">
        <v>44883</v>
      </c>
      <c r="D782" s="5">
        <v>0.64375000000000004</v>
      </c>
      <c r="E782">
        <v>66</v>
      </c>
      <c r="F782" t="s">
        <v>11</v>
      </c>
      <c r="G782">
        <v>23</v>
      </c>
      <c r="H782" t="s">
        <v>12</v>
      </c>
      <c r="I782">
        <v>1</v>
      </c>
      <c r="J782" s="6">
        <v>30</v>
      </c>
      <c r="K782">
        <v>16.2</v>
      </c>
      <c r="L782">
        <v>30</v>
      </c>
      <c r="M782" t="str">
        <f>IF(OR(I782="",J782="",L782=""),"Incomplete","Complete")</f>
        <v>Complete</v>
      </c>
      <c r="N782" t="str">
        <f>IF(M782="Incomplete","Not checked",IF(ROUND(I782*J782,2)=ROUND(L782,2),"Valid","Mismatch"))</f>
        <v>Valid</v>
      </c>
      <c r="O782">
        <f t="shared" si="25"/>
        <v>13.8</v>
      </c>
    </row>
    <row r="783" spans="1:15">
      <c r="A783">
        <v>650</v>
      </c>
      <c r="B783" t="str">
        <f t="shared" si="24"/>
        <v>2023-10</v>
      </c>
      <c r="C783" s="1">
        <v>45207</v>
      </c>
      <c r="D783" s="5">
        <v>0.52847222222222223</v>
      </c>
      <c r="E783">
        <v>98</v>
      </c>
      <c r="F783" t="s">
        <v>11</v>
      </c>
      <c r="G783">
        <v>55</v>
      </c>
      <c r="H783" t="s">
        <v>15</v>
      </c>
      <c r="I783">
        <v>1</v>
      </c>
      <c r="J783" s="6">
        <v>30</v>
      </c>
      <c r="K783">
        <v>15</v>
      </c>
      <c r="L783">
        <v>30</v>
      </c>
      <c r="M783" t="str">
        <f>IF(OR(I783="",J783="",L783=""),"Incomplete","Complete")</f>
        <v>Complete</v>
      </c>
      <c r="N783" t="str">
        <f>IF(M783="Incomplete","Not checked",IF(ROUND(I783*J783,2)=ROUND(L783,2),"Valid","Mismatch"))</f>
        <v>Valid</v>
      </c>
      <c r="O783">
        <f t="shared" si="25"/>
        <v>15</v>
      </c>
    </row>
    <row r="784" spans="1:15">
      <c r="A784">
        <v>1650</v>
      </c>
      <c r="B784" t="str">
        <f t="shared" si="24"/>
        <v>2022-09</v>
      </c>
      <c r="C784" s="1">
        <v>44827</v>
      </c>
      <c r="D784" s="5">
        <v>0.68333333333333335</v>
      </c>
      <c r="E784">
        <v>89</v>
      </c>
      <c r="F784" t="s">
        <v>11</v>
      </c>
      <c r="G784">
        <v>55</v>
      </c>
      <c r="H784" t="s">
        <v>15</v>
      </c>
      <c r="I784">
        <v>1</v>
      </c>
      <c r="J784" s="6">
        <v>30</v>
      </c>
      <c r="K784">
        <v>10.8</v>
      </c>
      <c r="L784">
        <v>30</v>
      </c>
      <c r="M784" t="str">
        <f>IF(OR(I784="",J784="",L784=""),"Incomplete","Complete")</f>
        <v>Complete</v>
      </c>
      <c r="N784" t="str">
        <f>IF(M784="Incomplete","Not checked",IF(ROUND(I784*J784,2)=ROUND(L784,2),"Valid","Mismatch"))</f>
        <v>Valid</v>
      </c>
      <c r="O784">
        <f t="shared" si="25"/>
        <v>19.2</v>
      </c>
    </row>
    <row r="785" spans="1:15">
      <c r="A785">
        <v>163</v>
      </c>
      <c r="B785" t="str">
        <f t="shared" si="24"/>
        <v>2022-10</v>
      </c>
      <c r="C785" s="1">
        <v>44865</v>
      </c>
      <c r="D785" s="5">
        <v>0.40138888888888891</v>
      </c>
      <c r="E785">
        <v>144</v>
      </c>
      <c r="F785" t="s">
        <v>14</v>
      </c>
      <c r="G785">
        <v>64</v>
      </c>
      <c r="H785" t="s">
        <v>12</v>
      </c>
      <c r="I785">
        <v>3</v>
      </c>
      <c r="J785" s="6">
        <v>50</v>
      </c>
      <c r="K785">
        <v>23</v>
      </c>
      <c r="L785">
        <v>150</v>
      </c>
      <c r="M785" t="str">
        <f>IF(OR(I785="",J785="",L785=""),"Incomplete","Complete")</f>
        <v>Complete</v>
      </c>
      <c r="N785" t="str">
        <f>IF(M785="Incomplete","Not checked",IF(ROUND(I785*J785,2)=ROUND(L785,2),"Valid","Mismatch"))</f>
        <v>Valid</v>
      </c>
      <c r="O785">
        <f t="shared" si="25"/>
        <v>127</v>
      </c>
    </row>
    <row r="786" spans="1:15">
      <c r="A786">
        <v>1163</v>
      </c>
      <c r="B786" t="str">
        <f t="shared" si="24"/>
        <v>2022-05</v>
      </c>
      <c r="C786" s="1">
        <v>44685</v>
      </c>
      <c r="D786" s="5">
        <v>0.45277777777777778</v>
      </c>
      <c r="E786">
        <v>120</v>
      </c>
      <c r="F786" t="s">
        <v>14</v>
      </c>
      <c r="G786">
        <v>64</v>
      </c>
      <c r="H786" t="s">
        <v>12</v>
      </c>
      <c r="I786">
        <v>3</v>
      </c>
      <c r="J786" s="6">
        <v>50</v>
      </c>
      <c r="K786">
        <v>27</v>
      </c>
      <c r="L786">
        <v>150</v>
      </c>
      <c r="M786" t="str">
        <f>IF(OR(I786="",J786="",L786=""),"Incomplete","Complete")</f>
        <v>Complete</v>
      </c>
      <c r="N786" t="str">
        <f>IF(M786="Incomplete","Not checked",IF(ROUND(I786*J786,2)=ROUND(L786,2),"Valid","Mismatch"))</f>
        <v>Valid</v>
      </c>
      <c r="O786">
        <f t="shared" si="25"/>
        <v>123</v>
      </c>
    </row>
    <row r="787" spans="1:15">
      <c r="A787">
        <v>231</v>
      </c>
      <c r="B787" t="str">
        <f t="shared" si="24"/>
        <v>2022-07</v>
      </c>
      <c r="C787" s="1">
        <v>44751</v>
      </c>
      <c r="D787" s="5">
        <v>0.29305555555555557</v>
      </c>
      <c r="E787">
        <v>50</v>
      </c>
      <c r="F787" t="s">
        <v>14</v>
      </c>
      <c r="G787">
        <v>23</v>
      </c>
      <c r="H787" t="s">
        <v>12</v>
      </c>
      <c r="I787">
        <v>3</v>
      </c>
      <c r="J787" s="6">
        <v>50</v>
      </c>
      <c r="K787">
        <v>26.5</v>
      </c>
      <c r="L787">
        <v>150</v>
      </c>
      <c r="M787" t="str">
        <f>IF(OR(I787="",J787="",L787=""),"Incomplete","Complete")</f>
        <v>Complete</v>
      </c>
      <c r="N787" t="str">
        <f>IF(M787="Incomplete","Not checked",IF(ROUND(I787*J787,2)=ROUND(L787,2),"Valid","Mismatch"))</f>
        <v>Valid</v>
      </c>
      <c r="O787">
        <f t="shared" si="25"/>
        <v>123.5</v>
      </c>
    </row>
    <row r="788" spans="1:15">
      <c r="A788">
        <v>1231</v>
      </c>
      <c r="B788" t="str">
        <f t="shared" si="24"/>
        <v>2022-01</v>
      </c>
      <c r="C788" s="1">
        <v>44590</v>
      </c>
      <c r="D788" s="5">
        <v>0.2951388888888889</v>
      </c>
      <c r="E788">
        <v>12</v>
      </c>
      <c r="F788" t="s">
        <v>14</v>
      </c>
      <c r="G788">
        <v>23</v>
      </c>
      <c r="H788" t="s">
        <v>12</v>
      </c>
      <c r="I788">
        <v>3</v>
      </c>
      <c r="J788" s="6">
        <v>50</v>
      </c>
      <c r="K788">
        <v>23</v>
      </c>
      <c r="L788">
        <v>150</v>
      </c>
      <c r="M788" t="str">
        <f>IF(OR(I788="",J788="",L788=""),"Incomplete","Complete")</f>
        <v>Complete</v>
      </c>
      <c r="N788" t="str">
        <f>IF(M788="Incomplete","Not checked",IF(ROUND(I788*J788,2)=ROUND(L788,2),"Valid","Mismatch"))</f>
        <v>Valid</v>
      </c>
      <c r="O788">
        <f t="shared" si="25"/>
        <v>127</v>
      </c>
    </row>
    <row r="789" spans="1:15">
      <c r="A789">
        <v>367</v>
      </c>
      <c r="B789" t="str">
        <f t="shared" si="24"/>
        <v>2022-12</v>
      </c>
      <c r="C789" s="1">
        <v>44925</v>
      </c>
      <c r="D789" s="5">
        <v>0.29375000000000001</v>
      </c>
      <c r="E789">
        <v>123</v>
      </c>
      <c r="F789" t="s">
        <v>14</v>
      </c>
      <c r="G789">
        <v>57</v>
      </c>
      <c r="H789" t="s">
        <v>15</v>
      </c>
      <c r="I789">
        <v>1</v>
      </c>
      <c r="J789" s="6">
        <v>50</v>
      </c>
      <c r="K789">
        <v>18</v>
      </c>
      <c r="L789">
        <v>50</v>
      </c>
      <c r="M789" t="str">
        <f>IF(OR(I789="",J789="",L789=""),"Incomplete","Complete")</f>
        <v>Complete</v>
      </c>
      <c r="N789" t="str">
        <f>IF(M789="Incomplete","Not checked",IF(ROUND(I789*J789,2)=ROUND(L789,2),"Valid","Mismatch"))</f>
        <v>Valid</v>
      </c>
      <c r="O789">
        <f t="shared" si="25"/>
        <v>32</v>
      </c>
    </row>
    <row r="790" spans="1:15">
      <c r="A790">
        <v>1367</v>
      </c>
      <c r="B790" t="str">
        <f t="shared" si="24"/>
        <v>2022-04</v>
      </c>
      <c r="C790" s="1">
        <v>44666</v>
      </c>
      <c r="D790" s="5">
        <v>0.48472222222222222</v>
      </c>
      <c r="E790">
        <v>16</v>
      </c>
      <c r="F790" t="s">
        <v>14</v>
      </c>
      <c r="H790" t="s">
        <v>15</v>
      </c>
      <c r="I790">
        <v>1</v>
      </c>
      <c r="J790" s="6">
        <v>50</v>
      </c>
      <c r="K790">
        <v>15.5</v>
      </c>
      <c r="L790">
        <v>50</v>
      </c>
      <c r="M790" t="str">
        <f>IF(OR(I790="",J790="",L790=""),"Incomplete","Complete")</f>
        <v>Complete</v>
      </c>
      <c r="N790" t="str">
        <f>IF(M790="Incomplete","Not checked",IF(ROUND(I790*J790,2)=ROUND(L790,2),"Valid","Mismatch"))</f>
        <v>Valid</v>
      </c>
      <c r="O790">
        <f t="shared" si="25"/>
        <v>34.5</v>
      </c>
    </row>
    <row r="791" spans="1:15">
      <c r="A791">
        <v>860</v>
      </c>
      <c r="B791" t="str">
        <f t="shared" si="24"/>
        <v>2022-04</v>
      </c>
      <c r="C791" s="1">
        <v>44662</v>
      </c>
      <c r="D791" s="5">
        <v>0.37361111111111112</v>
      </c>
      <c r="E791">
        <v>85</v>
      </c>
      <c r="F791" t="s">
        <v>11</v>
      </c>
      <c r="G791">
        <v>63</v>
      </c>
      <c r="H791" t="s">
        <v>12</v>
      </c>
      <c r="I791">
        <v>4</v>
      </c>
      <c r="J791" s="6">
        <v>50</v>
      </c>
      <c r="K791">
        <v>16</v>
      </c>
      <c r="L791">
        <v>200</v>
      </c>
      <c r="M791" t="str">
        <f>IF(OR(I791="",J791="",L791=""),"Incomplete","Complete")</f>
        <v>Complete</v>
      </c>
      <c r="N791" t="str">
        <f>IF(M791="Incomplete","Not checked",IF(ROUND(I791*J791,2)=ROUND(L791,2),"Valid","Mismatch"))</f>
        <v>Valid</v>
      </c>
      <c r="O791">
        <f t="shared" si="25"/>
        <v>184</v>
      </c>
    </row>
    <row r="792" spans="1:15">
      <c r="A792">
        <v>1860</v>
      </c>
      <c r="B792" t="str">
        <f t="shared" si="24"/>
        <v>2022-03</v>
      </c>
      <c r="C792" s="1">
        <v>44632</v>
      </c>
      <c r="D792" s="5">
        <v>0.47291666666666665</v>
      </c>
      <c r="E792">
        <v>57</v>
      </c>
      <c r="F792" t="s">
        <v>11</v>
      </c>
      <c r="G792">
        <v>63</v>
      </c>
      <c r="H792" t="s">
        <v>12</v>
      </c>
      <c r="I792">
        <v>4</v>
      </c>
      <c r="J792" s="6">
        <v>50</v>
      </c>
      <c r="K792">
        <v>18</v>
      </c>
      <c r="L792">
        <v>200</v>
      </c>
      <c r="M792" t="str">
        <f>IF(OR(I792="",J792="",L792=""),"Incomplete","Complete")</f>
        <v>Complete</v>
      </c>
      <c r="N792" t="str">
        <f>IF(M792="Incomplete","Not checked",IF(ROUND(I792*J792,2)=ROUND(L792,2),"Valid","Mismatch"))</f>
        <v>Valid</v>
      </c>
      <c r="O792">
        <f t="shared" si="25"/>
        <v>182</v>
      </c>
    </row>
    <row r="793" spans="1:15">
      <c r="A793">
        <v>184</v>
      </c>
      <c r="B793" t="str">
        <f t="shared" si="24"/>
        <v>2022-02</v>
      </c>
      <c r="C793" s="1">
        <v>44605</v>
      </c>
      <c r="D793" s="5">
        <v>0.28055555555555556</v>
      </c>
      <c r="E793">
        <v>128</v>
      </c>
      <c r="F793" t="s">
        <v>11</v>
      </c>
      <c r="G793">
        <v>31</v>
      </c>
      <c r="H793" t="s">
        <v>15</v>
      </c>
      <c r="I793">
        <v>4</v>
      </c>
      <c r="J793" s="6">
        <v>50</v>
      </c>
      <c r="K793">
        <v>17</v>
      </c>
      <c r="L793">
        <v>200</v>
      </c>
      <c r="M793" t="str">
        <f>IF(OR(I793="",J793="",L793=""),"Incomplete","Complete")</f>
        <v>Complete</v>
      </c>
      <c r="N793" t="str">
        <f>IF(M793="Incomplete","Not checked",IF(ROUND(I793*J793,2)=ROUND(L793,2),"Valid","Mismatch"))</f>
        <v>Valid</v>
      </c>
      <c r="O793">
        <f t="shared" si="25"/>
        <v>183</v>
      </c>
    </row>
    <row r="794" spans="1:15">
      <c r="A794">
        <v>1184</v>
      </c>
      <c r="B794" t="str">
        <f t="shared" si="24"/>
        <v>2022-02</v>
      </c>
      <c r="C794" s="1">
        <v>44604</v>
      </c>
      <c r="D794" s="5">
        <v>0.3527777777777778</v>
      </c>
      <c r="E794">
        <v>23</v>
      </c>
      <c r="F794" t="s">
        <v>11</v>
      </c>
      <c r="G794">
        <v>31</v>
      </c>
      <c r="H794" t="s">
        <v>15</v>
      </c>
      <c r="I794">
        <v>4</v>
      </c>
      <c r="J794" s="6">
        <v>50</v>
      </c>
      <c r="K794">
        <v>27.5</v>
      </c>
      <c r="L794">
        <v>200</v>
      </c>
      <c r="M794" t="str">
        <f>IF(OR(I794="",J794="",L794=""),"Incomplete","Complete")</f>
        <v>Complete</v>
      </c>
      <c r="N794" t="str">
        <f>IF(M794="Incomplete","Not checked",IF(ROUND(I794*J794,2)=ROUND(L794,2),"Valid","Mismatch"))</f>
        <v>Valid</v>
      </c>
      <c r="O794">
        <f t="shared" si="25"/>
        <v>172.5</v>
      </c>
    </row>
    <row r="795" spans="1:15">
      <c r="A795">
        <v>505</v>
      </c>
      <c r="B795" t="str">
        <f t="shared" si="24"/>
        <v>2022-12</v>
      </c>
      <c r="C795" s="1">
        <v>44912</v>
      </c>
      <c r="D795" s="5">
        <v>0.30902777777777779</v>
      </c>
      <c r="E795">
        <v>86</v>
      </c>
      <c r="F795" t="s">
        <v>11</v>
      </c>
      <c r="G795">
        <v>24</v>
      </c>
      <c r="H795" t="s">
        <v>13</v>
      </c>
      <c r="I795">
        <v>1</v>
      </c>
      <c r="J795" s="6">
        <v>50</v>
      </c>
      <c r="K795">
        <v>19.5</v>
      </c>
      <c r="L795">
        <v>50</v>
      </c>
      <c r="M795" t="str">
        <f>IF(OR(I795="",J795="",L795=""),"Incomplete","Complete")</f>
        <v>Complete</v>
      </c>
      <c r="N795" t="str">
        <f>IF(M795="Incomplete","Not checked",IF(ROUND(I795*J795,2)=ROUND(L795,2),"Valid","Mismatch"))</f>
        <v>Valid</v>
      </c>
      <c r="O795">
        <f t="shared" si="25"/>
        <v>30.5</v>
      </c>
    </row>
    <row r="796" spans="1:15">
      <c r="A796">
        <v>1505</v>
      </c>
      <c r="B796" t="str">
        <f t="shared" si="24"/>
        <v>2022-10</v>
      </c>
      <c r="C796" s="1">
        <v>44864</v>
      </c>
      <c r="D796" s="5">
        <v>0.33333333333333331</v>
      </c>
      <c r="E796">
        <v>98</v>
      </c>
      <c r="F796" t="s">
        <v>11</v>
      </c>
      <c r="G796">
        <v>24</v>
      </c>
      <c r="H796" t="s">
        <v>13</v>
      </c>
      <c r="I796">
        <v>1</v>
      </c>
      <c r="J796" s="6">
        <v>50</v>
      </c>
      <c r="K796">
        <v>14.5</v>
      </c>
      <c r="L796">
        <v>50</v>
      </c>
      <c r="M796" t="str">
        <f>IF(OR(I796="",J796="",L796=""),"Incomplete","Complete")</f>
        <v>Complete</v>
      </c>
      <c r="N796" t="str">
        <f>IF(M796="Incomplete","Not checked",IF(ROUND(I796*J796,2)=ROUND(L796,2),"Valid","Mismatch"))</f>
        <v>Valid</v>
      </c>
      <c r="O796">
        <f t="shared" si="25"/>
        <v>35.5</v>
      </c>
    </row>
    <row r="797" spans="1:15">
      <c r="A797">
        <v>912</v>
      </c>
      <c r="B797" t="str">
        <f t="shared" si="24"/>
        <v>2022-10</v>
      </c>
      <c r="C797" s="1">
        <v>44865</v>
      </c>
      <c r="D797" s="5">
        <v>0.26250000000000001</v>
      </c>
      <c r="E797">
        <v>122</v>
      </c>
      <c r="F797" t="s">
        <v>11</v>
      </c>
      <c r="G797">
        <v>51</v>
      </c>
      <c r="H797" t="s">
        <v>13</v>
      </c>
      <c r="I797">
        <v>3</v>
      </c>
      <c r="J797" s="6">
        <v>50</v>
      </c>
      <c r="K797">
        <v>20.5</v>
      </c>
      <c r="L797">
        <v>150</v>
      </c>
      <c r="M797" t="str">
        <f>IF(OR(I797="",J797="",L797=""),"Incomplete","Complete")</f>
        <v>Complete</v>
      </c>
      <c r="N797" t="str">
        <f>IF(M797="Incomplete","Not checked",IF(ROUND(I797*J797,2)=ROUND(L797,2),"Valid","Mismatch"))</f>
        <v>Valid</v>
      </c>
      <c r="O797">
        <f t="shared" si="25"/>
        <v>129.5</v>
      </c>
    </row>
    <row r="798" spans="1:15">
      <c r="A798">
        <v>1912</v>
      </c>
      <c r="B798" t="str">
        <f t="shared" si="24"/>
        <v>2022-05</v>
      </c>
      <c r="C798" s="1">
        <v>44708</v>
      </c>
      <c r="D798" s="5">
        <v>0.31944444444444442</v>
      </c>
      <c r="E798">
        <v>146</v>
      </c>
      <c r="F798" t="s">
        <v>11</v>
      </c>
      <c r="G798">
        <v>51</v>
      </c>
      <c r="H798" t="s">
        <v>13</v>
      </c>
      <c r="I798">
        <v>3</v>
      </c>
      <c r="J798" s="6">
        <v>50</v>
      </c>
      <c r="K798">
        <v>22</v>
      </c>
      <c r="L798">
        <v>150</v>
      </c>
      <c r="M798" t="str">
        <f>IF(OR(I798="",J798="",L798=""),"Incomplete","Complete")</f>
        <v>Complete</v>
      </c>
      <c r="N798" t="str">
        <f>IF(M798="Incomplete","Not checked",IF(ROUND(I798*J798,2)=ROUND(L798,2),"Valid","Mismatch"))</f>
        <v>Valid</v>
      </c>
      <c r="O798">
        <f t="shared" si="25"/>
        <v>128</v>
      </c>
    </row>
    <row r="799" spans="1:15">
      <c r="A799">
        <v>134</v>
      </c>
      <c r="B799" t="str">
        <f t="shared" si="24"/>
        <v>2022-08</v>
      </c>
      <c r="C799" s="1">
        <v>44798</v>
      </c>
      <c r="D799" s="5">
        <v>0.37708333333333333</v>
      </c>
      <c r="E799">
        <v>132</v>
      </c>
      <c r="F799" t="s">
        <v>11</v>
      </c>
      <c r="G799">
        <v>49</v>
      </c>
      <c r="H799" t="s">
        <v>15</v>
      </c>
      <c r="I799">
        <v>1</v>
      </c>
      <c r="J799" s="6">
        <v>50</v>
      </c>
      <c r="K799">
        <v>16</v>
      </c>
      <c r="L799">
        <v>50</v>
      </c>
      <c r="M799" t="str">
        <f>IF(OR(I799="",J799="",L799=""),"Incomplete","Complete")</f>
        <v>Complete</v>
      </c>
      <c r="N799" t="str">
        <f>IF(M799="Incomplete","Not checked",IF(ROUND(I799*J799,2)=ROUND(L799,2),"Valid","Mismatch"))</f>
        <v>Valid</v>
      </c>
      <c r="O799">
        <f t="shared" si="25"/>
        <v>34</v>
      </c>
    </row>
    <row r="800" spans="1:15">
      <c r="A800">
        <v>1134</v>
      </c>
      <c r="B800" t="str">
        <f t="shared" si="24"/>
        <v>2022-08</v>
      </c>
      <c r="C800" s="1">
        <v>44778</v>
      </c>
      <c r="D800" s="5">
        <v>0.37777777777777777</v>
      </c>
      <c r="E800">
        <v>106</v>
      </c>
      <c r="F800" t="s">
        <v>11</v>
      </c>
      <c r="G800">
        <v>49</v>
      </c>
      <c r="H800" t="s">
        <v>15</v>
      </c>
      <c r="I800">
        <v>1</v>
      </c>
      <c r="J800" s="6">
        <v>50</v>
      </c>
      <c r="K800">
        <v>24</v>
      </c>
      <c r="L800">
        <v>50</v>
      </c>
      <c r="M800" t="str">
        <f>IF(OR(I800="",J800="",L800=""),"Incomplete","Complete")</f>
        <v>Complete</v>
      </c>
      <c r="N800" t="str">
        <f>IF(M800="Incomplete","Not checked",IF(ROUND(I800*J800,2)=ROUND(L800,2),"Valid","Mismatch"))</f>
        <v>Valid</v>
      </c>
      <c r="O800">
        <f t="shared" si="25"/>
        <v>26</v>
      </c>
    </row>
    <row r="801" spans="1:15">
      <c r="A801">
        <v>618</v>
      </c>
      <c r="B801" t="str">
        <f t="shared" si="24"/>
        <v>2022-10</v>
      </c>
      <c r="C801" s="1">
        <v>44847</v>
      </c>
      <c r="D801" s="5">
        <v>0.43194444444444446</v>
      </c>
      <c r="E801">
        <v>5</v>
      </c>
      <c r="F801" t="s">
        <v>14</v>
      </c>
      <c r="G801">
        <v>27</v>
      </c>
      <c r="H801" t="s">
        <v>13</v>
      </c>
      <c r="I801">
        <v>1</v>
      </c>
      <c r="J801" s="6">
        <v>50</v>
      </c>
      <c r="K801">
        <v>26</v>
      </c>
      <c r="L801">
        <v>50</v>
      </c>
      <c r="M801" t="str">
        <f>IF(OR(I801="",J801="",L801=""),"Incomplete","Complete")</f>
        <v>Complete</v>
      </c>
      <c r="N801" t="str">
        <f>IF(M801="Incomplete","Not checked",IF(ROUND(I801*J801,2)=ROUND(L801,2),"Valid","Mismatch"))</f>
        <v>Valid</v>
      </c>
      <c r="O801">
        <f t="shared" si="25"/>
        <v>24</v>
      </c>
    </row>
    <row r="802" spans="1:15">
      <c r="A802">
        <v>1618</v>
      </c>
      <c r="B802" t="str">
        <f t="shared" si="24"/>
        <v>2022-09</v>
      </c>
      <c r="C802" s="1">
        <v>44819</v>
      </c>
      <c r="D802" s="5">
        <v>0.26874999999999999</v>
      </c>
      <c r="E802">
        <v>118</v>
      </c>
      <c r="F802" t="s">
        <v>14</v>
      </c>
      <c r="G802">
        <v>27</v>
      </c>
      <c r="H802" t="s">
        <v>13</v>
      </c>
      <c r="I802">
        <v>1</v>
      </c>
      <c r="J802" s="6">
        <v>50</v>
      </c>
      <c r="K802">
        <v>13.5</v>
      </c>
      <c r="L802">
        <v>50</v>
      </c>
      <c r="M802" t="str">
        <f>IF(OR(I802="",J802="",L802=""),"Incomplete","Complete")</f>
        <v>Complete</v>
      </c>
      <c r="N802" t="str">
        <f>IF(M802="Incomplete","Not checked",IF(ROUND(I802*J802,2)=ROUND(L802,2),"Valid","Mismatch"))</f>
        <v>Valid</v>
      </c>
      <c r="O802">
        <f t="shared" si="25"/>
        <v>36.5</v>
      </c>
    </row>
    <row r="803" spans="1:15">
      <c r="A803">
        <v>189</v>
      </c>
      <c r="B803" t="str">
        <f t="shared" si="24"/>
        <v>2022-01</v>
      </c>
      <c r="C803" s="1">
        <v>44563</v>
      </c>
      <c r="D803" s="5">
        <v>0.40555555555555556</v>
      </c>
      <c r="E803">
        <v>143</v>
      </c>
      <c r="F803" t="s">
        <v>11</v>
      </c>
      <c r="G803">
        <v>63</v>
      </c>
      <c r="H803" t="s">
        <v>13</v>
      </c>
      <c r="I803">
        <v>1</v>
      </c>
      <c r="J803" s="6">
        <v>50</v>
      </c>
      <c r="K803">
        <v>14.5</v>
      </c>
      <c r="L803">
        <v>50</v>
      </c>
      <c r="M803" t="str">
        <f>IF(OR(I803="",J803="",L803=""),"Incomplete","Complete")</f>
        <v>Complete</v>
      </c>
      <c r="N803" t="str">
        <f>IF(M803="Incomplete","Not checked",IF(ROUND(I803*J803,2)=ROUND(L803,2),"Valid","Mismatch"))</f>
        <v>Valid</v>
      </c>
      <c r="O803">
        <f t="shared" si="25"/>
        <v>35.5</v>
      </c>
    </row>
    <row r="804" spans="1:15">
      <c r="A804">
        <v>1189</v>
      </c>
      <c r="B804" t="str">
        <f t="shared" si="24"/>
        <v>2022-12</v>
      </c>
      <c r="C804" s="1">
        <v>44902</v>
      </c>
      <c r="D804" s="5">
        <v>0.25555555555555554</v>
      </c>
      <c r="E804">
        <v>104</v>
      </c>
      <c r="F804" t="s">
        <v>11</v>
      </c>
      <c r="G804">
        <v>63</v>
      </c>
      <c r="H804" t="s">
        <v>13</v>
      </c>
      <c r="I804">
        <v>1</v>
      </c>
      <c r="J804" s="6">
        <v>50</v>
      </c>
      <c r="K804">
        <v>20.5</v>
      </c>
      <c r="L804">
        <v>50</v>
      </c>
      <c r="M804" t="str">
        <f>IF(OR(I804="",J804="",L804=""),"Incomplete","Complete")</f>
        <v>Complete</v>
      </c>
      <c r="N804" t="str">
        <f>IF(M804="Incomplete","Not checked",IF(ROUND(I804*J804,2)=ROUND(L804,2),"Valid","Mismatch"))</f>
        <v>Valid</v>
      </c>
      <c r="O804">
        <f t="shared" si="25"/>
        <v>29.5</v>
      </c>
    </row>
    <row r="805" spans="1:15">
      <c r="A805">
        <v>300</v>
      </c>
      <c r="B805" t="str">
        <f t="shared" si="24"/>
        <v>2022-01</v>
      </c>
      <c r="C805" s="1">
        <v>44569</v>
      </c>
      <c r="D805" s="5">
        <v>0.40347222222222223</v>
      </c>
      <c r="E805">
        <v>138</v>
      </c>
      <c r="F805" t="s">
        <v>14</v>
      </c>
      <c r="G805">
        <v>19</v>
      </c>
      <c r="H805" t="s">
        <v>15</v>
      </c>
      <c r="I805">
        <v>4</v>
      </c>
      <c r="J805" s="6">
        <v>50</v>
      </c>
      <c r="K805">
        <v>26.5</v>
      </c>
      <c r="L805">
        <v>200</v>
      </c>
      <c r="M805" t="str">
        <f>IF(OR(I805="",J805="",L805=""),"Incomplete","Complete")</f>
        <v>Complete</v>
      </c>
      <c r="N805" t="str">
        <f>IF(M805="Incomplete","Not checked",IF(ROUND(I805*J805,2)=ROUND(L805,2),"Valid","Mismatch"))</f>
        <v>Valid</v>
      </c>
      <c r="O805">
        <f t="shared" si="25"/>
        <v>173.5</v>
      </c>
    </row>
    <row r="806" spans="1:15">
      <c r="A806">
        <v>1300</v>
      </c>
      <c r="B806" t="str">
        <f t="shared" si="24"/>
        <v>2022-08</v>
      </c>
      <c r="C806" s="1">
        <v>44781</v>
      </c>
      <c r="D806" s="5">
        <v>0.37291666666666667</v>
      </c>
      <c r="E806">
        <v>7</v>
      </c>
      <c r="F806" t="s">
        <v>14</v>
      </c>
      <c r="G806">
        <v>19</v>
      </c>
      <c r="H806" t="s">
        <v>15</v>
      </c>
      <c r="I806">
        <v>4</v>
      </c>
      <c r="J806" s="6">
        <v>50</v>
      </c>
      <c r="K806">
        <v>24</v>
      </c>
      <c r="L806">
        <v>200</v>
      </c>
      <c r="M806" t="str">
        <f>IF(OR(I806="",J806="",L806=""),"Incomplete","Complete")</f>
        <v>Complete</v>
      </c>
      <c r="N806" t="str">
        <f>IF(M806="Incomplete","Not checked",IF(ROUND(I806*J806,2)=ROUND(L806,2),"Valid","Mismatch"))</f>
        <v>Valid</v>
      </c>
      <c r="O806">
        <f t="shared" si="25"/>
        <v>176</v>
      </c>
    </row>
    <row r="807" spans="1:15">
      <c r="A807">
        <v>666</v>
      </c>
      <c r="B807" t="str">
        <f t="shared" si="24"/>
        <v>2022-03</v>
      </c>
      <c r="C807" s="1">
        <v>44623</v>
      </c>
      <c r="D807" s="5">
        <v>0.45763888888888887</v>
      </c>
      <c r="E807">
        <v>49</v>
      </c>
      <c r="F807" t="s">
        <v>11</v>
      </c>
      <c r="G807">
        <v>51</v>
      </c>
      <c r="H807" t="s">
        <v>15</v>
      </c>
      <c r="I807">
        <v>3</v>
      </c>
      <c r="J807" s="6">
        <v>50</v>
      </c>
      <c r="K807">
        <v>16</v>
      </c>
      <c r="L807">
        <v>150</v>
      </c>
      <c r="M807" t="str">
        <f>IF(OR(I807="",J807="",L807=""),"Incomplete","Complete")</f>
        <v>Complete</v>
      </c>
      <c r="N807" t="str">
        <f>IF(M807="Incomplete","Not checked",IF(ROUND(I807*J807,2)=ROUND(L807,2),"Valid","Mismatch"))</f>
        <v>Valid</v>
      </c>
      <c r="O807">
        <f t="shared" si="25"/>
        <v>134</v>
      </c>
    </row>
    <row r="808" spans="1:15">
      <c r="A808">
        <v>1666</v>
      </c>
      <c r="B808" t="str">
        <f t="shared" si="24"/>
        <v>2022-12</v>
      </c>
      <c r="C808" s="1">
        <v>44903</v>
      </c>
      <c r="D808" s="5">
        <v>0.4236111111111111</v>
      </c>
      <c r="E808">
        <v>125</v>
      </c>
      <c r="F808" t="s">
        <v>11</v>
      </c>
      <c r="G808">
        <v>51</v>
      </c>
      <c r="H808" t="s">
        <v>15</v>
      </c>
      <c r="I808">
        <v>3</v>
      </c>
      <c r="J808" s="6">
        <v>50</v>
      </c>
      <c r="K808">
        <v>21</v>
      </c>
      <c r="L808">
        <v>150</v>
      </c>
      <c r="M808" t="str">
        <f>IF(OR(I808="",J808="",L808=""),"Incomplete","Complete")</f>
        <v>Complete</v>
      </c>
      <c r="N808" t="str">
        <f>IF(M808="Incomplete","Not checked",IF(ROUND(I808*J808,2)=ROUND(L808,2),"Valid","Mismatch"))</f>
        <v>Valid</v>
      </c>
      <c r="O808">
        <f t="shared" si="25"/>
        <v>129</v>
      </c>
    </row>
    <row r="809" spans="1:15">
      <c r="A809">
        <v>490</v>
      </c>
      <c r="B809" t="str">
        <f t="shared" si="24"/>
        <v>2022-01</v>
      </c>
      <c r="C809" s="1">
        <v>44588</v>
      </c>
      <c r="D809" s="5">
        <v>0.25486111111111109</v>
      </c>
      <c r="E809">
        <v>43</v>
      </c>
      <c r="F809" t="s">
        <v>11</v>
      </c>
      <c r="G809">
        <v>34</v>
      </c>
      <c r="H809" t="s">
        <v>12</v>
      </c>
      <c r="I809">
        <v>3</v>
      </c>
      <c r="J809" s="6">
        <v>50</v>
      </c>
      <c r="K809">
        <v>18.5</v>
      </c>
      <c r="L809">
        <v>150</v>
      </c>
      <c r="M809" t="str">
        <f>IF(OR(I809="",J809="",L809=""),"Incomplete","Complete")</f>
        <v>Complete</v>
      </c>
      <c r="N809" t="str">
        <f>IF(M809="Incomplete","Not checked",IF(ROUND(I809*J809,2)=ROUND(L809,2),"Valid","Mismatch"))</f>
        <v>Valid</v>
      </c>
      <c r="O809">
        <f t="shared" si="25"/>
        <v>131.5</v>
      </c>
    </row>
    <row r="810" spans="1:15">
      <c r="A810">
        <v>740</v>
      </c>
      <c r="B810" t="str">
        <f t="shared" si="24"/>
        <v>2022-12</v>
      </c>
      <c r="C810" s="1">
        <v>44896</v>
      </c>
      <c r="D810" s="5">
        <v>0.2902777777777778</v>
      </c>
      <c r="E810">
        <v>33</v>
      </c>
      <c r="F810" t="s">
        <v>14</v>
      </c>
      <c r="G810">
        <v>25</v>
      </c>
      <c r="H810" t="s">
        <v>13</v>
      </c>
      <c r="I810">
        <v>4</v>
      </c>
      <c r="J810" s="6">
        <v>50</v>
      </c>
      <c r="K810">
        <v>13</v>
      </c>
      <c r="L810">
        <v>200</v>
      </c>
      <c r="M810" t="str">
        <f>IF(OR(I810="",J810="",L810=""),"Incomplete","Complete")</f>
        <v>Complete</v>
      </c>
      <c r="N810" t="str">
        <f>IF(M810="Incomplete","Not checked",IF(ROUND(I810*J810,2)=ROUND(L810,2),"Valid","Mismatch"))</f>
        <v>Valid</v>
      </c>
      <c r="O810">
        <f t="shared" si="25"/>
        <v>187</v>
      </c>
    </row>
    <row r="811" spans="1:15">
      <c r="A811">
        <v>1490</v>
      </c>
      <c r="B811" t="str">
        <f t="shared" si="24"/>
        <v>2022-10</v>
      </c>
      <c r="C811" s="1">
        <v>44860</v>
      </c>
      <c r="D811" s="5">
        <v>0.30208333333333331</v>
      </c>
      <c r="E811">
        <v>155</v>
      </c>
      <c r="F811" t="s">
        <v>11</v>
      </c>
      <c r="G811">
        <v>34</v>
      </c>
      <c r="H811" t="s">
        <v>12</v>
      </c>
      <c r="I811">
        <v>3</v>
      </c>
      <c r="J811" s="6">
        <v>50</v>
      </c>
      <c r="K811">
        <v>17</v>
      </c>
      <c r="L811">
        <v>150</v>
      </c>
      <c r="M811" t="str">
        <f>IF(OR(I811="",J811="",L811=""),"Incomplete","Complete")</f>
        <v>Complete</v>
      </c>
      <c r="N811" t="str">
        <f>IF(M811="Incomplete","Not checked",IF(ROUND(I811*J811,2)=ROUND(L811,2),"Valid","Mismatch"))</f>
        <v>Valid</v>
      </c>
      <c r="O811">
        <f t="shared" si="25"/>
        <v>133</v>
      </c>
    </row>
    <row r="812" spans="1:15">
      <c r="A812">
        <v>1740</v>
      </c>
      <c r="B812" t="str">
        <f t="shared" si="24"/>
        <v>2022-07</v>
      </c>
      <c r="C812" s="1">
        <v>44758</v>
      </c>
      <c r="D812" s="5">
        <v>0.25069444444444444</v>
      </c>
      <c r="E812">
        <v>66</v>
      </c>
      <c r="F812" t="s">
        <v>14</v>
      </c>
      <c r="G812">
        <v>25</v>
      </c>
      <c r="H812" t="s">
        <v>13</v>
      </c>
      <c r="I812">
        <v>4</v>
      </c>
      <c r="J812" s="6">
        <v>50</v>
      </c>
      <c r="K812">
        <v>27</v>
      </c>
      <c r="L812">
        <v>200</v>
      </c>
      <c r="M812" t="str">
        <f>IF(OR(I812="",J812="",L812=""),"Incomplete","Complete")</f>
        <v>Complete</v>
      </c>
      <c r="N812" t="str">
        <f>IF(M812="Incomplete","Not checked",IF(ROUND(I812*J812,2)=ROUND(L812,2),"Valid","Mismatch"))</f>
        <v>Valid</v>
      </c>
      <c r="O812">
        <f t="shared" si="25"/>
        <v>173</v>
      </c>
    </row>
    <row r="813" spans="1:15">
      <c r="A813">
        <v>85</v>
      </c>
      <c r="B813" t="str">
        <f t="shared" si="24"/>
        <v>2022-09</v>
      </c>
      <c r="C813" s="1">
        <v>44807</v>
      </c>
      <c r="D813" s="5">
        <v>0.33680555555555558</v>
      </c>
      <c r="E813">
        <v>68</v>
      </c>
      <c r="F813" t="s">
        <v>11</v>
      </c>
      <c r="G813">
        <v>31</v>
      </c>
      <c r="H813" t="s">
        <v>12</v>
      </c>
      <c r="I813">
        <v>3</v>
      </c>
      <c r="J813" s="6">
        <v>50</v>
      </c>
      <c r="K813">
        <v>19</v>
      </c>
      <c r="L813">
        <v>150</v>
      </c>
      <c r="M813" t="str">
        <f>IF(OR(I813="",J813="",L813=""),"Incomplete","Complete")</f>
        <v>Complete</v>
      </c>
      <c r="N813" t="str">
        <f>IF(M813="Incomplete","Not checked",IF(ROUND(I813*J813,2)=ROUND(L813,2),"Valid","Mismatch"))</f>
        <v>Valid</v>
      </c>
      <c r="O813">
        <f t="shared" si="25"/>
        <v>131</v>
      </c>
    </row>
    <row r="814" spans="1:15">
      <c r="A814">
        <v>993</v>
      </c>
      <c r="B814" t="str">
        <f t="shared" si="24"/>
        <v>2022-09</v>
      </c>
      <c r="C814" s="1">
        <v>44811</v>
      </c>
      <c r="D814" s="5">
        <v>0.38958333333333334</v>
      </c>
      <c r="E814">
        <v>134</v>
      </c>
      <c r="F814" t="s">
        <v>14</v>
      </c>
      <c r="G814">
        <v>48</v>
      </c>
      <c r="H814" t="s">
        <v>15</v>
      </c>
      <c r="I814">
        <v>3</v>
      </c>
      <c r="J814" s="6">
        <v>50</v>
      </c>
      <c r="K814">
        <v>17</v>
      </c>
      <c r="L814">
        <v>150</v>
      </c>
      <c r="M814" t="str">
        <f>IF(OR(I814="",J814="",L814=""),"Incomplete","Complete")</f>
        <v>Complete</v>
      </c>
      <c r="N814" t="str">
        <f>IF(M814="Incomplete","Not checked",IF(ROUND(I814*J814,2)=ROUND(L814,2),"Valid","Mismatch"))</f>
        <v>Valid</v>
      </c>
      <c r="O814">
        <f t="shared" si="25"/>
        <v>133</v>
      </c>
    </row>
    <row r="815" spans="1:15">
      <c r="A815">
        <v>1085</v>
      </c>
      <c r="B815" t="str">
        <f t="shared" si="24"/>
        <v>2022-08</v>
      </c>
      <c r="C815" s="1">
        <v>44785</v>
      </c>
      <c r="D815" s="5">
        <v>0.39513888888888887</v>
      </c>
      <c r="E815">
        <v>76</v>
      </c>
      <c r="F815" t="s">
        <v>11</v>
      </c>
      <c r="G815">
        <v>31</v>
      </c>
      <c r="H815" t="s">
        <v>12</v>
      </c>
      <c r="I815">
        <v>3</v>
      </c>
      <c r="J815" s="6">
        <v>50</v>
      </c>
      <c r="K815">
        <v>17</v>
      </c>
      <c r="L815">
        <v>150</v>
      </c>
      <c r="M815" t="str">
        <f>IF(OR(I815="",J815="",L815=""),"Incomplete","Complete")</f>
        <v>Complete</v>
      </c>
      <c r="N815" t="str">
        <f>IF(M815="Incomplete","Not checked",IF(ROUND(I815*J815,2)=ROUND(L815,2),"Valid","Mismatch"))</f>
        <v>Valid</v>
      </c>
      <c r="O815">
        <f t="shared" si="25"/>
        <v>133</v>
      </c>
    </row>
    <row r="816" spans="1:15">
      <c r="A816">
        <v>1993</v>
      </c>
      <c r="B816" t="str">
        <f t="shared" si="24"/>
        <v>2022-12</v>
      </c>
      <c r="C816" s="1">
        <v>44924</v>
      </c>
      <c r="D816" s="5">
        <v>0.49513888888888891</v>
      </c>
      <c r="E816">
        <v>123</v>
      </c>
      <c r="F816" t="s">
        <v>14</v>
      </c>
      <c r="G816">
        <v>48</v>
      </c>
      <c r="H816" t="s">
        <v>15</v>
      </c>
      <c r="I816">
        <v>3</v>
      </c>
      <c r="J816" s="6">
        <v>50</v>
      </c>
      <c r="K816">
        <v>26.5</v>
      </c>
      <c r="L816">
        <v>150</v>
      </c>
      <c r="M816" t="str">
        <f>IF(OR(I816="",J816="",L816=""),"Incomplete","Complete")</f>
        <v>Complete</v>
      </c>
      <c r="N816" t="str">
        <f>IF(M816="Incomplete","Not checked",IF(ROUND(I816*J816,2)=ROUND(L816,2),"Valid","Mismatch"))</f>
        <v>Valid</v>
      </c>
      <c r="O816">
        <f t="shared" si="25"/>
        <v>123.5</v>
      </c>
    </row>
    <row r="817" spans="1:15">
      <c r="A817">
        <v>366</v>
      </c>
      <c r="B817" t="str">
        <f t="shared" si="24"/>
        <v>2022-10</v>
      </c>
      <c r="C817" s="1">
        <v>44863</v>
      </c>
      <c r="D817" s="5">
        <v>0.3972222222222222</v>
      </c>
      <c r="E817">
        <v>116</v>
      </c>
      <c r="F817" t="s">
        <v>11</v>
      </c>
      <c r="G817">
        <v>57</v>
      </c>
      <c r="H817" t="s">
        <v>12</v>
      </c>
      <c r="I817">
        <v>2</v>
      </c>
      <c r="J817" s="6">
        <v>50</v>
      </c>
      <c r="K817">
        <v>17.5</v>
      </c>
      <c r="L817">
        <v>100</v>
      </c>
      <c r="M817" t="str">
        <f>IF(OR(I817="",J817="",L817=""),"Incomplete","Complete")</f>
        <v>Complete</v>
      </c>
      <c r="N817" t="str">
        <f>IF(M817="Incomplete","Not checked",IF(ROUND(I817*J817,2)=ROUND(L817,2),"Valid","Mismatch"))</f>
        <v>Valid</v>
      </c>
      <c r="O817">
        <f t="shared" si="25"/>
        <v>82.5</v>
      </c>
    </row>
    <row r="818" spans="1:15">
      <c r="A818">
        <v>936</v>
      </c>
      <c r="B818" t="str">
        <f t="shared" si="24"/>
        <v>2022-01</v>
      </c>
      <c r="C818" s="1">
        <v>44566</v>
      </c>
      <c r="D818" s="5">
        <v>0.45208333333333334</v>
      </c>
      <c r="E818">
        <v>143</v>
      </c>
      <c r="F818" t="s">
        <v>11</v>
      </c>
      <c r="G818">
        <v>57</v>
      </c>
      <c r="H818" t="s">
        <v>13</v>
      </c>
      <c r="I818">
        <v>4</v>
      </c>
      <c r="J818" s="6">
        <v>50</v>
      </c>
      <c r="K818">
        <v>19.5</v>
      </c>
      <c r="L818">
        <v>200</v>
      </c>
      <c r="M818" t="str">
        <f>IF(OR(I818="",J818="",L818=""),"Incomplete","Complete")</f>
        <v>Complete</v>
      </c>
      <c r="N818" t="str">
        <f>IF(M818="Incomplete","Not checked",IF(ROUND(I818*J818,2)=ROUND(L818,2),"Valid","Mismatch"))</f>
        <v>Valid</v>
      </c>
      <c r="O818">
        <f t="shared" si="25"/>
        <v>180.5</v>
      </c>
    </row>
    <row r="819" spans="1:15">
      <c r="A819">
        <v>1366</v>
      </c>
      <c r="B819" t="str">
        <f t="shared" si="24"/>
        <v>2022-01</v>
      </c>
      <c r="C819" s="1">
        <v>44562</v>
      </c>
      <c r="D819" s="5">
        <v>0.48194444444444445</v>
      </c>
      <c r="E819">
        <v>25</v>
      </c>
      <c r="F819" t="s">
        <v>11</v>
      </c>
      <c r="G819">
        <v>57</v>
      </c>
      <c r="H819" t="s">
        <v>12</v>
      </c>
      <c r="I819">
        <v>2</v>
      </c>
      <c r="J819" s="6">
        <v>50</v>
      </c>
      <c r="K819">
        <v>23.5</v>
      </c>
      <c r="L819">
        <v>100</v>
      </c>
      <c r="M819" t="str">
        <f>IF(OR(I819="",J819="",L819=""),"Incomplete","Complete")</f>
        <v>Complete</v>
      </c>
      <c r="N819" t="str">
        <f>IF(M819="Incomplete","Not checked",IF(ROUND(I819*J819,2)=ROUND(L819,2),"Valid","Mismatch"))</f>
        <v>Valid</v>
      </c>
      <c r="O819">
        <f t="shared" si="25"/>
        <v>76.5</v>
      </c>
    </row>
    <row r="820" spans="1:15">
      <c r="A820">
        <v>1936</v>
      </c>
      <c r="B820" t="str">
        <f t="shared" si="24"/>
        <v>2022-06</v>
      </c>
      <c r="C820" s="1">
        <v>44731</v>
      </c>
      <c r="D820" s="5">
        <v>0.48055555555555557</v>
      </c>
      <c r="E820">
        <v>60</v>
      </c>
      <c r="F820" t="s">
        <v>11</v>
      </c>
      <c r="G820">
        <v>57</v>
      </c>
      <c r="H820" t="s">
        <v>13</v>
      </c>
      <c r="I820">
        <v>4</v>
      </c>
      <c r="J820" s="6">
        <v>50</v>
      </c>
      <c r="K820">
        <v>12.5</v>
      </c>
      <c r="L820">
        <v>200</v>
      </c>
      <c r="M820" t="str">
        <f>IF(OR(I820="",J820="",L820=""),"Incomplete","Complete")</f>
        <v>Complete</v>
      </c>
      <c r="N820" t="str">
        <f>IF(M820="Incomplete","Not checked",IF(ROUND(I820*J820,2)=ROUND(L820,2),"Valid","Mismatch"))</f>
        <v>Valid</v>
      </c>
      <c r="O820">
        <f t="shared" si="25"/>
        <v>187.5</v>
      </c>
    </row>
    <row r="821" spans="1:15">
      <c r="A821">
        <v>284</v>
      </c>
      <c r="B821" t="str">
        <f t="shared" si="24"/>
        <v>2022-11</v>
      </c>
      <c r="C821" s="1">
        <v>44877</v>
      </c>
      <c r="D821" s="5">
        <v>0.38680555555555557</v>
      </c>
      <c r="E821">
        <v>129</v>
      </c>
      <c r="F821" t="s">
        <v>11</v>
      </c>
      <c r="G821">
        <v>43</v>
      </c>
      <c r="H821" t="s">
        <v>12</v>
      </c>
      <c r="I821">
        <v>4</v>
      </c>
      <c r="J821" s="6">
        <v>50</v>
      </c>
      <c r="K821">
        <v>20.5</v>
      </c>
      <c r="L821">
        <v>200</v>
      </c>
      <c r="M821" t="str">
        <f>IF(OR(I821="",J821="",L821=""),"Incomplete","Complete")</f>
        <v>Complete</v>
      </c>
      <c r="N821" t="str">
        <f>IF(M821="Incomplete","Not checked",IF(ROUND(I821*J821,2)=ROUND(L821,2),"Valid","Mismatch"))</f>
        <v>Valid</v>
      </c>
      <c r="O821">
        <f t="shared" si="25"/>
        <v>179.5</v>
      </c>
    </row>
    <row r="822" spans="1:15">
      <c r="A822">
        <v>1284</v>
      </c>
      <c r="B822" t="str">
        <f t="shared" si="24"/>
        <v>2022-12</v>
      </c>
      <c r="C822" s="1">
        <v>44911</v>
      </c>
      <c r="D822" s="5">
        <v>0.48819444444444443</v>
      </c>
      <c r="E822">
        <v>145</v>
      </c>
      <c r="F822" t="s">
        <v>11</v>
      </c>
      <c r="G822">
        <v>43</v>
      </c>
      <c r="H822" t="s">
        <v>12</v>
      </c>
      <c r="I822">
        <v>4</v>
      </c>
      <c r="J822" s="6">
        <v>50</v>
      </c>
      <c r="K822">
        <v>18</v>
      </c>
      <c r="L822">
        <v>200</v>
      </c>
      <c r="M822" t="str">
        <f>IF(OR(I822="",J822="",L822=""),"Incomplete","Complete")</f>
        <v>Complete</v>
      </c>
      <c r="N822" t="str">
        <f>IF(M822="Incomplete","Not checked",IF(ROUND(I822*J822,2)=ROUND(L822,2),"Valid","Mismatch"))</f>
        <v>Valid</v>
      </c>
      <c r="O822">
        <f t="shared" si="25"/>
        <v>182</v>
      </c>
    </row>
    <row r="823" spans="1:15">
      <c r="A823">
        <v>192</v>
      </c>
      <c r="B823" t="str">
        <f t="shared" si="24"/>
        <v>2022-11</v>
      </c>
      <c r="C823" s="1">
        <v>44873</v>
      </c>
      <c r="D823" s="5">
        <v>0.33680555555555558</v>
      </c>
      <c r="E823">
        <v>134</v>
      </c>
      <c r="F823" t="s">
        <v>11</v>
      </c>
      <c r="G823">
        <v>62</v>
      </c>
      <c r="H823" t="s">
        <v>13</v>
      </c>
      <c r="I823">
        <v>2</v>
      </c>
      <c r="J823" s="6">
        <v>50</v>
      </c>
      <c r="K823">
        <v>13</v>
      </c>
      <c r="L823">
        <v>100</v>
      </c>
      <c r="M823" t="str">
        <f>IF(OR(I823="",J823="",L823=""),"Incomplete","Complete")</f>
        <v>Complete</v>
      </c>
      <c r="N823" t="str">
        <f>IF(M823="Incomplete","Not checked",IF(ROUND(I823*J823,2)=ROUND(L823,2),"Valid","Mismatch"))</f>
        <v>Valid</v>
      </c>
      <c r="O823">
        <f t="shared" si="25"/>
        <v>87</v>
      </c>
    </row>
    <row r="824" spans="1:15">
      <c r="A824">
        <v>1192</v>
      </c>
      <c r="B824" t="str">
        <f t="shared" si="24"/>
        <v>2022-03</v>
      </c>
      <c r="C824" s="1">
        <v>44649</v>
      </c>
      <c r="D824" s="5">
        <v>0.36180555555555555</v>
      </c>
      <c r="E824">
        <v>37</v>
      </c>
      <c r="F824" t="s">
        <v>11</v>
      </c>
      <c r="G824">
        <v>62</v>
      </c>
      <c r="H824" t="s">
        <v>13</v>
      </c>
      <c r="I824">
        <v>2</v>
      </c>
      <c r="J824" s="6">
        <v>50</v>
      </c>
      <c r="K824">
        <v>20.5</v>
      </c>
      <c r="L824">
        <v>100</v>
      </c>
      <c r="M824" t="str">
        <f>IF(OR(I824="",J824="",L824=""),"Incomplete","Complete")</f>
        <v>Complete</v>
      </c>
      <c r="N824" t="str">
        <f>IF(M824="Incomplete","Not checked",IF(ROUND(I824*J824,2)=ROUND(L824,2),"Valid","Mismatch"))</f>
        <v>Valid</v>
      </c>
      <c r="O824">
        <f t="shared" si="25"/>
        <v>79.5</v>
      </c>
    </row>
    <row r="825" spans="1:15">
      <c r="A825">
        <v>11</v>
      </c>
      <c r="B825" t="str">
        <f t="shared" si="24"/>
        <v>2022-02</v>
      </c>
      <c r="C825" s="1">
        <v>44619</v>
      </c>
      <c r="D825" s="5">
        <v>0.4375</v>
      </c>
      <c r="E825">
        <v>151</v>
      </c>
      <c r="F825" t="s">
        <v>11</v>
      </c>
      <c r="G825">
        <v>23</v>
      </c>
      <c r="H825" t="s">
        <v>12</v>
      </c>
      <c r="I825">
        <v>2</v>
      </c>
      <c r="J825" s="6">
        <v>50</v>
      </c>
      <c r="K825">
        <v>23.5</v>
      </c>
      <c r="L825">
        <v>100</v>
      </c>
      <c r="M825" t="str">
        <f>IF(OR(I825="",J825="",L825=""),"Incomplete","Complete")</f>
        <v>Complete</v>
      </c>
      <c r="N825" t="str">
        <f>IF(M825="Incomplete","Not checked",IF(ROUND(I825*J825,2)=ROUND(L825,2),"Valid","Mismatch"))</f>
        <v>Valid</v>
      </c>
      <c r="O825">
        <f t="shared" si="25"/>
        <v>76.5</v>
      </c>
    </row>
    <row r="826" spans="1:15">
      <c r="A826">
        <v>1011</v>
      </c>
      <c r="B826" t="str">
        <f t="shared" si="24"/>
        <v>2022-04</v>
      </c>
      <c r="C826" s="1">
        <v>44652</v>
      </c>
      <c r="D826" s="5">
        <v>0.28333333333333333</v>
      </c>
      <c r="E826">
        <v>15</v>
      </c>
      <c r="F826" t="s">
        <v>11</v>
      </c>
      <c r="G826">
        <v>23</v>
      </c>
      <c r="H826" t="s">
        <v>12</v>
      </c>
      <c r="I826">
        <v>2</v>
      </c>
      <c r="J826" s="6">
        <v>50</v>
      </c>
      <c r="K826">
        <v>19</v>
      </c>
      <c r="L826">
        <v>100</v>
      </c>
      <c r="M826" t="str">
        <f>IF(OR(I826="",J826="",L826=""),"Incomplete","Complete")</f>
        <v>Complete</v>
      </c>
      <c r="N826" t="str">
        <f>IF(M826="Incomplete","Not checked",IF(ROUND(I826*J826,2)=ROUND(L826,2),"Valid","Mismatch"))</f>
        <v>Valid</v>
      </c>
      <c r="O826">
        <f t="shared" si="25"/>
        <v>81</v>
      </c>
    </row>
    <row r="827" spans="1:15">
      <c r="A827">
        <v>584</v>
      </c>
      <c r="B827" t="str">
        <f t="shared" si="24"/>
        <v>2022-12</v>
      </c>
      <c r="C827" s="1">
        <v>44926</v>
      </c>
      <c r="D827" s="5">
        <v>0.43125000000000002</v>
      </c>
      <c r="E827">
        <v>106</v>
      </c>
      <c r="F827" t="s">
        <v>14</v>
      </c>
      <c r="G827">
        <v>27</v>
      </c>
      <c r="H827" t="s">
        <v>13</v>
      </c>
      <c r="I827">
        <v>4</v>
      </c>
      <c r="J827" s="6">
        <v>50</v>
      </c>
      <c r="K827">
        <v>16.5</v>
      </c>
      <c r="L827">
        <v>200</v>
      </c>
      <c r="M827" t="str">
        <f>IF(OR(I827="",J827="",L827=""),"Incomplete","Complete")</f>
        <v>Complete</v>
      </c>
      <c r="N827" t="str">
        <f>IF(M827="Incomplete","Not checked",IF(ROUND(I827*J827,2)=ROUND(L827,2),"Valid","Mismatch"))</f>
        <v>Valid</v>
      </c>
      <c r="O827">
        <f t="shared" si="25"/>
        <v>183.5</v>
      </c>
    </row>
    <row r="828" spans="1:15">
      <c r="A828">
        <v>1584</v>
      </c>
      <c r="B828" t="str">
        <f t="shared" si="24"/>
        <v>2022-09</v>
      </c>
      <c r="C828" s="1">
        <v>44807</v>
      </c>
      <c r="D828" s="5">
        <v>0.46319444444444446</v>
      </c>
      <c r="E828">
        <v>62</v>
      </c>
      <c r="F828" t="s">
        <v>14</v>
      </c>
      <c r="G828">
        <v>27</v>
      </c>
      <c r="H828" t="s">
        <v>13</v>
      </c>
      <c r="I828">
        <v>4</v>
      </c>
      <c r="J828" s="6">
        <v>50</v>
      </c>
      <c r="K828">
        <v>16.5</v>
      </c>
      <c r="L828">
        <v>200</v>
      </c>
      <c r="M828" t="str">
        <f>IF(OR(I828="",J828="",L828=""),"Incomplete","Complete")</f>
        <v>Complete</v>
      </c>
      <c r="N828" t="str">
        <f>IF(M828="Incomplete","Not checked",IF(ROUND(I828*J828,2)=ROUND(L828,2),"Valid","Mismatch"))</f>
        <v>Valid</v>
      </c>
      <c r="O828">
        <f t="shared" si="25"/>
        <v>183.5</v>
      </c>
    </row>
    <row r="829" spans="1:15">
      <c r="A829">
        <v>400</v>
      </c>
      <c r="B829" t="str">
        <f t="shared" si="24"/>
        <v>2022-03</v>
      </c>
      <c r="C829" s="1">
        <v>44628</v>
      </c>
      <c r="D829" s="5">
        <v>0.41111111111111109</v>
      </c>
      <c r="E829">
        <v>2</v>
      </c>
      <c r="F829" t="s">
        <v>11</v>
      </c>
      <c r="G829">
        <v>53</v>
      </c>
      <c r="H829" t="s">
        <v>12</v>
      </c>
      <c r="I829">
        <v>4</v>
      </c>
      <c r="J829" s="6">
        <v>50</v>
      </c>
      <c r="K829">
        <v>24</v>
      </c>
      <c r="L829">
        <v>200</v>
      </c>
      <c r="M829" t="str">
        <f>IF(OR(I829="",J829="",L829=""),"Incomplete","Complete")</f>
        <v>Complete</v>
      </c>
      <c r="N829" t="str">
        <f>IF(M829="Incomplete","Not checked",IF(ROUND(I829*J829,2)=ROUND(L829,2),"Valid","Mismatch"))</f>
        <v>Valid</v>
      </c>
      <c r="O829">
        <f t="shared" si="25"/>
        <v>176</v>
      </c>
    </row>
    <row r="830" spans="1:15">
      <c r="A830">
        <v>1400</v>
      </c>
      <c r="B830" t="str">
        <f t="shared" si="24"/>
        <v>2022-09</v>
      </c>
      <c r="C830" s="1">
        <v>44816</v>
      </c>
      <c r="D830" s="5">
        <v>0.49583333333333335</v>
      </c>
      <c r="E830">
        <v>115</v>
      </c>
      <c r="F830" t="s">
        <v>11</v>
      </c>
      <c r="G830">
        <v>53</v>
      </c>
      <c r="H830" t="s">
        <v>12</v>
      </c>
      <c r="I830">
        <v>4</v>
      </c>
      <c r="J830" s="6">
        <v>50</v>
      </c>
      <c r="K830">
        <v>20</v>
      </c>
      <c r="L830">
        <v>200</v>
      </c>
      <c r="M830" t="str">
        <f>IF(OR(I830="",J830="",L830=""),"Incomplete","Complete")</f>
        <v>Complete</v>
      </c>
      <c r="N830" t="str">
        <f>IF(M830="Incomplete","Not checked",IF(ROUND(I830*J830,2)=ROUND(L830,2),"Valid","Mismatch"))</f>
        <v>Valid</v>
      </c>
      <c r="O830">
        <f t="shared" si="25"/>
        <v>180</v>
      </c>
    </row>
    <row r="831" spans="1:15">
      <c r="A831">
        <v>272</v>
      </c>
      <c r="B831" t="str">
        <f t="shared" si="24"/>
        <v>2022-06</v>
      </c>
      <c r="C831" s="1">
        <v>44722</v>
      </c>
      <c r="D831" s="5">
        <v>0.49791666666666667</v>
      </c>
      <c r="E831">
        <v>112</v>
      </c>
      <c r="F831" t="s">
        <v>14</v>
      </c>
      <c r="G831">
        <v>61</v>
      </c>
      <c r="H831" t="s">
        <v>15</v>
      </c>
      <c r="I831">
        <v>2</v>
      </c>
      <c r="J831" s="6">
        <v>50</v>
      </c>
      <c r="K831">
        <v>27.5</v>
      </c>
      <c r="L831">
        <v>100</v>
      </c>
      <c r="M831" t="str">
        <f>IF(OR(I831="",J831="",L831=""),"Incomplete","Complete")</f>
        <v>Complete</v>
      </c>
      <c r="N831" t="str">
        <f>IF(M831="Incomplete","Not checked",IF(ROUND(I831*J831,2)=ROUND(L831,2),"Valid","Mismatch"))</f>
        <v>Valid</v>
      </c>
      <c r="O831">
        <f t="shared" si="25"/>
        <v>72.5</v>
      </c>
    </row>
    <row r="832" spans="1:15">
      <c r="A832">
        <v>473</v>
      </c>
      <c r="B832" t="str">
        <f t="shared" si="24"/>
        <v>2022-09</v>
      </c>
      <c r="C832" s="1">
        <v>44829</v>
      </c>
      <c r="D832" s="5">
        <v>0.42291666666666666</v>
      </c>
      <c r="E832">
        <v>1</v>
      </c>
      <c r="F832" t="s">
        <v>11</v>
      </c>
      <c r="G832">
        <v>64</v>
      </c>
      <c r="H832" t="s">
        <v>13</v>
      </c>
      <c r="I832">
        <v>1</v>
      </c>
      <c r="J832" s="6">
        <v>50</v>
      </c>
      <c r="K832">
        <v>14.5</v>
      </c>
      <c r="L832">
        <v>50</v>
      </c>
      <c r="M832" t="str">
        <f>IF(OR(I832="",J832="",L832=""),"Incomplete","Complete")</f>
        <v>Complete</v>
      </c>
      <c r="N832" t="str">
        <f>IF(M832="Incomplete","Not checked",IF(ROUND(I832*J832,2)=ROUND(L832,2),"Valid","Mismatch"))</f>
        <v>Valid</v>
      </c>
      <c r="O832">
        <f t="shared" si="25"/>
        <v>35.5</v>
      </c>
    </row>
    <row r="833" spans="1:15">
      <c r="A833">
        <v>1272</v>
      </c>
      <c r="B833" t="str">
        <f t="shared" si="24"/>
        <v>2022-04</v>
      </c>
      <c r="C833" s="1">
        <v>44665</v>
      </c>
      <c r="D833" s="5">
        <v>0.49930555555555556</v>
      </c>
      <c r="E833">
        <v>66</v>
      </c>
      <c r="F833" t="s">
        <v>14</v>
      </c>
      <c r="G833">
        <v>61</v>
      </c>
      <c r="H833" t="s">
        <v>15</v>
      </c>
      <c r="I833">
        <v>2</v>
      </c>
      <c r="J833" s="6">
        <v>50</v>
      </c>
      <c r="K833">
        <v>17</v>
      </c>
      <c r="L833">
        <v>100</v>
      </c>
      <c r="M833" t="str">
        <f>IF(OR(I833="",J833="",L833=""),"Incomplete","Complete")</f>
        <v>Complete</v>
      </c>
      <c r="N833" t="str">
        <f>IF(M833="Incomplete","Not checked",IF(ROUND(I833*J833,2)=ROUND(L833,2),"Valid","Mismatch"))</f>
        <v>Valid</v>
      </c>
      <c r="O833">
        <f t="shared" si="25"/>
        <v>83</v>
      </c>
    </row>
    <row r="834" spans="1:15">
      <c r="A834">
        <v>1473</v>
      </c>
      <c r="B834" t="str">
        <f t="shared" ref="B834:B897" si="26">TEXT(C834,"yyyy-mm")</f>
        <v>2022-03</v>
      </c>
      <c r="C834" s="1">
        <v>44639</v>
      </c>
      <c r="D834" s="5">
        <v>0.37916666666666665</v>
      </c>
      <c r="E834">
        <v>30</v>
      </c>
      <c r="F834" t="s">
        <v>11</v>
      </c>
      <c r="G834">
        <v>64</v>
      </c>
      <c r="H834" t="s">
        <v>13</v>
      </c>
      <c r="I834">
        <v>1</v>
      </c>
      <c r="J834" s="6">
        <v>50</v>
      </c>
      <c r="K834">
        <v>13</v>
      </c>
      <c r="L834">
        <v>50</v>
      </c>
      <c r="M834" t="str">
        <f>IF(OR(I834="",J834="",L834=""),"Incomplete","Complete")</f>
        <v>Complete</v>
      </c>
      <c r="N834" t="str">
        <f>IF(M834="Incomplete","Not checked",IF(ROUND(I834*J834,2)=ROUND(L834,2),"Valid","Mismatch"))</f>
        <v>Valid</v>
      </c>
      <c r="O834">
        <f t="shared" ref="O834:O897" si="27">IF(M834="Incomplete","",L834-K834)</f>
        <v>37</v>
      </c>
    </row>
    <row r="835" spans="1:15">
      <c r="A835">
        <v>433</v>
      </c>
      <c r="B835" t="str">
        <f t="shared" si="26"/>
        <v>2022-07</v>
      </c>
      <c r="C835" s="1">
        <v>44771</v>
      </c>
      <c r="D835" s="5">
        <v>0.36666666666666664</v>
      </c>
      <c r="E835">
        <v>144</v>
      </c>
      <c r="F835" t="s">
        <v>11</v>
      </c>
      <c r="G835">
        <v>29</v>
      </c>
      <c r="H835" t="s">
        <v>13</v>
      </c>
      <c r="I835">
        <v>4</v>
      </c>
      <c r="J835" s="6">
        <v>50</v>
      </c>
      <c r="K835">
        <v>20</v>
      </c>
      <c r="L835">
        <v>200</v>
      </c>
      <c r="M835" t="str">
        <f>IF(OR(I835="",J835="",L835=""),"Incomplete","Complete")</f>
        <v>Complete</v>
      </c>
      <c r="N835" t="str">
        <f>IF(M835="Incomplete","Not checked",IF(ROUND(I835*J835,2)=ROUND(L835,2),"Valid","Mismatch"))</f>
        <v>Valid</v>
      </c>
      <c r="O835">
        <f t="shared" si="27"/>
        <v>180</v>
      </c>
    </row>
    <row r="836" spans="1:15">
      <c r="A836">
        <v>1433</v>
      </c>
      <c r="B836" t="str">
        <f t="shared" si="26"/>
        <v>2022-01</v>
      </c>
      <c r="C836" s="1">
        <v>44577</v>
      </c>
      <c r="D836" s="5">
        <v>0.48680555555555555</v>
      </c>
      <c r="E836">
        <v>113</v>
      </c>
      <c r="F836" t="s">
        <v>11</v>
      </c>
      <c r="G836">
        <v>29</v>
      </c>
      <c r="H836" t="s">
        <v>13</v>
      </c>
      <c r="I836">
        <v>4</v>
      </c>
      <c r="J836" s="6">
        <v>50</v>
      </c>
      <c r="K836">
        <v>15.5</v>
      </c>
      <c r="L836">
        <v>200</v>
      </c>
      <c r="M836" t="str">
        <f>IF(OR(I836="",J836="",L836=""),"Incomplete","Complete")</f>
        <v>Complete</v>
      </c>
      <c r="N836" t="str">
        <f>IF(M836="Incomplete","Not checked",IF(ROUND(I836*J836,2)=ROUND(L836,2),"Valid","Mismatch"))</f>
        <v>Valid</v>
      </c>
      <c r="O836">
        <f t="shared" si="27"/>
        <v>184.5</v>
      </c>
    </row>
    <row r="837" spans="1:15">
      <c r="A837">
        <v>785</v>
      </c>
      <c r="B837" t="str">
        <f t="shared" si="26"/>
        <v>2022-10</v>
      </c>
      <c r="C837" s="1">
        <v>44853</v>
      </c>
      <c r="D837" s="5">
        <v>0.25624999999999998</v>
      </c>
      <c r="E837">
        <v>88</v>
      </c>
      <c r="F837" t="s">
        <v>14</v>
      </c>
      <c r="G837">
        <v>31</v>
      </c>
      <c r="H837" t="s">
        <v>13</v>
      </c>
      <c r="I837">
        <v>4</v>
      </c>
      <c r="J837" s="6">
        <v>50</v>
      </c>
      <c r="K837">
        <v>13</v>
      </c>
      <c r="L837">
        <v>200</v>
      </c>
      <c r="M837" t="str">
        <f>IF(OR(I837="",J837="",L837=""),"Incomplete","Complete")</f>
        <v>Complete</v>
      </c>
      <c r="N837" t="str">
        <f>IF(M837="Incomplete","Not checked",IF(ROUND(I837*J837,2)=ROUND(L837,2),"Valid","Mismatch"))</f>
        <v>Valid</v>
      </c>
      <c r="O837">
        <f t="shared" si="27"/>
        <v>187</v>
      </c>
    </row>
    <row r="838" spans="1:15">
      <c r="A838">
        <v>1785</v>
      </c>
      <c r="B838" t="str">
        <f t="shared" si="26"/>
        <v>2022-02</v>
      </c>
      <c r="C838" s="1">
        <v>44612</v>
      </c>
      <c r="D838" s="5">
        <v>0.47013888888888888</v>
      </c>
      <c r="E838">
        <v>144</v>
      </c>
      <c r="F838" t="s">
        <v>14</v>
      </c>
      <c r="G838">
        <v>31</v>
      </c>
      <c r="H838" t="s">
        <v>13</v>
      </c>
      <c r="I838">
        <v>4</v>
      </c>
      <c r="J838" s="6">
        <v>50</v>
      </c>
      <c r="K838">
        <v>17</v>
      </c>
      <c r="L838">
        <v>200</v>
      </c>
      <c r="M838" t="str">
        <f>IF(OR(I838="",J838="",L838=""),"Incomplete","Complete")</f>
        <v>Complete</v>
      </c>
      <c r="N838" t="str">
        <f>IF(M838="Incomplete","Not checked",IF(ROUND(I838*J838,2)=ROUND(L838,2),"Valid","Mismatch"))</f>
        <v>Valid</v>
      </c>
      <c r="O838">
        <f t="shared" si="27"/>
        <v>183</v>
      </c>
    </row>
    <row r="839" spans="1:15">
      <c r="A839">
        <v>197</v>
      </c>
      <c r="B839" t="str">
        <f t="shared" si="26"/>
        <v>2022-04</v>
      </c>
      <c r="C839" s="1">
        <v>44654</v>
      </c>
      <c r="D839" s="5">
        <v>0.49791666666666667</v>
      </c>
      <c r="E839">
        <v>14</v>
      </c>
      <c r="F839" t="s">
        <v>14</v>
      </c>
      <c r="G839">
        <v>42</v>
      </c>
      <c r="H839" t="s">
        <v>12</v>
      </c>
      <c r="I839">
        <v>4</v>
      </c>
      <c r="J839" s="6">
        <v>50</v>
      </c>
      <c r="K839">
        <v>25.5</v>
      </c>
      <c r="L839">
        <v>200</v>
      </c>
      <c r="M839" t="str">
        <f>IF(OR(I839="",J839="",L839=""),"Incomplete","Complete")</f>
        <v>Complete</v>
      </c>
      <c r="N839" t="str">
        <f>IF(M839="Incomplete","Not checked",IF(ROUND(I839*J839,2)=ROUND(L839,2),"Valid","Mismatch"))</f>
        <v>Valid</v>
      </c>
      <c r="O839">
        <f t="shared" si="27"/>
        <v>174.5</v>
      </c>
    </row>
    <row r="840" spans="1:15">
      <c r="A840">
        <v>910</v>
      </c>
      <c r="B840" t="str">
        <f t="shared" si="26"/>
        <v>2022-08</v>
      </c>
      <c r="C840" s="1">
        <v>44794</v>
      </c>
      <c r="D840" s="5">
        <v>0.27013888888888887</v>
      </c>
      <c r="E840">
        <v>138</v>
      </c>
      <c r="F840" t="s">
        <v>14</v>
      </c>
      <c r="G840">
        <v>20</v>
      </c>
      <c r="H840" t="s">
        <v>13</v>
      </c>
      <c r="I840">
        <v>3</v>
      </c>
      <c r="J840" s="6">
        <v>50</v>
      </c>
      <c r="K840">
        <v>22.5</v>
      </c>
      <c r="L840">
        <v>150</v>
      </c>
      <c r="M840" t="str">
        <f>IF(OR(I840="",J840="",L840=""),"Incomplete","Complete")</f>
        <v>Complete</v>
      </c>
      <c r="N840" t="str">
        <f>IF(M840="Incomplete","Not checked",IF(ROUND(I840*J840,2)=ROUND(L840,2),"Valid","Mismatch"))</f>
        <v>Valid</v>
      </c>
      <c r="O840">
        <f t="shared" si="27"/>
        <v>127.5</v>
      </c>
    </row>
    <row r="841" spans="1:15">
      <c r="A841">
        <v>917</v>
      </c>
      <c r="B841" t="str">
        <f t="shared" si="26"/>
        <v>2022-02</v>
      </c>
      <c r="C841" s="1">
        <v>44607</v>
      </c>
      <c r="D841" s="5">
        <v>0.49305555555555558</v>
      </c>
      <c r="E841">
        <v>120</v>
      </c>
      <c r="F841" t="s">
        <v>14</v>
      </c>
      <c r="G841">
        <v>57</v>
      </c>
      <c r="H841" t="s">
        <v>15</v>
      </c>
      <c r="I841">
        <v>4</v>
      </c>
      <c r="J841" s="6">
        <v>50</v>
      </c>
      <c r="K841">
        <v>16.5</v>
      </c>
      <c r="L841">
        <v>200</v>
      </c>
      <c r="M841" t="str">
        <f>IF(OR(I841="",J841="",L841=""),"Incomplete","Complete")</f>
        <v>Complete</v>
      </c>
      <c r="N841" t="str">
        <f>IF(M841="Incomplete","Not checked",IF(ROUND(I841*J841,2)=ROUND(L841,2),"Valid","Mismatch"))</f>
        <v>Valid</v>
      </c>
      <c r="O841">
        <f t="shared" si="27"/>
        <v>183.5</v>
      </c>
    </row>
    <row r="842" spans="1:15">
      <c r="A842">
        <v>1197</v>
      </c>
      <c r="B842" t="str">
        <f t="shared" si="26"/>
        <v>2022-08</v>
      </c>
      <c r="C842" s="1">
        <v>44786</v>
      </c>
      <c r="D842" s="5">
        <v>0.42152777777777778</v>
      </c>
      <c r="E842">
        <v>77</v>
      </c>
      <c r="F842" t="s">
        <v>14</v>
      </c>
      <c r="G842">
        <v>42</v>
      </c>
      <c r="H842" t="s">
        <v>12</v>
      </c>
      <c r="I842">
        <v>4</v>
      </c>
      <c r="J842" s="6">
        <v>50</v>
      </c>
      <c r="K842">
        <v>19</v>
      </c>
      <c r="L842">
        <v>200</v>
      </c>
      <c r="M842" t="str">
        <f>IF(OR(I842="",J842="",L842=""),"Incomplete","Complete")</f>
        <v>Complete</v>
      </c>
      <c r="N842" t="str">
        <f>IF(M842="Incomplete","Not checked",IF(ROUND(I842*J842,2)=ROUND(L842,2),"Valid","Mismatch"))</f>
        <v>Valid</v>
      </c>
      <c r="O842">
        <f t="shared" si="27"/>
        <v>181</v>
      </c>
    </row>
    <row r="843" spans="1:15">
      <c r="A843">
        <v>1910</v>
      </c>
      <c r="B843" t="str">
        <f t="shared" si="26"/>
        <v>2022-10</v>
      </c>
      <c r="C843" s="1">
        <v>44843</v>
      </c>
      <c r="D843" s="5">
        <v>0.26527777777777778</v>
      </c>
      <c r="E843">
        <v>141</v>
      </c>
      <c r="F843" t="s">
        <v>14</v>
      </c>
      <c r="G843">
        <v>20</v>
      </c>
      <c r="H843" t="s">
        <v>13</v>
      </c>
      <c r="I843">
        <v>3</v>
      </c>
      <c r="J843" s="6">
        <v>50</v>
      </c>
      <c r="K843">
        <v>18</v>
      </c>
      <c r="L843">
        <v>150</v>
      </c>
      <c r="M843" t="str">
        <f>IF(OR(I843="",J843="",L843=""),"Incomplete","Complete")</f>
        <v>Complete</v>
      </c>
      <c r="N843" t="str">
        <f>IF(M843="Incomplete","Not checked",IF(ROUND(I843*J843,2)=ROUND(L843,2),"Valid","Mismatch"))</f>
        <v>Valid</v>
      </c>
      <c r="O843">
        <f t="shared" si="27"/>
        <v>132</v>
      </c>
    </row>
    <row r="844" spans="1:15">
      <c r="A844">
        <v>1917</v>
      </c>
      <c r="B844" t="str">
        <f t="shared" si="26"/>
        <v>2022-05</v>
      </c>
      <c r="C844" s="1">
        <v>44683</v>
      </c>
      <c r="D844" s="5">
        <v>0.3034722222222222</v>
      </c>
      <c r="E844">
        <v>52</v>
      </c>
      <c r="F844" t="s">
        <v>14</v>
      </c>
      <c r="G844">
        <v>57</v>
      </c>
      <c r="H844" t="s">
        <v>15</v>
      </c>
      <c r="I844">
        <v>4</v>
      </c>
      <c r="J844" s="6">
        <v>50</v>
      </c>
      <c r="K844">
        <v>24</v>
      </c>
      <c r="L844">
        <v>200</v>
      </c>
      <c r="M844" t="str">
        <f>IF(OR(I844="",J844="",L844=""),"Incomplete","Complete")</f>
        <v>Complete</v>
      </c>
      <c r="N844" t="str">
        <f>IF(M844="Incomplete","Not checked",IF(ROUND(I844*J844,2)=ROUND(L844,2),"Valid","Mismatch"))</f>
        <v>Valid</v>
      </c>
      <c r="O844">
        <f t="shared" si="27"/>
        <v>176</v>
      </c>
    </row>
    <row r="845" spans="1:15">
      <c r="A845">
        <v>377</v>
      </c>
      <c r="B845" t="str">
        <f t="shared" si="26"/>
        <v>2022-09</v>
      </c>
      <c r="C845" s="1">
        <v>44817</v>
      </c>
      <c r="D845" s="5">
        <v>0.35416666666666669</v>
      </c>
      <c r="E845">
        <v>141</v>
      </c>
      <c r="F845" t="s">
        <v>14</v>
      </c>
      <c r="G845">
        <v>46</v>
      </c>
      <c r="H845" t="s">
        <v>12</v>
      </c>
      <c r="I845">
        <v>4</v>
      </c>
      <c r="J845" s="6">
        <v>50</v>
      </c>
      <c r="K845">
        <v>18</v>
      </c>
      <c r="L845">
        <v>200</v>
      </c>
      <c r="M845" t="str">
        <f>IF(OR(I845="",J845="",L845=""),"Incomplete","Complete")</f>
        <v>Complete</v>
      </c>
      <c r="N845" t="str">
        <f>IF(M845="Incomplete","Not checked",IF(ROUND(I845*J845,2)=ROUND(L845,2),"Valid","Mismatch"))</f>
        <v>Valid</v>
      </c>
      <c r="O845">
        <f t="shared" si="27"/>
        <v>182</v>
      </c>
    </row>
    <row r="846" spans="1:15">
      <c r="A846">
        <v>1377</v>
      </c>
      <c r="B846" t="str">
        <f t="shared" si="26"/>
        <v>2022-03</v>
      </c>
      <c r="C846" s="1">
        <v>44641</v>
      </c>
      <c r="D846" s="5">
        <v>0.32777777777777778</v>
      </c>
      <c r="E846">
        <v>71</v>
      </c>
      <c r="F846" t="s">
        <v>14</v>
      </c>
      <c r="G846">
        <v>46</v>
      </c>
      <c r="H846" t="s">
        <v>12</v>
      </c>
      <c r="I846">
        <v>4</v>
      </c>
      <c r="J846" s="6">
        <v>50</v>
      </c>
      <c r="K846">
        <v>14</v>
      </c>
      <c r="L846">
        <v>200</v>
      </c>
      <c r="M846" t="str">
        <f>IF(OR(I846="",J846="",L846=""),"Incomplete","Complete")</f>
        <v>Complete</v>
      </c>
      <c r="N846" t="str">
        <f>IF(M846="Incomplete","Not checked",IF(ROUND(I846*J846,2)=ROUND(L846,2),"Valid","Mismatch"))</f>
        <v>Valid</v>
      </c>
      <c r="O846">
        <f t="shared" si="27"/>
        <v>186</v>
      </c>
    </row>
    <row r="847" spans="1:15">
      <c r="A847">
        <v>623</v>
      </c>
      <c r="B847" t="str">
        <f t="shared" si="26"/>
        <v>2023-11</v>
      </c>
      <c r="C847" s="1">
        <v>45245</v>
      </c>
      <c r="D847" s="5">
        <v>0.41666666666666669</v>
      </c>
      <c r="E847">
        <v>39</v>
      </c>
      <c r="F847" t="s">
        <v>11</v>
      </c>
      <c r="G847">
        <v>34</v>
      </c>
      <c r="H847" t="s">
        <v>12</v>
      </c>
      <c r="I847">
        <v>3</v>
      </c>
      <c r="J847" s="6">
        <v>50</v>
      </c>
      <c r="K847">
        <v>26</v>
      </c>
      <c r="L847">
        <v>150</v>
      </c>
      <c r="M847" t="str">
        <f>IF(OR(I847="",J847="",L847=""),"Incomplete","Complete")</f>
        <v>Complete</v>
      </c>
      <c r="N847" t="str">
        <f>IF(M847="Incomplete","Not checked",IF(ROUND(I847*J847,2)=ROUND(L847,2),"Valid","Mismatch"))</f>
        <v>Valid</v>
      </c>
      <c r="O847">
        <f t="shared" si="27"/>
        <v>124</v>
      </c>
    </row>
    <row r="848" spans="1:15">
      <c r="A848">
        <v>1623</v>
      </c>
      <c r="B848" t="str">
        <f t="shared" si="26"/>
        <v>2023-03</v>
      </c>
      <c r="C848" s="1">
        <v>44990</v>
      </c>
      <c r="D848" s="5">
        <v>0.25972222222222224</v>
      </c>
      <c r="E848">
        <v>76</v>
      </c>
      <c r="F848" t="s">
        <v>11</v>
      </c>
      <c r="G848">
        <v>34</v>
      </c>
      <c r="H848" t="s">
        <v>12</v>
      </c>
      <c r="I848">
        <v>3</v>
      </c>
      <c r="J848" s="6">
        <v>50</v>
      </c>
      <c r="K848">
        <v>22</v>
      </c>
      <c r="L848">
        <v>150</v>
      </c>
      <c r="M848" t="str">
        <f>IF(OR(I848="",J848="",L848=""),"Incomplete","Complete")</f>
        <v>Complete</v>
      </c>
      <c r="N848" t="str">
        <f>IF(M848="Incomplete","Not checked",IF(ROUND(I848*J848,2)=ROUND(L848,2),"Valid","Mismatch"))</f>
        <v>Valid</v>
      </c>
      <c r="O848">
        <f t="shared" si="27"/>
        <v>128</v>
      </c>
    </row>
    <row r="849" spans="1:15">
      <c r="A849">
        <v>119</v>
      </c>
      <c r="B849" t="str">
        <f t="shared" si="26"/>
        <v>2023-09</v>
      </c>
      <c r="C849" s="1">
        <v>45170</v>
      </c>
      <c r="D849" s="5">
        <v>0.38263888888888886</v>
      </c>
      <c r="E849">
        <v>127</v>
      </c>
      <c r="F849" t="s">
        <v>14</v>
      </c>
      <c r="G849">
        <v>60</v>
      </c>
      <c r="H849" t="s">
        <v>12</v>
      </c>
      <c r="I849">
        <v>3</v>
      </c>
      <c r="J849" s="6">
        <v>50</v>
      </c>
      <c r="K849">
        <v>27.5</v>
      </c>
      <c r="L849">
        <v>150</v>
      </c>
      <c r="M849" t="str">
        <f>IF(OR(I849="",J849="",L849=""),"Incomplete","Complete")</f>
        <v>Complete</v>
      </c>
      <c r="N849" t="str">
        <f>IF(M849="Incomplete","Not checked",IF(ROUND(I849*J849,2)=ROUND(L849,2),"Valid","Mismatch"))</f>
        <v>Valid</v>
      </c>
      <c r="O849">
        <f t="shared" si="27"/>
        <v>122.5</v>
      </c>
    </row>
    <row r="850" spans="1:15">
      <c r="A850">
        <v>1119</v>
      </c>
      <c r="B850" t="str">
        <f t="shared" si="26"/>
        <v>2023-11</v>
      </c>
      <c r="C850" s="1">
        <v>45249</v>
      </c>
      <c r="D850" s="5">
        <v>0.4</v>
      </c>
      <c r="E850">
        <v>1</v>
      </c>
      <c r="F850" t="s">
        <v>14</v>
      </c>
      <c r="G850">
        <v>60</v>
      </c>
      <c r="H850" t="s">
        <v>12</v>
      </c>
      <c r="I850">
        <v>3</v>
      </c>
      <c r="J850" s="6">
        <v>50</v>
      </c>
      <c r="K850">
        <v>25.5</v>
      </c>
      <c r="L850">
        <v>150</v>
      </c>
      <c r="M850" t="str">
        <f>IF(OR(I850="",J850="",L850=""),"Incomplete","Complete")</f>
        <v>Complete</v>
      </c>
      <c r="N850" t="str">
        <f>IF(M850="Incomplete","Not checked",IF(ROUND(I850*J850,2)=ROUND(L850,2),"Valid","Mismatch"))</f>
        <v>Valid</v>
      </c>
      <c r="O850">
        <f t="shared" si="27"/>
        <v>124.5</v>
      </c>
    </row>
    <row r="851" spans="1:15">
      <c r="A851">
        <v>748</v>
      </c>
      <c r="B851" t="str">
        <f t="shared" si="26"/>
        <v>2023-03</v>
      </c>
      <c r="C851" s="1">
        <v>44986</v>
      </c>
      <c r="D851" s="5">
        <v>0.39930555555555558</v>
      </c>
      <c r="E851">
        <v>132</v>
      </c>
      <c r="F851" t="s">
        <v>11</v>
      </c>
      <c r="G851">
        <v>25</v>
      </c>
      <c r="H851" t="s">
        <v>12</v>
      </c>
      <c r="I851">
        <v>3</v>
      </c>
      <c r="J851" s="6">
        <v>50</v>
      </c>
      <c r="K851">
        <v>24</v>
      </c>
      <c r="L851">
        <v>150</v>
      </c>
      <c r="M851" t="str">
        <f>IF(OR(I851="",J851="",L851=""),"Incomplete","Complete")</f>
        <v>Complete</v>
      </c>
      <c r="N851" t="str">
        <f>IF(M851="Incomplete","Not checked",IF(ROUND(I851*J851,2)=ROUND(L851,2),"Valid","Mismatch"))</f>
        <v>Valid</v>
      </c>
      <c r="O851">
        <f t="shared" si="27"/>
        <v>126</v>
      </c>
    </row>
    <row r="852" spans="1:15">
      <c r="A852">
        <v>1748</v>
      </c>
      <c r="B852" t="str">
        <f t="shared" si="26"/>
        <v>2023-03</v>
      </c>
      <c r="C852" s="1">
        <v>44987</v>
      </c>
      <c r="D852" s="5">
        <v>0.43333333333333335</v>
      </c>
      <c r="E852">
        <v>119</v>
      </c>
      <c r="F852" t="s">
        <v>11</v>
      </c>
      <c r="G852">
        <v>25</v>
      </c>
      <c r="H852" t="s">
        <v>12</v>
      </c>
      <c r="I852">
        <v>3</v>
      </c>
      <c r="J852" s="6">
        <v>50</v>
      </c>
      <c r="K852">
        <v>15.5</v>
      </c>
      <c r="L852">
        <v>150</v>
      </c>
      <c r="M852" t="str">
        <f>IF(OR(I852="",J852="",L852=""),"Incomplete","Complete")</f>
        <v>Complete</v>
      </c>
      <c r="N852" t="str">
        <f>IF(M852="Incomplete","Not checked",IF(ROUND(I852*J852,2)=ROUND(L852,2),"Valid","Mismatch"))</f>
        <v>Valid</v>
      </c>
      <c r="O852">
        <f t="shared" si="27"/>
        <v>134.5</v>
      </c>
    </row>
    <row r="853" spans="1:15">
      <c r="A853">
        <v>38</v>
      </c>
      <c r="B853" t="str">
        <f t="shared" si="26"/>
        <v>2023-02</v>
      </c>
      <c r="C853" s="1">
        <v>44982</v>
      </c>
      <c r="D853" s="5">
        <v>0.48541666666666666</v>
      </c>
      <c r="E853">
        <v>147</v>
      </c>
      <c r="F853" t="s">
        <v>11</v>
      </c>
      <c r="G853">
        <v>38</v>
      </c>
      <c r="H853" t="s">
        <v>13</v>
      </c>
      <c r="I853">
        <v>4</v>
      </c>
      <c r="J853" s="6">
        <v>50</v>
      </c>
      <c r="K853">
        <v>26</v>
      </c>
      <c r="L853">
        <v>200</v>
      </c>
      <c r="M853" t="str">
        <f>IF(OR(I853="",J853="",L853=""),"Incomplete","Complete")</f>
        <v>Complete</v>
      </c>
      <c r="N853" t="str">
        <f>IF(M853="Incomplete","Not checked",IF(ROUND(I853*J853,2)=ROUND(L853,2),"Valid","Mismatch"))</f>
        <v>Valid</v>
      </c>
      <c r="O853">
        <f t="shared" si="27"/>
        <v>174</v>
      </c>
    </row>
    <row r="854" spans="1:15">
      <c r="A854">
        <v>1038</v>
      </c>
      <c r="B854" t="str">
        <f t="shared" si="26"/>
        <v>2023-12</v>
      </c>
      <c r="C854" s="1">
        <v>45290</v>
      </c>
      <c r="D854" s="5">
        <v>0.38124999999999998</v>
      </c>
      <c r="E854">
        <v>11</v>
      </c>
      <c r="F854" t="s">
        <v>11</v>
      </c>
      <c r="G854">
        <v>38</v>
      </c>
      <c r="H854" t="s">
        <v>13</v>
      </c>
      <c r="I854">
        <v>4</v>
      </c>
      <c r="J854" s="6">
        <v>50</v>
      </c>
      <c r="K854">
        <v>20.5</v>
      </c>
      <c r="L854">
        <v>200</v>
      </c>
      <c r="M854" t="str">
        <f>IF(OR(I854="",J854="",L854=""),"Incomplete","Complete")</f>
        <v>Complete</v>
      </c>
      <c r="N854" t="str">
        <f>IF(M854="Incomplete","Not checked",IF(ROUND(I854*J854,2)=ROUND(L854,2),"Valid","Mismatch"))</f>
        <v>Valid</v>
      </c>
      <c r="O854">
        <f t="shared" si="27"/>
        <v>179.5</v>
      </c>
    </row>
    <row r="855" spans="1:15">
      <c r="A855">
        <v>328</v>
      </c>
      <c r="B855" t="str">
        <f t="shared" si="26"/>
        <v>2023-10</v>
      </c>
      <c r="C855" s="1">
        <v>45228</v>
      </c>
      <c r="D855" s="5">
        <v>0.28888888888888886</v>
      </c>
      <c r="E855">
        <v>9</v>
      </c>
      <c r="F855" t="s">
        <v>11</v>
      </c>
      <c r="G855">
        <v>39</v>
      </c>
      <c r="H855" t="s">
        <v>13</v>
      </c>
      <c r="I855">
        <v>2</v>
      </c>
      <c r="J855" s="6">
        <v>50</v>
      </c>
      <c r="K855">
        <v>27</v>
      </c>
      <c r="L855">
        <v>100</v>
      </c>
      <c r="M855" t="str">
        <f>IF(OR(I855="",J855="",L855=""),"Incomplete","Complete")</f>
        <v>Complete</v>
      </c>
      <c r="N855" t="str">
        <f>IF(M855="Incomplete","Not checked",IF(ROUND(I855*J855,2)=ROUND(L855,2),"Valid","Mismatch"))</f>
        <v>Valid</v>
      </c>
      <c r="O855">
        <f t="shared" si="27"/>
        <v>73</v>
      </c>
    </row>
    <row r="856" spans="1:15">
      <c r="A856">
        <v>973</v>
      </c>
      <c r="B856" t="str">
        <f t="shared" si="26"/>
        <v>2023-09</v>
      </c>
      <c r="C856" s="1">
        <v>45172</v>
      </c>
      <c r="D856" s="5">
        <v>0.36388888888888887</v>
      </c>
      <c r="E856">
        <v>51</v>
      </c>
      <c r="F856" t="s">
        <v>11</v>
      </c>
      <c r="G856">
        <v>60</v>
      </c>
      <c r="H856" t="s">
        <v>12</v>
      </c>
      <c r="I856">
        <v>1</v>
      </c>
      <c r="J856" s="6">
        <v>50</v>
      </c>
      <c r="K856">
        <v>13</v>
      </c>
      <c r="L856">
        <v>50</v>
      </c>
      <c r="M856" t="str">
        <f>IF(OR(I856="",J856="",L856=""),"Incomplete","Complete")</f>
        <v>Complete</v>
      </c>
      <c r="N856" t="str">
        <f>IF(M856="Incomplete","Not checked",IF(ROUND(I856*J856,2)=ROUND(L856,2),"Valid","Mismatch"))</f>
        <v>Valid</v>
      </c>
      <c r="O856">
        <f t="shared" si="27"/>
        <v>37</v>
      </c>
    </row>
    <row r="857" spans="1:15">
      <c r="A857">
        <v>978</v>
      </c>
      <c r="B857" t="str">
        <f t="shared" si="26"/>
        <v>2023-07</v>
      </c>
      <c r="C857" s="1">
        <v>45134</v>
      </c>
      <c r="D857" s="5">
        <v>0.4152777777777778</v>
      </c>
      <c r="E857">
        <v>16</v>
      </c>
      <c r="F857" t="s">
        <v>14</v>
      </c>
      <c r="G857">
        <v>53</v>
      </c>
      <c r="H857" t="s">
        <v>12</v>
      </c>
      <c r="I857">
        <v>3</v>
      </c>
      <c r="J857" s="6">
        <v>50</v>
      </c>
      <c r="K857">
        <v>19</v>
      </c>
      <c r="L857">
        <v>150</v>
      </c>
      <c r="M857" t="str">
        <f>IF(OR(I857="",J857="",L857=""),"Incomplete","Complete")</f>
        <v>Complete</v>
      </c>
      <c r="N857" t="str">
        <f>IF(M857="Incomplete","Not checked",IF(ROUND(I857*J857,2)=ROUND(L857,2),"Valid","Mismatch"))</f>
        <v>Valid</v>
      </c>
      <c r="O857">
        <f t="shared" si="27"/>
        <v>131</v>
      </c>
    </row>
    <row r="858" spans="1:15">
      <c r="A858">
        <v>1328</v>
      </c>
      <c r="B858" t="str">
        <f t="shared" si="26"/>
        <v>2023-12</v>
      </c>
      <c r="C858" s="1">
        <v>45270</v>
      </c>
      <c r="D858" s="5">
        <v>0.32569444444444445</v>
      </c>
      <c r="E858">
        <v>60</v>
      </c>
      <c r="F858" t="s">
        <v>11</v>
      </c>
      <c r="G858">
        <v>39</v>
      </c>
      <c r="H858" t="s">
        <v>13</v>
      </c>
      <c r="I858">
        <v>2</v>
      </c>
      <c r="J858" s="6">
        <v>50</v>
      </c>
      <c r="K858">
        <v>24.5</v>
      </c>
      <c r="L858">
        <v>100</v>
      </c>
      <c r="M858" t="str">
        <f>IF(OR(I858="",J858="",L858=""),"Incomplete","Complete")</f>
        <v>Complete</v>
      </c>
      <c r="N858" t="str">
        <f>IF(M858="Incomplete","Not checked",IF(ROUND(I858*J858,2)=ROUND(L858,2),"Valid","Mismatch"))</f>
        <v>Valid</v>
      </c>
      <c r="O858">
        <f t="shared" si="27"/>
        <v>75.5</v>
      </c>
    </row>
    <row r="859" spans="1:15">
      <c r="A859">
        <v>1973</v>
      </c>
      <c r="B859" t="str">
        <f t="shared" si="26"/>
        <v>2023-08</v>
      </c>
      <c r="C859" s="1">
        <v>45157</v>
      </c>
      <c r="D859" s="5">
        <v>0.4236111111111111</v>
      </c>
      <c r="E859">
        <v>22</v>
      </c>
      <c r="F859" t="s">
        <v>11</v>
      </c>
      <c r="G859">
        <v>60</v>
      </c>
      <c r="H859" t="s">
        <v>12</v>
      </c>
      <c r="I859">
        <v>1</v>
      </c>
      <c r="J859" s="6">
        <v>50</v>
      </c>
      <c r="K859">
        <v>21.5</v>
      </c>
      <c r="L859">
        <v>50</v>
      </c>
      <c r="M859" t="str">
        <f>IF(OR(I859="",J859="",L859=""),"Incomplete","Complete")</f>
        <v>Complete</v>
      </c>
      <c r="N859" t="str">
        <f>IF(M859="Incomplete","Not checked",IF(ROUND(I859*J859,2)=ROUND(L859,2),"Valid","Mismatch"))</f>
        <v>Valid</v>
      </c>
      <c r="O859">
        <f t="shared" si="27"/>
        <v>28.5</v>
      </c>
    </row>
    <row r="860" spans="1:15">
      <c r="A860">
        <v>1978</v>
      </c>
      <c r="B860" t="str">
        <f t="shared" si="26"/>
        <v>2023-08</v>
      </c>
      <c r="C860" s="1">
        <v>45169</v>
      </c>
      <c r="D860" s="5">
        <v>0.49930555555555556</v>
      </c>
      <c r="E860">
        <v>41</v>
      </c>
      <c r="F860" t="s">
        <v>14</v>
      </c>
      <c r="G860">
        <v>53</v>
      </c>
      <c r="H860" t="s">
        <v>12</v>
      </c>
      <c r="I860">
        <v>3</v>
      </c>
      <c r="J860" s="6">
        <v>50</v>
      </c>
      <c r="K860">
        <v>15.5</v>
      </c>
      <c r="L860">
        <v>150</v>
      </c>
      <c r="M860" t="str">
        <f>IF(OR(I860="",J860="",L860=""),"Incomplete","Complete")</f>
        <v>Complete</v>
      </c>
      <c r="N860" t="str">
        <f>IF(M860="Incomplete","Not checked",IF(ROUND(I860*J860,2)=ROUND(L860,2),"Valid","Mismatch"))</f>
        <v>Valid</v>
      </c>
      <c r="O860">
        <f t="shared" si="27"/>
        <v>134.5</v>
      </c>
    </row>
    <row r="861" spans="1:15">
      <c r="A861">
        <v>33</v>
      </c>
      <c r="B861" t="str">
        <f t="shared" si="26"/>
        <v>2023-12</v>
      </c>
      <c r="C861" s="1">
        <v>45284</v>
      </c>
      <c r="D861" s="5">
        <v>0.31944444444444442</v>
      </c>
      <c r="E861">
        <v>33</v>
      </c>
      <c r="F861" t="s">
        <v>14</v>
      </c>
      <c r="G861">
        <v>50</v>
      </c>
      <c r="H861" t="s">
        <v>15</v>
      </c>
      <c r="I861">
        <v>2</v>
      </c>
      <c r="J861" s="6">
        <v>50</v>
      </c>
      <c r="K861">
        <v>21</v>
      </c>
      <c r="L861">
        <v>100</v>
      </c>
      <c r="M861" t="str">
        <f>IF(OR(I861="",J861="",L861=""),"Incomplete","Complete")</f>
        <v>Complete</v>
      </c>
      <c r="N861" t="str">
        <f>IF(M861="Incomplete","Not checked",IF(ROUND(I861*J861,2)=ROUND(L861,2),"Valid","Mismatch"))</f>
        <v>Valid</v>
      </c>
      <c r="O861">
        <f t="shared" si="27"/>
        <v>79</v>
      </c>
    </row>
    <row r="862" spans="1:15">
      <c r="A862">
        <v>138</v>
      </c>
      <c r="B862" t="str">
        <f t="shared" si="26"/>
        <v>2023-04</v>
      </c>
      <c r="C862" s="1">
        <v>45043</v>
      </c>
      <c r="D862" s="5">
        <v>0.45555555555555555</v>
      </c>
      <c r="E862">
        <v>127</v>
      </c>
      <c r="F862" t="s">
        <v>11</v>
      </c>
      <c r="G862">
        <v>49</v>
      </c>
      <c r="H862" t="s">
        <v>12</v>
      </c>
      <c r="I862">
        <v>4</v>
      </c>
      <c r="J862" s="6">
        <v>50</v>
      </c>
      <c r="K862">
        <v>26.5</v>
      </c>
      <c r="L862">
        <v>200</v>
      </c>
      <c r="M862" t="str">
        <f>IF(OR(I862="",J862="",L862=""),"Incomplete","Complete")</f>
        <v>Complete</v>
      </c>
      <c r="N862" t="str">
        <f>IF(M862="Incomplete","Not checked",IF(ROUND(I862*J862,2)=ROUND(L862,2),"Valid","Mismatch"))</f>
        <v>Valid</v>
      </c>
      <c r="O862">
        <f t="shared" si="27"/>
        <v>173.5</v>
      </c>
    </row>
    <row r="863" spans="1:15">
      <c r="A863">
        <v>471</v>
      </c>
      <c r="B863" t="str">
        <f t="shared" si="26"/>
        <v>2023-03</v>
      </c>
      <c r="C863" s="1">
        <v>44993</v>
      </c>
      <c r="D863" s="5">
        <v>0.43125000000000002</v>
      </c>
      <c r="E863">
        <v>136</v>
      </c>
      <c r="F863" t="s">
        <v>11</v>
      </c>
      <c r="G863">
        <v>32</v>
      </c>
      <c r="H863" t="s">
        <v>12</v>
      </c>
      <c r="I863">
        <v>3</v>
      </c>
      <c r="J863" s="6">
        <v>50</v>
      </c>
      <c r="K863">
        <v>13</v>
      </c>
      <c r="L863">
        <v>150</v>
      </c>
      <c r="M863" t="str">
        <f>IF(OR(I863="",J863="",L863=""),"Incomplete","Complete")</f>
        <v>Complete</v>
      </c>
      <c r="N863" t="str">
        <f>IF(M863="Incomplete","Not checked",IF(ROUND(I863*J863,2)=ROUND(L863,2),"Valid","Mismatch"))</f>
        <v>Valid</v>
      </c>
      <c r="O863">
        <f t="shared" si="27"/>
        <v>137</v>
      </c>
    </row>
    <row r="864" spans="1:15">
      <c r="A864">
        <v>1033</v>
      </c>
      <c r="B864" t="str">
        <f t="shared" si="26"/>
        <v>2023-04</v>
      </c>
      <c r="C864" s="1">
        <v>45028</v>
      </c>
      <c r="D864" s="5">
        <v>0.28611111111111109</v>
      </c>
      <c r="E864">
        <v>32</v>
      </c>
      <c r="F864" t="s">
        <v>14</v>
      </c>
      <c r="G864">
        <v>50</v>
      </c>
      <c r="H864" t="s">
        <v>15</v>
      </c>
      <c r="I864">
        <v>2</v>
      </c>
      <c r="J864" s="6">
        <v>50</v>
      </c>
      <c r="K864">
        <v>19</v>
      </c>
      <c r="L864">
        <v>100</v>
      </c>
      <c r="M864" t="str">
        <f>IF(OR(I864="",J864="",L864=""),"Incomplete","Complete")</f>
        <v>Complete</v>
      </c>
      <c r="N864" t="str">
        <f>IF(M864="Incomplete","Not checked",IF(ROUND(I864*J864,2)=ROUND(L864,2),"Valid","Mismatch"))</f>
        <v>Valid</v>
      </c>
      <c r="O864">
        <f t="shared" si="27"/>
        <v>81</v>
      </c>
    </row>
    <row r="865" spans="1:15">
      <c r="A865">
        <v>1138</v>
      </c>
      <c r="B865" t="str">
        <f t="shared" si="26"/>
        <v>2023-10</v>
      </c>
      <c r="C865" s="1">
        <v>45215</v>
      </c>
      <c r="D865" s="5">
        <v>0.49930555555555556</v>
      </c>
      <c r="E865">
        <v>27</v>
      </c>
      <c r="F865" t="s">
        <v>11</v>
      </c>
      <c r="G865">
        <v>49</v>
      </c>
      <c r="H865" t="s">
        <v>12</v>
      </c>
      <c r="I865">
        <v>4</v>
      </c>
      <c r="J865" s="6">
        <v>50</v>
      </c>
      <c r="K865">
        <v>14.5</v>
      </c>
      <c r="L865">
        <v>200</v>
      </c>
      <c r="M865" t="str">
        <f>IF(OR(I865="",J865="",L865=""),"Incomplete","Complete")</f>
        <v>Complete</v>
      </c>
      <c r="N865" t="str">
        <f>IF(M865="Incomplete","Not checked",IF(ROUND(I865*J865,2)=ROUND(L865,2),"Valid","Mismatch"))</f>
        <v>Valid</v>
      </c>
      <c r="O865">
        <f t="shared" si="27"/>
        <v>185.5</v>
      </c>
    </row>
    <row r="866" spans="1:15">
      <c r="A866">
        <v>1471</v>
      </c>
      <c r="B866" t="str">
        <f t="shared" si="26"/>
        <v>2023-06</v>
      </c>
      <c r="C866" s="1">
        <v>45102</v>
      </c>
      <c r="D866" s="5">
        <v>0.44027777777777777</v>
      </c>
      <c r="E866">
        <v>30</v>
      </c>
      <c r="F866" t="s">
        <v>11</v>
      </c>
      <c r="G866">
        <v>32</v>
      </c>
      <c r="H866" t="s">
        <v>12</v>
      </c>
      <c r="I866">
        <v>3</v>
      </c>
      <c r="J866" s="6">
        <v>50</v>
      </c>
      <c r="K866">
        <v>13</v>
      </c>
      <c r="L866">
        <v>150</v>
      </c>
      <c r="M866" t="str">
        <f>IF(OR(I866="",J866="",L866=""),"Incomplete","Complete")</f>
        <v>Complete</v>
      </c>
      <c r="N866" t="str">
        <f>IF(M866="Incomplete","Not checked",IF(ROUND(I866*J866,2)=ROUND(L866,2),"Valid","Mismatch"))</f>
        <v>Valid</v>
      </c>
      <c r="O866">
        <f t="shared" si="27"/>
        <v>137</v>
      </c>
    </row>
    <row r="867" spans="1:15">
      <c r="A867">
        <v>177</v>
      </c>
      <c r="B867" t="str">
        <f t="shared" si="26"/>
        <v>2023-03</v>
      </c>
      <c r="C867" s="1">
        <v>45009</v>
      </c>
      <c r="D867" s="5">
        <v>0.3611111111111111</v>
      </c>
      <c r="E867">
        <v>30</v>
      </c>
      <c r="F867" t="s">
        <v>11</v>
      </c>
      <c r="G867">
        <v>45</v>
      </c>
      <c r="H867" t="s">
        <v>13</v>
      </c>
      <c r="I867">
        <v>2</v>
      </c>
      <c r="J867" s="6">
        <v>50</v>
      </c>
      <c r="K867">
        <v>26.5</v>
      </c>
      <c r="L867">
        <v>100</v>
      </c>
      <c r="M867" t="str">
        <f>IF(OR(I867="",J867="",L867=""),"Incomplete","Complete")</f>
        <v>Complete</v>
      </c>
      <c r="N867" t="str">
        <f>IF(M867="Incomplete","Not checked",IF(ROUND(I867*J867,2)=ROUND(L867,2),"Valid","Mismatch"))</f>
        <v>Valid</v>
      </c>
      <c r="O867">
        <f t="shared" si="27"/>
        <v>73.5</v>
      </c>
    </row>
    <row r="868" spans="1:15">
      <c r="A868">
        <v>426</v>
      </c>
      <c r="B868" t="str">
        <f t="shared" si="26"/>
        <v>2023-12</v>
      </c>
      <c r="C868" s="1">
        <v>45273</v>
      </c>
      <c r="D868" s="5">
        <v>0.34097222222222223</v>
      </c>
      <c r="E868">
        <v>137</v>
      </c>
      <c r="F868" t="s">
        <v>11</v>
      </c>
      <c r="G868">
        <v>23</v>
      </c>
      <c r="H868" t="s">
        <v>15</v>
      </c>
      <c r="I868">
        <v>3</v>
      </c>
      <c r="J868" s="6">
        <v>50</v>
      </c>
      <c r="K868">
        <v>12.5</v>
      </c>
      <c r="L868">
        <v>150</v>
      </c>
      <c r="M868" t="str">
        <f>IF(OR(I868="",J868="",L868=""),"Incomplete","Complete")</f>
        <v>Complete</v>
      </c>
      <c r="N868" t="str">
        <f>IF(M868="Incomplete","Not checked",IF(ROUND(I868*J868,2)=ROUND(L868,2),"Valid","Mismatch"))</f>
        <v>Valid</v>
      </c>
      <c r="O868">
        <f t="shared" si="27"/>
        <v>137.5</v>
      </c>
    </row>
    <row r="869" spans="1:15">
      <c r="A869">
        <v>1177</v>
      </c>
      <c r="B869" t="str">
        <f t="shared" si="26"/>
        <v>2023-02</v>
      </c>
      <c r="C869" s="1">
        <v>44977</v>
      </c>
      <c r="D869" s="5">
        <v>0.38819444444444445</v>
      </c>
      <c r="E869">
        <v>89</v>
      </c>
      <c r="F869" t="s">
        <v>11</v>
      </c>
      <c r="G869">
        <v>45</v>
      </c>
      <c r="H869" t="s">
        <v>13</v>
      </c>
      <c r="I869">
        <v>2</v>
      </c>
      <c r="J869" s="6">
        <v>50</v>
      </c>
      <c r="K869">
        <v>15</v>
      </c>
      <c r="L869">
        <v>100</v>
      </c>
      <c r="M869" t="str">
        <f>IF(OR(I869="",J869="",L869=""),"Incomplete","Complete")</f>
        <v>Complete</v>
      </c>
      <c r="N869" t="str">
        <f>IF(M869="Incomplete","Not checked",IF(ROUND(I869*J869,2)=ROUND(L869,2),"Valid","Mismatch"))</f>
        <v>Valid</v>
      </c>
      <c r="O869">
        <f t="shared" si="27"/>
        <v>85</v>
      </c>
    </row>
    <row r="870" spans="1:15">
      <c r="A870">
        <v>1426</v>
      </c>
      <c r="B870" t="str">
        <f t="shared" si="26"/>
        <v>2023-12</v>
      </c>
      <c r="C870" s="1">
        <v>45272</v>
      </c>
      <c r="D870" s="5">
        <v>0.48055555555555557</v>
      </c>
      <c r="E870">
        <v>114</v>
      </c>
      <c r="F870" t="s">
        <v>11</v>
      </c>
      <c r="G870">
        <v>23</v>
      </c>
      <c r="H870" t="s">
        <v>15</v>
      </c>
      <c r="I870">
        <v>3</v>
      </c>
      <c r="J870" s="6">
        <v>50</v>
      </c>
      <c r="K870">
        <v>25</v>
      </c>
      <c r="L870">
        <v>150</v>
      </c>
      <c r="M870" t="str">
        <f>IF(OR(I870="",J870="",L870=""),"Incomplete","Complete")</f>
        <v>Complete</v>
      </c>
      <c r="N870" t="str">
        <f>IF(M870="Incomplete","Not checked",IF(ROUND(I870*J870,2)=ROUND(L870,2),"Valid","Mismatch"))</f>
        <v>Valid</v>
      </c>
      <c r="O870">
        <f t="shared" si="27"/>
        <v>125</v>
      </c>
    </row>
    <row r="871" spans="1:15">
      <c r="A871">
        <v>76</v>
      </c>
      <c r="B871" t="str">
        <f t="shared" si="26"/>
        <v>2023-09</v>
      </c>
      <c r="C871" s="1">
        <v>45178</v>
      </c>
      <c r="D871" s="5">
        <v>0.31458333333333333</v>
      </c>
      <c r="E871">
        <v>70</v>
      </c>
      <c r="F871" t="s">
        <v>14</v>
      </c>
      <c r="G871">
        <v>22</v>
      </c>
      <c r="H871" t="s">
        <v>15</v>
      </c>
      <c r="I871">
        <v>2</v>
      </c>
      <c r="J871" s="6">
        <v>50</v>
      </c>
      <c r="K871">
        <v>14.5</v>
      </c>
      <c r="L871">
        <v>100</v>
      </c>
      <c r="M871" t="str">
        <f>IF(OR(I871="",J871="",L871=""),"Incomplete","Complete")</f>
        <v>Complete</v>
      </c>
      <c r="N871" t="str">
        <f>IF(M871="Incomplete","Not checked",IF(ROUND(I871*J871,2)=ROUND(L871,2),"Valid","Mismatch"))</f>
        <v>Valid</v>
      </c>
      <c r="O871">
        <f t="shared" si="27"/>
        <v>85.5</v>
      </c>
    </row>
    <row r="872" spans="1:15">
      <c r="A872">
        <v>1076</v>
      </c>
      <c r="B872" t="str">
        <f t="shared" si="26"/>
        <v>2023-07</v>
      </c>
      <c r="C872" s="1">
        <v>45121</v>
      </c>
      <c r="D872" s="5">
        <v>0.46458333333333335</v>
      </c>
      <c r="E872">
        <v>99</v>
      </c>
      <c r="F872" t="s">
        <v>14</v>
      </c>
      <c r="G872">
        <v>22</v>
      </c>
      <c r="H872" t="s">
        <v>15</v>
      </c>
      <c r="I872">
        <v>2</v>
      </c>
      <c r="J872" s="6">
        <v>50</v>
      </c>
      <c r="K872">
        <v>15</v>
      </c>
      <c r="L872">
        <v>100</v>
      </c>
      <c r="M872" t="str">
        <f>IF(OR(I872="",J872="",L872=""),"Incomplete","Complete")</f>
        <v>Complete</v>
      </c>
      <c r="N872" t="str">
        <f>IF(M872="Incomplete","Not checked",IF(ROUND(I872*J872,2)=ROUND(L872,2),"Valid","Mismatch"))</f>
        <v>Valid</v>
      </c>
      <c r="O872">
        <f t="shared" si="27"/>
        <v>85</v>
      </c>
    </row>
    <row r="873" spans="1:15">
      <c r="A873">
        <v>703</v>
      </c>
      <c r="B873" t="str">
        <f t="shared" si="26"/>
        <v>2023-07</v>
      </c>
      <c r="C873" s="1">
        <v>45138</v>
      </c>
      <c r="D873" s="5">
        <v>0.41388888888888886</v>
      </c>
      <c r="E873">
        <v>140</v>
      </c>
      <c r="F873" t="s">
        <v>11</v>
      </c>
      <c r="G873">
        <v>34</v>
      </c>
      <c r="H873" t="s">
        <v>15</v>
      </c>
      <c r="I873">
        <v>2</v>
      </c>
      <c r="J873" s="6">
        <v>50</v>
      </c>
      <c r="K873">
        <v>18.5</v>
      </c>
      <c r="L873">
        <v>100</v>
      </c>
      <c r="M873" t="str">
        <f>IF(OR(I873="",J873="",L873=""),"Incomplete","Complete")</f>
        <v>Complete</v>
      </c>
      <c r="N873" t="str">
        <f>IF(M873="Incomplete","Not checked",IF(ROUND(I873*J873,2)=ROUND(L873,2),"Valid","Mismatch"))</f>
        <v>Valid</v>
      </c>
      <c r="O873">
        <f t="shared" si="27"/>
        <v>81.5</v>
      </c>
    </row>
    <row r="874" spans="1:15">
      <c r="A874">
        <v>1703</v>
      </c>
      <c r="B874" t="str">
        <f t="shared" si="26"/>
        <v>2023-06</v>
      </c>
      <c r="C874" s="1">
        <v>45087</v>
      </c>
      <c r="D874" s="5">
        <v>0.35833333333333334</v>
      </c>
      <c r="E874">
        <v>2</v>
      </c>
      <c r="F874" t="s">
        <v>11</v>
      </c>
      <c r="G874">
        <v>34</v>
      </c>
      <c r="H874" t="s">
        <v>15</v>
      </c>
      <c r="I874">
        <v>2</v>
      </c>
      <c r="J874" s="6">
        <v>50</v>
      </c>
      <c r="K874">
        <v>17</v>
      </c>
      <c r="L874">
        <v>100</v>
      </c>
      <c r="M874" t="str">
        <f>IF(OR(I874="",J874="",L874=""),"Incomplete","Complete")</f>
        <v>Complete</v>
      </c>
      <c r="N874" t="str">
        <f>IF(M874="Incomplete","Not checked",IF(ROUND(I874*J874,2)=ROUND(L874,2),"Valid","Mismatch"))</f>
        <v>Valid</v>
      </c>
      <c r="O874">
        <f t="shared" si="27"/>
        <v>83</v>
      </c>
    </row>
    <row r="875" spans="1:15">
      <c r="A875">
        <v>575</v>
      </c>
      <c r="B875" t="str">
        <f t="shared" si="26"/>
        <v>2023-12</v>
      </c>
      <c r="C875" s="1">
        <v>45272</v>
      </c>
      <c r="D875" s="5">
        <v>0.43680555555555556</v>
      </c>
      <c r="E875">
        <v>14</v>
      </c>
      <c r="F875" t="s">
        <v>11</v>
      </c>
      <c r="G875">
        <v>60</v>
      </c>
      <c r="H875" t="s">
        <v>12</v>
      </c>
      <c r="I875">
        <v>2</v>
      </c>
      <c r="J875" s="6">
        <v>50</v>
      </c>
      <c r="K875">
        <v>23</v>
      </c>
      <c r="L875">
        <v>100</v>
      </c>
      <c r="M875" t="str">
        <f>IF(OR(I875="",J875="",L875=""),"Incomplete","Complete")</f>
        <v>Complete</v>
      </c>
      <c r="N875" t="str">
        <f>IF(M875="Incomplete","Not checked",IF(ROUND(I875*J875,2)=ROUND(L875,2),"Valid","Mismatch"))</f>
        <v>Valid</v>
      </c>
      <c r="O875">
        <f t="shared" si="27"/>
        <v>77</v>
      </c>
    </row>
    <row r="876" spans="1:15">
      <c r="A876">
        <v>1575</v>
      </c>
      <c r="B876" t="str">
        <f t="shared" si="26"/>
        <v>2023-07</v>
      </c>
      <c r="C876" s="1">
        <v>45135</v>
      </c>
      <c r="D876" s="5">
        <v>0.49583333333333335</v>
      </c>
      <c r="E876">
        <v>26</v>
      </c>
      <c r="F876" t="s">
        <v>11</v>
      </c>
      <c r="G876">
        <v>60</v>
      </c>
      <c r="H876" t="s">
        <v>12</v>
      </c>
      <c r="I876">
        <v>2</v>
      </c>
      <c r="J876" s="6">
        <v>50</v>
      </c>
      <c r="K876">
        <v>22.5</v>
      </c>
      <c r="L876">
        <v>100</v>
      </c>
      <c r="M876" t="str">
        <f>IF(OR(I876="",J876="",L876=""),"Incomplete","Complete")</f>
        <v>Complete</v>
      </c>
      <c r="N876" t="str">
        <f>IF(M876="Incomplete","Not checked",IF(ROUND(I876*J876,2)=ROUND(L876,2),"Valid","Mismatch"))</f>
        <v>Valid</v>
      </c>
      <c r="O876">
        <f t="shared" si="27"/>
        <v>77.5</v>
      </c>
    </row>
    <row r="877" spans="1:15">
      <c r="A877">
        <v>975</v>
      </c>
      <c r="B877" t="str">
        <f t="shared" si="26"/>
        <v>2023-01</v>
      </c>
      <c r="C877" s="1">
        <v>44935</v>
      </c>
      <c r="D877" s="5">
        <v>0.32013888888888886</v>
      </c>
      <c r="E877">
        <v>145</v>
      </c>
      <c r="F877" t="s">
        <v>14</v>
      </c>
      <c r="G877">
        <v>56</v>
      </c>
      <c r="H877" t="s">
        <v>12</v>
      </c>
      <c r="I877">
        <v>4</v>
      </c>
      <c r="J877" s="6">
        <v>50</v>
      </c>
      <c r="K877">
        <v>19.5</v>
      </c>
      <c r="L877">
        <v>200</v>
      </c>
      <c r="M877" t="str">
        <f>IF(OR(I877="",J877="",L877=""),"Incomplete","Complete")</f>
        <v>Complete</v>
      </c>
      <c r="N877" t="str">
        <f>IF(M877="Incomplete","Not checked",IF(ROUND(I877*J877,2)=ROUND(L877,2),"Valid","Mismatch"))</f>
        <v>Valid</v>
      </c>
      <c r="O877">
        <f t="shared" si="27"/>
        <v>180.5</v>
      </c>
    </row>
    <row r="878" spans="1:15">
      <c r="A878">
        <v>1975</v>
      </c>
      <c r="B878" t="str">
        <f t="shared" si="26"/>
        <v>2023-08</v>
      </c>
      <c r="C878" s="1">
        <v>45159</v>
      </c>
      <c r="D878" s="5">
        <v>0.45</v>
      </c>
      <c r="E878">
        <v>63</v>
      </c>
      <c r="F878" t="s">
        <v>14</v>
      </c>
      <c r="G878">
        <v>56</v>
      </c>
      <c r="H878" t="s">
        <v>12</v>
      </c>
      <c r="I878">
        <v>4</v>
      </c>
      <c r="J878" s="6">
        <v>50</v>
      </c>
      <c r="K878">
        <v>25.5</v>
      </c>
      <c r="L878">
        <v>200</v>
      </c>
      <c r="M878" t="str">
        <f>IF(OR(I878="",J878="",L878=""),"Incomplete","Complete")</f>
        <v>Complete</v>
      </c>
      <c r="N878" t="str">
        <f>IF(M878="Incomplete","Not checked",IF(ROUND(I878*J878,2)=ROUND(L878,2),"Valid","Mismatch"))</f>
        <v>Valid</v>
      </c>
      <c r="O878">
        <f t="shared" si="27"/>
        <v>174.5</v>
      </c>
    </row>
    <row r="879" spans="1:15">
      <c r="A879">
        <v>465</v>
      </c>
      <c r="B879" t="str">
        <f t="shared" si="26"/>
        <v>2023-02</v>
      </c>
      <c r="C879" s="1">
        <v>44979</v>
      </c>
      <c r="D879" s="5">
        <v>0.49444444444444446</v>
      </c>
      <c r="E879">
        <v>40</v>
      </c>
      <c r="F879" t="s">
        <v>14</v>
      </c>
      <c r="G879">
        <v>43</v>
      </c>
      <c r="H879" t="s">
        <v>15</v>
      </c>
      <c r="I879">
        <v>3</v>
      </c>
      <c r="J879" s="6">
        <v>50</v>
      </c>
      <c r="K879">
        <v>15.5</v>
      </c>
      <c r="L879">
        <v>150</v>
      </c>
      <c r="M879" t="str">
        <f>IF(OR(I879="",J879="",L879=""),"Incomplete","Complete")</f>
        <v>Complete</v>
      </c>
      <c r="N879" t="str">
        <f>IF(M879="Incomplete","Not checked",IF(ROUND(I879*J879,2)=ROUND(L879,2),"Valid","Mismatch"))</f>
        <v>Valid</v>
      </c>
      <c r="O879">
        <f t="shared" si="27"/>
        <v>134.5</v>
      </c>
    </row>
    <row r="880" spans="1:15">
      <c r="A880">
        <v>502</v>
      </c>
      <c r="B880" t="str">
        <f t="shared" si="26"/>
        <v>2023-07</v>
      </c>
      <c r="C880" s="1">
        <v>45129</v>
      </c>
      <c r="D880" s="5">
        <v>0.45833333333333331</v>
      </c>
      <c r="E880">
        <v>31</v>
      </c>
      <c r="F880" t="s">
        <v>11</v>
      </c>
      <c r="G880">
        <v>43</v>
      </c>
      <c r="H880" t="s">
        <v>15</v>
      </c>
      <c r="I880">
        <v>3</v>
      </c>
      <c r="J880" s="6">
        <v>50</v>
      </c>
      <c r="K880">
        <v>22.5</v>
      </c>
      <c r="L880">
        <v>150</v>
      </c>
      <c r="M880" t="str">
        <f>IF(OR(I880="",J880="",L880=""),"Incomplete","Complete")</f>
        <v>Complete</v>
      </c>
      <c r="N880" t="str">
        <f>IF(M880="Incomplete","Not checked",IF(ROUND(I880*J880,2)=ROUND(L880,2),"Valid","Mismatch"))</f>
        <v>Valid</v>
      </c>
      <c r="O880">
        <f t="shared" si="27"/>
        <v>127.5</v>
      </c>
    </row>
    <row r="881" spans="1:15">
      <c r="A881">
        <v>1465</v>
      </c>
      <c r="B881" t="str">
        <f t="shared" si="26"/>
        <v>2023-04</v>
      </c>
      <c r="C881" s="1">
        <v>45033</v>
      </c>
      <c r="D881" s="5">
        <v>0.4</v>
      </c>
      <c r="E881">
        <v>131</v>
      </c>
      <c r="F881" t="s">
        <v>14</v>
      </c>
      <c r="G881">
        <v>43</v>
      </c>
      <c r="H881" t="s">
        <v>15</v>
      </c>
      <c r="I881">
        <v>3</v>
      </c>
      <c r="J881" s="6">
        <v>50</v>
      </c>
      <c r="K881">
        <v>26</v>
      </c>
      <c r="L881">
        <v>150</v>
      </c>
      <c r="M881" t="str">
        <f>IF(OR(I881="",J881="",L881=""),"Incomplete","Complete")</f>
        <v>Complete</v>
      </c>
      <c r="N881" t="str">
        <f>IF(M881="Incomplete","Not checked",IF(ROUND(I881*J881,2)=ROUND(L881,2),"Valid","Mismatch"))</f>
        <v>Valid</v>
      </c>
      <c r="O881">
        <f t="shared" si="27"/>
        <v>124</v>
      </c>
    </row>
    <row r="882" spans="1:15">
      <c r="A882">
        <v>1502</v>
      </c>
      <c r="B882" t="str">
        <f t="shared" si="26"/>
        <v>2023-04</v>
      </c>
      <c r="C882" s="1">
        <v>45024</v>
      </c>
      <c r="D882" s="5">
        <v>0.35416666666666669</v>
      </c>
      <c r="E882">
        <v>152</v>
      </c>
      <c r="F882" t="s">
        <v>11</v>
      </c>
      <c r="G882">
        <v>43</v>
      </c>
      <c r="H882" t="s">
        <v>15</v>
      </c>
      <c r="I882">
        <v>3</v>
      </c>
      <c r="J882" s="6">
        <v>50</v>
      </c>
      <c r="K882">
        <v>18</v>
      </c>
      <c r="L882">
        <v>150</v>
      </c>
      <c r="M882" t="str">
        <f>IF(OR(I882="",J882="",L882=""),"Incomplete","Complete")</f>
        <v>Complete</v>
      </c>
      <c r="N882" t="str">
        <f>IF(M882="Incomplete","Not checked",IF(ROUND(I882*J882,2)=ROUND(L882,2),"Valid","Mismatch"))</f>
        <v>Valid</v>
      </c>
      <c r="O882">
        <f t="shared" si="27"/>
        <v>132</v>
      </c>
    </row>
    <row r="883" spans="1:15">
      <c r="A883">
        <v>61</v>
      </c>
      <c r="B883" t="str">
        <f t="shared" si="26"/>
        <v>2023-07</v>
      </c>
      <c r="C883" s="1">
        <v>45114</v>
      </c>
      <c r="D883" s="5">
        <v>0.4909722222222222</v>
      </c>
      <c r="E883">
        <v>4</v>
      </c>
      <c r="F883" t="s">
        <v>11</v>
      </c>
      <c r="G883">
        <v>21</v>
      </c>
      <c r="H883" t="s">
        <v>13</v>
      </c>
      <c r="I883">
        <v>4</v>
      </c>
      <c r="J883" s="6">
        <v>50</v>
      </c>
      <c r="K883">
        <v>20</v>
      </c>
      <c r="L883">
        <v>200</v>
      </c>
      <c r="M883" t="str">
        <f>IF(OR(I883="",J883="",L883=""),"Incomplete","Complete")</f>
        <v>Complete</v>
      </c>
      <c r="N883" t="str">
        <f>IF(M883="Incomplete","Not checked",IF(ROUND(I883*J883,2)=ROUND(L883,2),"Valid","Mismatch"))</f>
        <v>Valid</v>
      </c>
      <c r="O883">
        <f t="shared" si="27"/>
        <v>180</v>
      </c>
    </row>
    <row r="884" spans="1:15">
      <c r="A884">
        <v>892</v>
      </c>
      <c r="B884" t="str">
        <f t="shared" si="26"/>
        <v>2023-09</v>
      </c>
      <c r="C884" s="1">
        <v>45182</v>
      </c>
      <c r="D884" s="5">
        <v>0.48541666666666666</v>
      </c>
      <c r="E884">
        <v>1</v>
      </c>
      <c r="F884" t="s">
        <v>11</v>
      </c>
      <c r="G884">
        <v>20</v>
      </c>
      <c r="H884" t="s">
        <v>15</v>
      </c>
      <c r="I884">
        <v>1</v>
      </c>
      <c r="J884" s="6">
        <v>50</v>
      </c>
      <c r="K884">
        <v>24</v>
      </c>
      <c r="L884">
        <v>50</v>
      </c>
      <c r="M884" t="str">
        <f>IF(OR(I884="",J884="",L884=""),"Incomplete","Complete")</f>
        <v>Complete</v>
      </c>
      <c r="N884" t="str">
        <f>IF(M884="Incomplete","Not checked",IF(ROUND(I884*J884,2)=ROUND(L884,2),"Valid","Mismatch"))</f>
        <v>Valid</v>
      </c>
      <c r="O884">
        <f t="shared" si="27"/>
        <v>26</v>
      </c>
    </row>
    <row r="885" spans="1:15">
      <c r="A885">
        <v>1061</v>
      </c>
      <c r="B885" t="str">
        <f t="shared" si="26"/>
        <v>2023-09</v>
      </c>
      <c r="C885" s="1">
        <v>45187</v>
      </c>
      <c r="D885" s="5">
        <v>0.33055555555555555</v>
      </c>
      <c r="E885">
        <v>3</v>
      </c>
      <c r="F885" t="s">
        <v>11</v>
      </c>
      <c r="G885">
        <v>21</v>
      </c>
      <c r="H885" t="s">
        <v>13</v>
      </c>
      <c r="I885">
        <v>4</v>
      </c>
      <c r="J885" s="6">
        <v>50</v>
      </c>
      <c r="K885">
        <v>12.5</v>
      </c>
      <c r="L885">
        <v>200</v>
      </c>
      <c r="M885" t="str">
        <f>IF(OR(I885="",J885="",L885=""),"Incomplete","Complete")</f>
        <v>Complete</v>
      </c>
      <c r="N885" t="str">
        <f>IF(M885="Incomplete","Not checked",IF(ROUND(I885*J885,2)=ROUND(L885,2),"Valid","Mismatch"))</f>
        <v>Valid</v>
      </c>
      <c r="O885">
        <f t="shared" si="27"/>
        <v>187.5</v>
      </c>
    </row>
    <row r="886" spans="1:15">
      <c r="A886">
        <v>1892</v>
      </c>
      <c r="B886" t="str">
        <f t="shared" si="26"/>
        <v>2023-10</v>
      </c>
      <c r="C886" s="1">
        <v>45200</v>
      </c>
      <c r="D886" s="5">
        <v>0.30694444444444446</v>
      </c>
      <c r="E886">
        <v>3</v>
      </c>
      <c r="F886" t="s">
        <v>11</v>
      </c>
      <c r="G886">
        <v>20</v>
      </c>
      <c r="H886" t="s">
        <v>15</v>
      </c>
      <c r="I886">
        <v>1</v>
      </c>
      <c r="J886" s="6">
        <v>50</v>
      </c>
      <c r="K886">
        <v>23.5</v>
      </c>
      <c r="L886">
        <v>50</v>
      </c>
      <c r="M886" t="str">
        <f>IF(OR(I886="",J886="",L886=""),"Incomplete","Complete")</f>
        <v>Complete</v>
      </c>
      <c r="N886" t="str">
        <f>IF(M886="Incomplete","Not checked",IF(ROUND(I886*J886,2)=ROUND(L886,2),"Valid","Mismatch"))</f>
        <v>Valid</v>
      </c>
      <c r="O886">
        <f t="shared" si="27"/>
        <v>26.5</v>
      </c>
    </row>
    <row r="887" spans="1:15">
      <c r="A887">
        <v>210</v>
      </c>
      <c r="B887" t="str">
        <f t="shared" si="26"/>
        <v>2023-10</v>
      </c>
      <c r="C887" s="1">
        <v>45206</v>
      </c>
      <c r="D887" s="5">
        <v>0.36805555555555558</v>
      </c>
      <c r="E887">
        <v>2</v>
      </c>
      <c r="F887" t="s">
        <v>11</v>
      </c>
      <c r="G887">
        <v>37</v>
      </c>
      <c r="H887" t="s">
        <v>15</v>
      </c>
      <c r="I887">
        <v>4</v>
      </c>
      <c r="J887" s="6">
        <v>50</v>
      </c>
      <c r="K887">
        <v>19</v>
      </c>
      <c r="L887">
        <v>200</v>
      </c>
      <c r="M887" t="str">
        <f>IF(OR(I887="",J887="",L887=""),"Incomplete","Complete")</f>
        <v>Complete</v>
      </c>
      <c r="N887" t="str">
        <f>IF(M887="Incomplete","Not checked",IF(ROUND(I887*J887,2)=ROUND(L887,2),"Valid","Mismatch"))</f>
        <v>Valid</v>
      </c>
      <c r="O887">
        <f t="shared" si="27"/>
        <v>181</v>
      </c>
    </row>
    <row r="888" spans="1:15">
      <c r="A888">
        <v>745</v>
      </c>
      <c r="B888" t="str">
        <f t="shared" si="26"/>
        <v>2023-08</v>
      </c>
      <c r="C888" s="1">
        <v>45152</v>
      </c>
      <c r="D888" s="5">
        <v>0.3125</v>
      </c>
      <c r="E888">
        <v>3</v>
      </c>
      <c r="F888" t="s">
        <v>11</v>
      </c>
      <c r="G888">
        <v>54</v>
      </c>
      <c r="H888" t="s">
        <v>13</v>
      </c>
      <c r="I888">
        <v>2</v>
      </c>
      <c r="J888" s="6">
        <v>50</v>
      </c>
      <c r="K888">
        <v>17</v>
      </c>
      <c r="L888">
        <v>100</v>
      </c>
      <c r="M888" t="str">
        <f>IF(OR(I888="",J888="",L888=""),"Incomplete","Complete")</f>
        <v>Complete</v>
      </c>
      <c r="N888" t="str">
        <f>IF(M888="Incomplete","Not checked",IF(ROUND(I888*J888,2)=ROUND(L888,2),"Valid","Mismatch"))</f>
        <v>Valid</v>
      </c>
      <c r="O888">
        <f t="shared" si="27"/>
        <v>83</v>
      </c>
    </row>
    <row r="889" spans="1:15">
      <c r="A889">
        <v>1210</v>
      </c>
      <c r="B889" t="str">
        <f t="shared" si="26"/>
        <v>2023-03</v>
      </c>
      <c r="C889" s="1">
        <v>44995</v>
      </c>
      <c r="D889" s="5">
        <v>0.41805555555555557</v>
      </c>
      <c r="E889">
        <v>5</v>
      </c>
      <c r="F889" t="s">
        <v>11</v>
      </c>
      <c r="G889">
        <v>37</v>
      </c>
      <c r="H889" t="s">
        <v>15</v>
      </c>
      <c r="I889">
        <v>4</v>
      </c>
      <c r="J889" s="6">
        <v>50</v>
      </c>
      <c r="K889">
        <v>12.5</v>
      </c>
      <c r="L889">
        <v>200</v>
      </c>
      <c r="M889" t="str">
        <f>IF(OR(I889="",J889="",L889=""),"Incomplete","Complete")</f>
        <v>Complete</v>
      </c>
      <c r="N889" t="str">
        <f>IF(M889="Incomplete","Not checked",IF(ROUND(I889*J889,2)=ROUND(L889,2),"Valid","Mismatch"))</f>
        <v>Valid</v>
      </c>
      <c r="O889">
        <f t="shared" si="27"/>
        <v>187.5</v>
      </c>
    </row>
    <row r="890" spans="1:15">
      <c r="A890">
        <v>1745</v>
      </c>
      <c r="B890" t="str">
        <f t="shared" si="26"/>
        <v>2023-09</v>
      </c>
      <c r="C890" s="1">
        <v>45197</v>
      </c>
      <c r="D890" s="5">
        <v>0.44305555555555554</v>
      </c>
      <c r="E890">
        <v>4</v>
      </c>
      <c r="F890" t="s">
        <v>11</v>
      </c>
      <c r="G890">
        <v>54</v>
      </c>
      <c r="H890" t="s">
        <v>13</v>
      </c>
      <c r="I890">
        <v>2</v>
      </c>
      <c r="J890" s="6">
        <v>50</v>
      </c>
      <c r="K890">
        <v>21</v>
      </c>
      <c r="L890">
        <v>100</v>
      </c>
      <c r="M890" t="str">
        <f>IF(OR(I890="",J890="",L890=""),"Incomplete","Complete")</f>
        <v>Complete</v>
      </c>
      <c r="N890" t="str">
        <f>IF(M890="Incomplete","Not checked",IF(ROUND(I890*J890,2)=ROUND(L890,2),"Valid","Mismatch"))</f>
        <v>Valid</v>
      </c>
      <c r="O890">
        <f t="shared" si="27"/>
        <v>79</v>
      </c>
    </row>
    <row r="891" spans="1:15">
      <c r="A891">
        <v>354</v>
      </c>
      <c r="B891" t="str">
        <f t="shared" si="26"/>
        <v>2023-12</v>
      </c>
      <c r="C891" s="1">
        <v>45276</v>
      </c>
      <c r="D891" s="5">
        <v>0.33194444444444443</v>
      </c>
      <c r="E891">
        <v>5</v>
      </c>
      <c r="F891" t="s">
        <v>14</v>
      </c>
      <c r="G891">
        <v>49</v>
      </c>
      <c r="H891" t="s">
        <v>13</v>
      </c>
      <c r="I891">
        <v>4</v>
      </c>
      <c r="J891" s="6">
        <v>50</v>
      </c>
      <c r="K891">
        <v>24.5</v>
      </c>
      <c r="L891">
        <v>200</v>
      </c>
      <c r="M891" t="str">
        <f>IF(OR(I891="",J891="",L891=""),"Incomplete","Complete")</f>
        <v>Complete</v>
      </c>
      <c r="N891" t="str">
        <f>IF(M891="Incomplete","Not checked",IF(ROUND(I891*J891,2)=ROUND(L891,2),"Valid","Mismatch"))</f>
        <v>Valid</v>
      </c>
      <c r="O891">
        <f t="shared" si="27"/>
        <v>175.5</v>
      </c>
    </row>
    <row r="892" spans="1:15">
      <c r="A892">
        <v>1354</v>
      </c>
      <c r="B892" t="str">
        <f t="shared" si="26"/>
        <v>2023-09</v>
      </c>
      <c r="C892" s="1">
        <v>45186</v>
      </c>
      <c r="D892" s="5">
        <v>0.39861111111111114</v>
      </c>
      <c r="E892">
        <v>5</v>
      </c>
      <c r="F892" t="s">
        <v>14</v>
      </c>
      <c r="G892">
        <v>49</v>
      </c>
      <c r="H892" t="s">
        <v>13</v>
      </c>
      <c r="I892">
        <v>4</v>
      </c>
      <c r="J892" s="6">
        <v>50</v>
      </c>
      <c r="K892">
        <v>26.5</v>
      </c>
      <c r="L892">
        <v>200</v>
      </c>
      <c r="M892" t="str">
        <f>IF(OR(I892="",J892="",L892=""),"Incomplete","Complete")</f>
        <v>Complete</v>
      </c>
      <c r="N892" t="str">
        <f>IF(M892="Incomplete","Not checked",IF(ROUND(I892*J892,2)=ROUND(L892,2),"Valid","Mismatch"))</f>
        <v>Valid</v>
      </c>
      <c r="O892">
        <f t="shared" si="27"/>
        <v>173.5</v>
      </c>
    </row>
    <row r="893" spans="1:15">
      <c r="A893">
        <v>724</v>
      </c>
      <c r="B893" t="str">
        <f t="shared" si="26"/>
        <v>2023-06</v>
      </c>
      <c r="C893" s="1">
        <v>45091</v>
      </c>
      <c r="D893" s="5">
        <v>0.28888888888888886</v>
      </c>
      <c r="E893">
        <v>3</v>
      </c>
      <c r="F893" t="s">
        <v>11</v>
      </c>
      <c r="G893">
        <v>61</v>
      </c>
      <c r="H893" t="s">
        <v>12</v>
      </c>
      <c r="I893">
        <v>3</v>
      </c>
      <c r="J893" s="6">
        <v>50</v>
      </c>
      <c r="K893">
        <v>20</v>
      </c>
      <c r="L893">
        <v>150</v>
      </c>
      <c r="M893" t="str">
        <f>IF(OR(I893="",J893="",L893=""),"Incomplete","Complete")</f>
        <v>Complete</v>
      </c>
      <c r="N893" t="str">
        <f>IF(M893="Incomplete","Not checked",IF(ROUND(I893*J893,2)=ROUND(L893,2),"Valid","Mismatch"))</f>
        <v>Valid</v>
      </c>
      <c r="O893">
        <f t="shared" si="27"/>
        <v>130</v>
      </c>
    </row>
    <row r="894" spans="1:15">
      <c r="A894">
        <v>836</v>
      </c>
      <c r="B894" t="str">
        <f t="shared" si="26"/>
        <v>2023-06</v>
      </c>
      <c r="C894" s="1">
        <v>45098</v>
      </c>
      <c r="D894" s="5">
        <v>0.2722222222222222</v>
      </c>
      <c r="E894">
        <v>2</v>
      </c>
      <c r="F894" t="s">
        <v>14</v>
      </c>
      <c r="G894">
        <v>22</v>
      </c>
      <c r="H894" t="s">
        <v>12</v>
      </c>
      <c r="I894">
        <v>1</v>
      </c>
      <c r="J894" s="6">
        <v>50</v>
      </c>
      <c r="K894">
        <v>27.5</v>
      </c>
      <c r="L894">
        <v>50</v>
      </c>
      <c r="M894" t="str">
        <f>IF(OR(I894="",J894="",L894=""),"Incomplete","Complete")</f>
        <v>Complete</v>
      </c>
      <c r="N894" t="str">
        <f>IF(M894="Incomplete","Not checked",IF(ROUND(I894*J894,2)=ROUND(L894,2),"Valid","Mismatch"))</f>
        <v>Valid</v>
      </c>
      <c r="O894">
        <f t="shared" si="27"/>
        <v>22.5</v>
      </c>
    </row>
    <row r="895" spans="1:15">
      <c r="A895">
        <v>1724</v>
      </c>
      <c r="B895" t="str">
        <f t="shared" si="26"/>
        <v>2023-09</v>
      </c>
      <c r="C895" s="1">
        <v>45184</v>
      </c>
      <c r="D895" s="5">
        <v>0.87013888888888891</v>
      </c>
      <c r="E895">
        <v>4</v>
      </c>
      <c r="F895" t="s">
        <v>11</v>
      </c>
      <c r="G895">
        <v>61</v>
      </c>
      <c r="H895" t="s">
        <v>12</v>
      </c>
      <c r="I895">
        <v>3</v>
      </c>
      <c r="J895" s="6">
        <v>50</v>
      </c>
      <c r="K895">
        <v>17</v>
      </c>
      <c r="L895">
        <v>150</v>
      </c>
      <c r="M895" t="str">
        <f>IF(OR(I895="",J895="",L895=""),"Incomplete","Complete")</f>
        <v>Complete</v>
      </c>
      <c r="N895" t="str">
        <f>IF(M895="Incomplete","Not checked",IF(ROUND(I895*J895,2)=ROUND(L895,2),"Valid","Mismatch"))</f>
        <v>Valid</v>
      </c>
      <c r="O895">
        <f t="shared" si="27"/>
        <v>133</v>
      </c>
    </row>
    <row r="896" spans="1:15">
      <c r="A896">
        <v>1836</v>
      </c>
      <c r="B896" t="str">
        <f t="shared" si="26"/>
        <v>2023-02</v>
      </c>
      <c r="C896" s="1">
        <v>44970</v>
      </c>
      <c r="D896" s="5">
        <v>0.72152777777777777</v>
      </c>
      <c r="E896">
        <v>3</v>
      </c>
      <c r="F896" t="s">
        <v>14</v>
      </c>
      <c r="G896">
        <v>22</v>
      </c>
      <c r="H896" t="s">
        <v>12</v>
      </c>
      <c r="I896">
        <v>1</v>
      </c>
      <c r="J896" s="6">
        <v>50</v>
      </c>
      <c r="K896">
        <v>23.5</v>
      </c>
      <c r="L896">
        <v>50</v>
      </c>
      <c r="M896" t="str">
        <f>IF(OR(I896="",J896="",L896=""),"Incomplete","Complete")</f>
        <v>Complete</v>
      </c>
      <c r="N896" t="str">
        <f>IF(M896="Incomplete","Not checked",IF(ROUND(I896*J896,2)=ROUND(L896,2),"Valid","Mismatch"))</f>
        <v>Valid</v>
      </c>
      <c r="O896">
        <f t="shared" si="27"/>
        <v>26.5</v>
      </c>
    </row>
    <row r="897" spans="1:15">
      <c r="A897">
        <v>665</v>
      </c>
      <c r="B897" t="str">
        <f t="shared" si="26"/>
        <v>2023-10</v>
      </c>
      <c r="C897" s="1">
        <v>45202</v>
      </c>
      <c r="D897" s="5">
        <v>0.9506944444444444</v>
      </c>
      <c r="E897">
        <v>1</v>
      </c>
      <c r="F897" t="s">
        <v>11</v>
      </c>
      <c r="G897">
        <v>57</v>
      </c>
      <c r="H897" t="s">
        <v>12</v>
      </c>
      <c r="I897">
        <v>1</v>
      </c>
      <c r="J897" s="6">
        <v>50</v>
      </c>
      <c r="K897">
        <v>19</v>
      </c>
      <c r="L897">
        <v>50</v>
      </c>
      <c r="M897" t="str">
        <f>IF(OR(I897="",J897="",L897=""),"Incomplete","Complete")</f>
        <v>Complete</v>
      </c>
      <c r="N897" t="str">
        <f>IF(M897="Incomplete","Not checked",IF(ROUND(I897*J897,2)=ROUND(L897,2),"Valid","Mismatch"))</f>
        <v>Valid</v>
      </c>
      <c r="O897">
        <f t="shared" si="27"/>
        <v>31</v>
      </c>
    </row>
    <row r="898" spans="1:15">
      <c r="A898">
        <v>1665</v>
      </c>
      <c r="B898" t="str">
        <f t="shared" ref="B898:B961" si="28">TEXT(C898,"yyyy-mm")</f>
        <v>2023-11</v>
      </c>
      <c r="C898" s="1">
        <v>45231</v>
      </c>
      <c r="D898" s="5">
        <v>0.81805555555555554</v>
      </c>
      <c r="E898">
        <v>4</v>
      </c>
      <c r="F898" t="s">
        <v>11</v>
      </c>
      <c r="G898">
        <v>57</v>
      </c>
      <c r="H898" t="s">
        <v>12</v>
      </c>
      <c r="I898">
        <v>1</v>
      </c>
      <c r="J898" s="6">
        <v>50</v>
      </c>
      <c r="K898">
        <v>14</v>
      </c>
      <c r="L898">
        <v>50</v>
      </c>
      <c r="M898" t="str">
        <f>IF(OR(I898="",J898="",L898=""),"Incomplete","Complete")</f>
        <v>Complete</v>
      </c>
      <c r="N898" t="str">
        <f>IF(M898="Incomplete","Not checked",IF(ROUND(I898*J898,2)=ROUND(L898,2),"Valid","Mismatch"))</f>
        <v>Valid</v>
      </c>
      <c r="O898">
        <f t="shared" ref="O898:O961" si="29">IF(M898="Incomplete","",L898-K898)</f>
        <v>36</v>
      </c>
    </row>
    <row r="899" spans="1:15">
      <c r="A899">
        <v>893</v>
      </c>
      <c r="B899" t="str">
        <f t="shared" si="28"/>
        <v>2023-04</v>
      </c>
      <c r="C899" s="1">
        <v>45045</v>
      </c>
      <c r="D899" s="5">
        <v>0.78611111111111109</v>
      </c>
      <c r="E899">
        <v>1</v>
      </c>
      <c r="F899" t="s">
        <v>11</v>
      </c>
      <c r="G899">
        <v>49</v>
      </c>
      <c r="H899" t="s">
        <v>15</v>
      </c>
      <c r="I899">
        <v>1</v>
      </c>
      <c r="J899" s="6">
        <v>50</v>
      </c>
      <c r="K899">
        <v>17</v>
      </c>
      <c r="L899">
        <v>50</v>
      </c>
      <c r="M899" t="str">
        <f>IF(OR(I899="",J899="",L899=""),"Incomplete","Complete")</f>
        <v>Complete</v>
      </c>
      <c r="N899" t="str">
        <f>IF(M899="Incomplete","Not checked",IF(ROUND(I899*J899,2)=ROUND(L899,2),"Valid","Mismatch"))</f>
        <v>Valid</v>
      </c>
      <c r="O899">
        <f t="shared" si="29"/>
        <v>33</v>
      </c>
    </row>
    <row r="900" spans="1:15">
      <c r="A900">
        <v>1893</v>
      </c>
      <c r="B900" t="str">
        <f t="shared" si="28"/>
        <v>2023-02</v>
      </c>
      <c r="C900" s="1">
        <v>44982</v>
      </c>
      <c r="D900" s="5">
        <v>0.71111111111111114</v>
      </c>
      <c r="E900">
        <v>3</v>
      </c>
      <c r="F900" t="s">
        <v>11</v>
      </c>
      <c r="G900">
        <v>49</v>
      </c>
      <c r="H900" t="s">
        <v>15</v>
      </c>
      <c r="I900">
        <v>1</v>
      </c>
      <c r="J900" s="6">
        <v>50</v>
      </c>
      <c r="K900">
        <v>22.5</v>
      </c>
      <c r="L900">
        <v>50</v>
      </c>
      <c r="M900" t="str">
        <f>IF(OR(I900="",J900="",L900=""),"Incomplete","Complete")</f>
        <v>Complete</v>
      </c>
      <c r="N900" t="str">
        <f>IF(M900="Incomplete","Not checked",IF(ROUND(I900*J900,2)=ROUND(L900,2),"Valid","Mismatch"))</f>
        <v>Valid</v>
      </c>
      <c r="O900">
        <f t="shared" si="29"/>
        <v>27.5</v>
      </c>
    </row>
    <row r="901" spans="1:15">
      <c r="A901">
        <v>98</v>
      </c>
      <c r="B901" t="str">
        <f t="shared" si="28"/>
        <v>2023-04</v>
      </c>
      <c r="C901" s="1">
        <v>45025</v>
      </c>
      <c r="D901" s="5">
        <v>0.82013888888888886</v>
      </c>
      <c r="E901">
        <v>1</v>
      </c>
      <c r="F901" t="s">
        <v>14</v>
      </c>
      <c r="G901">
        <v>55</v>
      </c>
      <c r="H901" t="s">
        <v>13</v>
      </c>
      <c r="I901">
        <v>2</v>
      </c>
      <c r="J901" s="6">
        <v>50</v>
      </c>
      <c r="K901">
        <v>19.5</v>
      </c>
      <c r="L901">
        <v>100</v>
      </c>
      <c r="M901" t="str">
        <f>IF(OR(I901="",J901="",L901=""),"Incomplete","Complete")</f>
        <v>Complete</v>
      </c>
      <c r="N901" t="str">
        <f>IF(M901="Incomplete","Not checked",IF(ROUND(I901*J901,2)=ROUND(L901,2),"Valid","Mismatch"))</f>
        <v>Valid</v>
      </c>
      <c r="O901">
        <f t="shared" si="29"/>
        <v>80.5</v>
      </c>
    </row>
    <row r="902" spans="1:15">
      <c r="A902">
        <v>1098</v>
      </c>
      <c r="B902" t="str">
        <f t="shared" si="28"/>
        <v>2023-07</v>
      </c>
      <c r="C902" s="1">
        <v>45113</v>
      </c>
      <c r="D902" s="5">
        <v>0.94027777777777777</v>
      </c>
      <c r="E902">
        <v>3</v>
      </c>
      <c r="F902" t="s">
        <v>14</v>
      </c>
      <c r="G902">
        <v>55</v>
      </c>
      <c r="H902" t="s">
        <v>13</v>
      </c>
      <c r="I902">
        <v>2</v>
      </c>
      <c r="J902" s="6">
        <v>50</v>
      </c>
      <c r="K902">
        <v>19.5</v>
      </c>
      <c r="L902">
        <v>100</v>
      </c>
      <c r="M902" t="str">
        <f>IF(OR(I902="",J902="",L902=""),"Incomplete","Complete")</f>
        <v>Complete</v>
      </c>
      <c r="N902" t="str">
        <f>IF(M902="Incomplete","Not checked",IF(ROUND(I902*J902,2)=ROUND(L902,2),"Valid","Mismatch"))</f>
        <v>Valid</v>
      </c>
      <c r="O902">
        <f t="shared" si="29"/>
        <v>80.5</v>
      </c>
    </row>
    <row r="903" spans="1:15">
      <c r="A903">
        <v>738</v>
      </c>
      <c r="B903" t="str">
        <f t="shared" si="28"/>
        <v>2023-02</v>
      </c>
      <c r="C903" s="1">
        <v>44962</v>
      </c>
      <c r="D903" s="5">
        <v>0.76666666666666672</v>
      </c>
      <c r="E903">
        <v>5</v>
      </c>
      <c r="F903" t="s">
        <v>11</v>
      </c>
      <c r="G903">
        <v>41</v>
      </c>
      <c r="H903" t="s">
        <v>12</v>
      </c>
      <c r="I903">
        <v>2</v>
      </c>
      <c r="J903" s="6">
        <v>50</v>
      </c>
      <c r="K903">
        <v>26</v>
      </c>
      <c r="L903">
        <v>100</v>
      </c>
      <c r="M903" t="str">
        <f>IF(OR(I903="",J903="",L903=""),"Incomplete","Complete")</f>
        <v>Complete</v>
      </c>
      <c r="N903" t="str">
        <f>IF(M903="Incomplete","Not checked",IF(ROUND(I903*J903,2)=ROUND(L903,2),"Valid","Mismatch"))</f>
        <v>Valid</v>
      </c>
      <c r="O903">
        <f t="shared" si="29"/>
        <v>74</v>
      </c>
    </row>
    <row r="904" spans="1:15">
      <c r="A904">
        <v>1738</v>
      </c>
      <c r="B904" t="str">
        <f t="shared" si="28"/>
        <v>2023-11</v>
      </c>
      <c r="C904" s="1">
        <v>45242</v>
      </c>
      <c r="D904" s="5">
        <v>0.8979166666666667</v>
      </c>
      <c r="E904">
        <v>1</v>
      </c>
      <c r="F904" t="s">
        <v>11</v>
      </c>
      <c r="G904">
        <v>41</v>
      </c>
      <c r="H904" t="s">
        <v>12</v>
      </c>
      <c r="I904">
        <v>2</v>
      </c>
      <c r="J904" s="6">
        <v>50</v>
      </c>
      <c r="K904">
        <v>16</v>
      </c>
      <c r="L904">
        <v>100</v>
      </c>
      <c r="M904" t="str">
        <f>IF(OR(I904="",J904="",L904=""),"Incomplete","Complete")</f>
        <v>Complete</v>
      </c>
      <c r="N904" t="str">
        <f>IF(M904="Incomplete","Not checked",IF(ROUND(I904*J904,2)=ROUND(L904,2),"Valid","Mismatch"))</f>
        <v>Valid</v>
      </c>
      <c r="O904">
        <f t="shared" si="29"/>
        <v>84</v>
      </c>
    </row>
    <row r="905" spans="1:15">
      <c r="A905">
        <v>903</v>
      </c>
      <c r="B905" t="str">
        <f t="shared" si="28"/>
        <v>2023-07</v>
      </c>
      <c r="C905" s="1">
        <v>45134</v>
      </c>
      <c r="D905" s="5">
        <v>0.92638888888888893</v>
      </c>
      <c r="E905">
        <v>3</v>
      </c>
      <c r="F905" t="s">
        <v>14</v>
      </c>
      <c r="G905">
        <v>51</v>
      </c>
      <c r="H905" t="s">
        <v>13</v>
      </c>
      <c r="I905">
        <v>4</v>
      </c>
      <c r="J905" s="6">
        <v>50</v>
      </c>
      <c r="K905">
        <v>14</v>
      </c>
      <c r="L905">
        <v>200</v>
      </c>
      <c r="M905" t="str">
        <f>IF(OR(I905="",J905="",L905=""),"Incomplete","Complete")</f>
        <v>Complete</v>
      </c>
      <c r="N905" t="str">
        <f>IF(M905="Incomplete","Not checked",IF(ROUND(I905*J905,2)=ROUND(L905,2),"Valid","Mismatch"))</f>
        <v>Valid</v>
      </c>
      <c r="O905">
        <f t="shared" si="29"/>
        <v>186</v>
      </c>
    </row>
    <row r="906" spans="1:15">
      <c r="A906">
        <v>1903</v>
      </c>
      <c r="B906" t="str">
        <f t="shared" si="28"/>
        <v>2023-07</v>
      </c>
      <c r="C906" s="1">
        <v>45134</v>
      </c>
      <c r="D906" s="5">
        <v>0.90555555555555556</v>
      </c>
      <c r="E906">
        <v>5</v>
      </c>
      <c r="F906" t="s">
        <v>14</v>
      </c>
      <c r="G906">
        <v>51</v>
      </c>
      <c r="H906" t="s">
        <v>13</v>
      </c>
      <c r="I906">
        <v>4</v>
      </c>
      <c r="J906" s="6">
        <v>50</v>
      </c>
      <c r="K906">
        <v>19</v>
      </c>
      <c r="L906">
        <v>200</v>
      </c>
      <c r="M906" t="str">
        <f>IF(OR(I906="",J906="",L906=""),"Incomplete","Complete")</f>
        <v>Complete</v>
      </c>
      <c r="N906" t="str">
        <f>IF(M906="Incomplete","Not checked",IF(ROUND(I906*J906,2)=ROUND(L906,2),"Valid","Mismatch"))</f>
        <v>Valid</v>
      </c>
      <c r="O906">
        <f t="shared" si="29"/>
        <v>181</v>
      </c>
    </row>
    <row r="907" spans="1:15">
      <c r="A907">
        <v>652</v>
      </c>
      <c r="B907" t="str">
        <f t="shared" si="28"/>
        <v>2023-10</v>
      </c>
      <c r="C907" s="1">
        <v>45230</v>
      </c>
      <c r="D907" s="5">
        <v>0.71180555555555558</v>
      </c>
      <c r="E907">
        <v>4</v>
      </c>
      <c r="F907" t="s">
        <v>14</v>
      </c>
      <c r="G907">
        <v>34</v>
      </c>
      <c r="H907" t="s">
        <v>13</v>
      </c>
      <c r="I907">
        <v>2</v>
      </c>
      <c r="J907" s="6">
        <v>50</v>
      </c>
      <c r="K907">
        <v>20.5</v>
      </c>
      <c r="L907">
        <v>100</v>
      </c>
      <c r="M907" t="str">
        <f>IF(OR(I907="",J907="",L907=""),"Incomplete","Complete")</f>
        <v>Complete</v>
      </c>
      <c r="N907" t="str">
        <f>IF(M907="Incomplete","Not checked",IF(ROUND(I907*J907,2)=ROUND(L907,2),"Valid","Mismatch"))</f>
        <v>Valid</v>
      </c>
      <c r="O907">
        <f t="shared" si="29"/>
        <v>79.5</v>
      </c>
    </row>
    <row r="908" spans="1:15">
      <c r="A908">
        <v>1652</v>
      </c>
      <c r="B908" t="str">
        <f t="shared" si="28"/>
        <v>2023-11</v>
      </c>
      <c r="C908" s="1">
        <v>45246</v>
      </c>
      <c r="D908" s="5">
        <v>0.83333333333333337</v>
      </c>
      <c r="E908">
        <v>2</v>
      </c>
      <c r="F908" t="s">
        <v>14</v>
      </c>
      <c r="G908">
        <v>34</v>
      </c>
      <c r="H908" t="s">
        <v>13</v>
      </c>
      <c r="I908">
        <v>2</v>
      </c>
      <c r="J908" s="6">
        <v>50</v>
      </c>
      <c r="K908">
        <v>20.5</v>
      </c>
      <c r="L908">
        <v>100</v>
      </c>
      <c r="M908" t="str">
        <f>IF(OR(I908="",J908="",L908=""),"Incomplete","Complete")</f>
        <v>Complete</v>
      </c>
      <c r="N908" t="str">
        <f>IF(M908="Incomplete","Not checked",IF(ROUND(I908*J908,2)=ROUND(L908,2),"Valid","Mismatch"))</f>
        <v>Valid</v>
      </c>
      <c r="O908">
        <f t="shared" si="29"/>
        <v>79.5</v>
      </c>
    </row>
    <row r="909" spans="1:15">
      <c r="A909">
        <v>460</v>
      </c>
      <c r="B909" t="str">
        <f t="shared" si="28"/>
        <v>2023-05</v>
      </c>
      <c r="C909" s="1">
        <v>45047</v>
      </c>
      <c r="D909" s="5">
        <v>0.95833333333333337</v>
      </c>
      <c r="E909">
        <v>2</v>
      </c>
      <c r="F909" t="s">
        <v>11</v>
      </c>
      <c r="G909">
        <v>40</v>
      </c>
      <c r="H909" t="s">
        <v>13</v>
      </c>
      <c r="I909">
        <v>1</v>
      </c>
      <c r="J909" s="6">
        <v>50</v>
      </c>
      <c r="K909">
        <v>19</v>
      </c>
      <c r="L909">
        <v>50</v>
      </c>
      <c r="M909" t="str">
        <f>IF(OR(I909="",J909="",L909=""),"Incomplete","Complete")</f>
        <v>Complete</v>
      </c>
      <c r="N909" t="str">
        <f>IF(M909="Incomplete","Not checked",IF(ROUND(I909*J909,2)=ROUND(L909,2),"Valid","Mismatch"))</f>
        <v>Valid</v>
      </c>
      <c r="O909">
        <f t="shared" si="29"/>
        <v>31</v>
      </c>
    </row>
    <row r="910" spans="1:15">
      <c r="A910">
        <v>1460</v>
      </c>
      <c r="B910" t="str">
        <f t="shared" si="28"/>
        <v>2023-01</v>
      </c>
      <c r="C910" s="1">
        <v>44951</v>
      </c>
      <c r="D910" s="5">
        <v>0.8208333333333333</v>
      </c>
      <c r="E910">
        <v>4</v>
      </c>
      <c r="F910" t="s">
        <v>11</v>
      </c>
      <c r="G910">
        <v>40</v>
      </c>
      <c r="H910" t="s">
        <v>13</v>
      </c>
      <c r="I910">
        <v>1</v>
      </c>
      <c r="J910" s="6">
        <v>50</v>
      </c>
      <c r="K910">
        <v>22</v>
      </c>
      <c r="L910">
        <v>50</v>
      </c>
      <c r="M910" t="str">
        <f>IF(OR(I910="",J910="",L910=""),"Incomplete","Complete")</f>
        <v>Complete</v>
      </c>
      <c r="N910" t="str">
        <f>IF(M910="Incomplete","Not checked",IF(ROUND(I910*J910,2)=ROUND(L910,2),"Valid","Mismatch"))</f>
        <v>Valid</v>
      </c>
      <c r="O910">
        <f t="shared" si="29"/>
        <v>28</v>
      </c>
    </row>
    <row r="911" spans="1:15">
      <c r="A911">
        <v>606</v>
      </c>
      <c r="B911" t="str">
        <f t="shared" si="28"/>
        <v>2023-06</v>
      </c>
      <c r="C911" s="1">
        <v>45090</v>
      </c>
      <c r="D911" s="5">
        <v>0.84652777777777777</v>
      </c>
      <c r="E911">
        <v>2</v>
      </c>
      <c r="F911" t="s">
        <v>11</v>
      </c>
      <c r="G911">
        <v>22</v>
      </c>
      <c r="H911" t="s">
        <v>15</v>
      </c>
      <c r="I911">
        <v>1</v>
      </c>
      <c r="J911" s="6">
        <v>50</v>
      </c>
      <c r="K911">
        <v>19.5</v>
      </c>
      <c r="L911">
        <v>50</v>
      </c>
      <c r="M911" t="str">
        <f>IF(OR(I911="",J911="",L911=""),"Incomplete","Complete")</f>
        <v>Complete</v>
      </c>
      <c r="N911" t="str">
        <f>IF(M911="Incomplete","Not checked",IF(ROUND(I911*J911,2)=ROUND(L911,2),"Valid","Mismatch"))</f>
        <v>Valid</v>
      </c>
      <c r="O911">
        <f t="shared" si="29"/>
        <v>30.5</v>
      </c>
    </row>
    <row r="912" spans="1:15">
      <c r="A912">
        <v>866</v>
      </c>
      <c r="B912" t="str">
        <f t="shared" si="28"/>
        <v>2023-07</v>
      </c>
      <c r="C912" s="1">
        <v>45113</v>
      </c>
      <c r="D912" s="5">
        <v>0.76111111111111107</v>
      </c>
      <c r="E912">
        <v>4</v>
      </c>
      <c r="F912" t="s">
        <v>11</v>
      </c>
      <c r="G912">
        <v>24</v>
      </c>
      <c r="H912" t="s">
        <v>15</v>
      </c>
      <c r="I912">
        <v>1</v>
      </c>
      <c r="J912" s="6">
        <v>50</v>
      </c>
      <c r="K912">
        <v>22.5</v>
      </c>
      <c r="L912">
        <v>50</v>
      </c>
      <c r="M912" t="str">
        <f>IF(OR(I912="",J912="",L912=""),"Incomplete","Complete")</f>
        <v>Complete</v>
      </c>
      <c r="N912" t="str">
        <f>IF(M912="Incomplete","Not checked",IF(ROUND(I912*J912,2)=ROUND(L912,2),"Valid","Mismatch"))</f>
        <v>Valid</v>
      </c>
      <c r="O912">
        <f t="shared" si="29"/>
        <v>27.5</v>
      </c>
    </row>
    <row r="913" spans="1:15">
      <c r="A913">
        <v>1606</v>
      </c>
      <c r="B913" t="str">
        <f t="shared" si="28"/>
        <v>2023-10</v>
      </c>
      <c r="C913" s="1">
        <v>45218</v>
      </c>
      <c r="D913" s="5">
        <v>0.82777777777777772</v>
      </c>
      <c r="E913">
        <v>2</v>
      </c>
      <c r="F913" t="s">
        <v>11</v>
      </c>
      <c r="G913">
        <v>22</v>
      </c>
      <c r="H913" t="s">
        <v>15</v>
      </c>
      <c r="I913">
        <v>1</v>
      </c>
      <c r="J913" s="6">
        <v>50</v>
      </c>
      <c r="K913">
        <v>26.5</v>
      </c>
      <c r="L913">
        <v>50</v>
      </c>
      <c r="M913" t="str">
        <f>IF(OR(I913="",J913="",L913=""),"Incomplete","Complete")</f>
        <v>Complete</v>
      </c>
      <c r="N913" t="str">
        <f>IF(M913="Incomplete","Not checked",IF(ROUND(I913*J913,2)=ROUND(L913,2),"Valid","Mismatch"))</f>
        <v>Valid</v>
      </c>
      <c r="O913">
        <f t="shared" si="29"/>
        <v>23.5</v>
      </c>
    </row>
    <row r="914" spans="1:15">
      <c r="A914">
        <v>1866</v>
      </c>
      <c r="B914" t="str">
        <f t="shared" si="28"/>
        <v>2023-08</v>
      </c>
      <c r="C914" s="1">
        <v>45155</v>
      </c>
      <c r="D914" s="5">
        <v>0.94305555555555554</v>
      </c>
      <c r="E914">
        <v>5</v>
      </c>
      <c r="F914" t="s">
        <v>11</v>
      </c>
      <c r="G914">
        <v>24</v>
      </c>
      <c r="H914" t="s">
        <v>15</v>
      </c>
      <c r="I914">
        <v>1</v>
      </c>
      <c r="J914" s="6">
        <v>50</v>
      </c>
      <c r="K914">
        <v>20</v>
      </c>
      <c r="L914">
        <v>50</v>
      </c>
      <c r="M914" t="str">
        <f>IF(OR(I914="",J914="",L914=""),"Incomplete","Complete")</f>
        <v>Complete</v>
      </c>
      <c r="N914" t="str">
        <f>IF(M914="Incomplete","Not checked",IF(ROUND(I914*J914,2)=ROUND(L914,2),"Valid","Mismatch"))</f>
        <v>Valid</v>
      </c>
      <c r="O914">
        <f t="shared" si="29"/>
        <v>30</v>
      </c>
    </row>
    <row r="915" spans="1:15">
      <c r="A915">
        <v>5</v>
      </c>
      <c r="B915" t="str">
        <f t="shared" si="28"/>
        <v>2023-09</v>
      </c>
      <c r="C915" s="1">
        <v>45174</v>
      </c>
      <c r="D915" s="5">
        <v>0.92361111111111116</v>
      </c>
      <c r="E915">
        <v>3</v>
      </c>
      <c r="F915" t="s">
        <v>11</v>
      </c>
      <c r="G915">
        <v>30</v>
      </c>
      <c r="H915" t="s">
        <v>13</v>
      </c>
      <c r="I915">
        <v>2</v>
      </c>
      <c r="J915" s="6">
        <v>50</v>
      </c>
      <c r="K915">
        <v>24</v>
      </c>
      <c r="L915">
        <v>100</v>
      </c>
      <c r="M915" t="str">
        <f>IF(OR(I915="",J915="",L915=""),"Incomplete","Complete")</f>
        <v>Complete</v>
      </c>
      <c r="N915" t="str">
        <f>IF(M915="Incomplete","Not checked",IF(ROUND(I915*J915,2)=ROUND(L915,2),"Valid","Mismatch"))</f>
        <v>Valid</v>
      </c>
      <c r="O915">
        <f t="shared" si="29"/>
        <v>76</v>
      </c>
    </row>
    <row r="916" spans="1:15">
      <c r="A916">
        <v>820</v>
      </c>
      <c r="B916" t="str">
        <f t="shared" si="28"/>
        <v>2023-02</v>
      </c>
      <c r="C916" s="1">
        <v>44974</v>
      </c>
      <c r="D916" s="5">
        <v>0.9506944444444444</v>
      </c>
      <c r="E916">
        <v>1</v>
      </c>
      <c r="F916" t="s">
        <v>11</v>
      </c>
      <c r="G916">
        <v>49</v>
      </c>
      <c r="H916" t="s">
        <v>15</v>
      </c>
      <c r="I916">
        <v>4</v>
      </c>
      <c r="J916" s="6">
        <v>50</v>
      </c>
      <c r="K916">
        <v>24</v>
      </c>
      <c r="L916">
        <v>200</v>
      </c>
      <c r="M916" t="str">
        <f>IF(OR(I916="",J916="",L916=""),"Incomplete","Complete")</f>
        <v>Complete</v>
      </c>
      <c r="N916" t="str">
        <f>IF(M916="Incomplete","Not checked",IF(ROUND(I916*J916,2)=ROUND(L916,2),"Valid","Mismatch"))</f>
        <v>Valid</v>
      </c>
      <c r="O916">
        <f t="shared" si="29"/>
        <v>176</v>
      </c>
    </row>
    <row r="917" spans="1:15">
      <c r="A917">
        <v>1005</v>
      </c>
      <c r="B917" t="str">
        <f t="shared" si="28"/>
        <v>2023-08</v>
      </c>
      <c r="C917" s="1">
        <v>45150</v>
      </c>
      <c r="D917" s="5">
        <v>0.85972222222222228</v>
      </c>
      <c r="E917">
        <v>2</v>
      </c>
      <c r="F917" t="s">
        <v>11</v>
      </c>
      <c r="G917">
        <v>30</v>
      </c>
      <c r="H917" t="s">
        <v>13</v>
      </c>
      <c r="I917">
        <v>2</v>
      </c>
      <c r="J917" s="6">
        <v>50</v>
      </c>
      <c r="K917">
        <v>17.5</v>
      </c>
      <c r="L917">
        <v>100</v>
      </c>
      <c r="M917" t="str">
        <f>IF(OR(I917="",J917="",L917=""),"Incomplete","Complete")</f>
        <v>Complete</v>
      </c>
      <c r="N917" t="str">
        <f>IF(M917="Incomplete","Not checked",IF(ROUND(I917*J917,2)=ROUND(L917,2),"Valid","Mismatch"))</f>
        <v>Valid</v>
      </c>
      <c r="O917">
        <f t="shared" si="29"/>
        <v>82.5</v>
      </c>
    </row>
    <row r="918" spans="1:15">
      <c r="A918">
        <v>1820</v>
      </c>
      <c r="B918" t="str">
        <f t="shared" si="28"/>
        <v>2023-05</v>
      </c>
      <c r="C918" s="1">
        <v>45059</v>
      </c>
      <c r="D918" s="5">
        <v>0.89652777777777781</v>
      </c>
      <c r="E918">
        <v>1</v>
      </c>
      <c r="F918" t="s">
        <v>11</v>
      </c>
      <c r="G918">
        <v>49</v>
      </c>
      <c r="H918" t="s">
        <v>15</v>
      </c>
      <c r="I918">
        <v>4</v>
      </c>
      <c r="J918" s="6">
        <v>50</v>
      </c>
      <c r="K918">
        <v>22</v>
      </c>
      <c r="L918">
        <v>200</v>
      </c>
      <c r="M918" t="str">
        <f>IF(OR(I918="",J918="",L918=""),"Incomplete","Complete")</f>
        <v>Complete</v>
      </c>
      <c r="N918" t="str">
        <f>IF(M918="Incomplete","Not checked",IF(ROUND(I918*J918,2)=ROUND(L918,2),"Valid","Mismatch"))</f>
        <v>Valid</v>
      </c>
      <c r="O918">
        <f t="shared" si="29"/>
        <v>178</v>
      </c>
    </row>
    <row r="919" spans="1:15">
      <c r="A919">
        <v>120</v>
      </c>
      <c r="B919" t="str">
        <f t="shared" si="28"/>
        <v>2023-03</v>
      </c>
      <c r="C919" s="1">
        <v>45016</v>
      </c>
      <c r="D919" s="5">
        <v>0.81597222222222221</v>
      </c>
      <c r="E919">
        <v>4</v>
      </c>
      <c r="F919" t="s">
        <v>11</v>
      </c>
      <c r="G919">
        <v>60</v>
      </c>
      <c r="H919" t="s">
        <v>13</v>
      </c>
      <c r="I919">
        <v>1</v>
      </c>
      <c r="J919" s="6">
        <v>50</v>
      </c>
      <c r="K919">
        <v>12.5</v>
      </c>
      <c r="L919">
        <v>50</v>
      </c>
      <c r="M919" t="str">
        <f>IF(OR(I919="",J919="",L919=""),"Incomplete","Complete")</f>
        <v>Complete</v>
      </c>
      <c r="N919" t="str">
        <f>IF(M919="Incomplete","Not checked",IF(ROUND(I919*J919,2)=ROUND(L919,2),"Valid","Mismatch"))</f>
        <v>Valid</v>
      </c>
      <c r="O919">
        <f t="shared" si="29"/>
        <v>37.5</v>
      </c>
    </row>
    <row r="920" spans="1:15">
      <c r="A920">
        <v>341</v>
      </c>
      <c r="B920" t="str">
        <f t="shared" si="28"/>
        <v>2023-01</v>
      </c>
      <c r="C920" s="1">
        <v>44946</v>
      </c>
      <c r="D920" s="5">
        <v>0.71250000000000002</v>
      </c>
      <c r="E920">
        <v>5</v>
      </c>
      <c r="F920" t="s">
        <v>11</v>
      </c>
      <c r="G920">
        <v>31</v>
      </c>
      <c r="H920" t="s">
        <v>12</v>
      </c>
      <c r="I920">
        <v>4</v>
      </c>
      <c r="J920" s="6">
        <v>50</v>
      </c>
      <c r="K920">
        <v>18.5</v>
      </c>
      <c r="L920">
        <v>200</v>
      </c>
      <c r="M920" t="str">
        <f>IF(OR(I920="",J920="",L920=""),"Incomplete","Complete")</f>
        <v>Complete</v>
      </c>
      <c r="N920" t="str">
        <f>IF(M920="Incomplete","Not checked",IF(ROUND(I920*J920,2)=ROUND(L920,2),"Valid","Mismatch"))</f>
        <v>Valid</v>
      </c>
      <c r="O920">
        <f t="shared" si="29"/>
        <v>181.5</v>
      </c>
    </row>
    <row r="921" spans="1:15">
      <c r="A921">
        <v>1120</v>
      </c>
      <c r="B921" t="str">
        <f t="shared" si="28"/>
        <v>2023-03</v>
      </c>
      <c r="C921" s="1">
        <v>44987</v>
      </c>
      <c r="D921" s="5">
        <v>0.81388888888888888</v>
      </c>
      <c r="E921">
        <v>4</v>
      </c>
      <c r="F921" t="s">
        <v>11</v>
      </c>
      <c r="G921">
        <v>60</v>
      </c>
      <c r="H921" t="s">
        <v>13</v>
      </c>
      <c r="I921">
        <v>1</v>
      </c>
      <c r="J921" s="6">
        <v>50</v>
      </c>
      <c r="K921">
        <v>26.5</v>
      </c>
      <c r="L921">
        <v>50</v>
      </c>
      <c r="M921" t="str">
        <f>IF(OR(I921="",J921="",L921=""),"Incomplete","Complete")</f>
        <v>Complete</v>
      </c>
      <c r="N921" t="str">
        <f>IF(M921="Incomplete","Not checked",IF(ROUND(I921*J921,2)=ROUND(L921,2),"Valid","Mismatch"))</f>
        <v>Valid</v>
      </c>
      <c r="O921">
        <f t="shared" si="29"/>
        <v>23.5</v>
      </c>
    </row>
    <row r="922" spans="1:15">
      <c r="A922">
        <v>1341</v>
      </c>
      <c r="B922" t="str">
        <f t="shared" si="28"/>
        <v>2023-01</v>
      </c>
      <c r="C922" s="1">
        <v>44956</v>
      </c>
      <c r="D922" s="5">
        <v>0.92361111111111116</v>
      </c>
      <c r="E922">
        <v>1</v>
      </c>
      <c r="F922" t="s">
        <v>11</v>
      </c>
      <c r="G922">
        <v>31</v>
      </c>
      <c r="H922" t="s">
        <v>12</v>
      </c>
      <c r="I922">
        <v>4</v>
      </c>
      <c r="J922" s="6">
        <v>50</v>
      </c>
      <c r="K922">
        <v>21</v>
      </c>
      <c r="L922">
        <v>200</v>
      </c>
      <c r="M922" t="str">
        <f>IF(OR(I922="",J922="",L922=""),"Incomplete","Complete")</f>
        <v>Complete</v>
      </c>
      <c r="N922" t="str">
        <f>IF(M922="Incomplete","Not checked",IF(ROUND(I922*J922,2)=ROUND(L922,2),"Valid","Mismatch"))</f>
        <v>Valid</v>
      </c>
      <c r="O922">
        <f t="shared" si="29"/>
        <v>179</v>
      </c>
    </row>
    <row r="923" spans="1:15">
      <c r="A923">
        <v>273</v>
      </c>
      <c r="B923" t="str">
        <f t="shared" si="28"/>
        <v>2023-09</v>
      </c>
      <c r="C923" s="1">
        <v>45195</v>
      </c>
      <c r="D923" s="5">
        <v>0.85</v>
      </c>
      <c r="E923">
        <v>1</v>
      </c>
      <c r="F923" t="s">
        <v>14</v>
      </c>
      <c r="G923">
        <v>22</v>
      </c>
      <c r="H923" t="s">
        <v>13</v>
      </c>
      <c r="I923">
        <v>1</v>
      </c>
      <c r="J923" s="6">
        <v>50</v>
      </c>
      <c r="K923">
        <v>14.5</v>
      </c>
      <c r="L923">
        <v>50</v>
      </c>
      <c r="M923" t="str">
        <f>IF(OR(I923="",J923="",L923=""),"Incomplete","Complete")</f>
        <v>Complete</v>
      </c>
      <c r="N923" t="str">
        <f>IF(M923="Incomplete","Not checked",IF(ROUND(I923*J923,2)=ROUND(L923,2),"Valid","Mismatch"))</f>
        <v>Valid</v>
      </c>
      <c r="O923">
        <f t="shared" si="29"/>
        <v>35.5</v>
      </c>
    </row>
    <row r="924" spans="1:15">
      <c r="A924">
        <v>1273</v>
      </c>
      <c r="B924" t="str">
        <f t="shared" si="28"/>
        <v>2023-06</v>
      </c>
      <c r="C924" s="1">
        <v>45097</v>
      </c>
      <c r="D924" s="5">
        <v>0.86041666666666672</v>
      </c>
      <c r="E924">
        <v>1</v>
      </c>
      <c r="F924" t="s">
        <v>14</v>
      </c>
      <c r="G924">
        <v>22</v>
      </c>
      <c r="H924" t="s">
        <v>13</v>
      </c>
      <c r="I924">
        <v>1</v>
      </c>
      <c r="J924" s="6">
        <v>50</v>
      </c>
      <c r="K924">
        <v>25.5</v>
      </c>
      <c r="L924">
        <v>50</v>
      </c>
      <c r="M924" t="str">
        <f>IF(OR(I924="",J924="",L924=""),"Incomplete","Complete")</f>
        <v>Complete</v>
      </c>
      <c r="N924" t="str">
        <f>IF(M924="Incomplete","Not checked",IF(ROUND(I924*J924,2)=ROUND(L924,2),"Valid","Mismatch"))</f>
        <v>Valid</v>
      </c>
      <c r="O924">
        <f t="shared" si="29"/>
        <v>24.5</v>
      </c>
    </row>
    <row r="925" spans="1:15">
      <c r="A925">
        <v>930</v>
      </c>
      <c r="B925" t="str">
        <f t="shared" si="28"/>
        <v>2023-01</v>
      </c>
      <c r="C925" s="1">
        <v>44938</v>
      </c>
      <c r="D925" s="5">
        <v>0.74583333333333335</v>
      </c>
      <c r="E925">
        <v>1</v>
      </c>
      <c r="F925" t="s">
        <v>11</v>
      </c>
      <c r="G925">
        <v>54</v>
      </c>
      <c r="H925" t="s">
        <v>12</v>
      </c>
      <c r="I925">
        <v>4</v>
      </c>
      <c r="J925" s="6">
        <v>50</v>
      </c>
      <c r="K925">
        <v>26</v>
      </c>
      <c r="L925">
        <v>200</v>
      </c>
      <c r="M925" t="str">
        <f>IF(OR(I925="",J925="",L925=""),"Incomplete","Complete")</f>
        <v>Complete</v>
      </c>
      <c r="N925" t="str">
        <f>IF(M925="Incomplete","Not checked",IF(ROUND(I925*J925,2)=ROUND(L925,2),"Valid","Mismatch"))</f>
        <v>Valid</v>
      </c>
      <c r="O925">
        <f t="shared" si="29"/>
        <v>174</v>
      </c>
    </row>
    <row r="926" spans="1:15">
      <c r="A926">
        <v>1930</v>
      </c>
      <c r="B926" t="str">
        <f t="shared" si="28"/>
        <v>2023-12</v>
      </c>
      <c r="C926" s="1">
        <v>45281</v>
      </c>
      <c r="D926" s="5">
        <v>0.83194444444444449</v>
      </c>
      <c r="E926">
        <v>5</v>
      </c>
      <c r="F926" t="s">
        <v>11</v>
      </c>
      <c r="G926">
        <v>54</v>
      </c>
      <c r="H926" t="s">
        <v>12</v>
      </c>
      <c r="I926">
        <v>4</v>
      </c>
      <c r="J926" s="6">
        <v>50</v>
      </c>
      <c r="K926">
        <v>13</v>
      </c>
      <c r="L926">
        <v>200</v>
      </c>
      <c r="M926" t="str">
        <f>IF(OR(I926="",J926="",L926=""),"Incomplete","Complete")</f>
        <v>Complete</v>
      </c>
      <c r="N926" t="str">
        <f>IF(M926="Incomplete","Not checked",IF(ROUND(I926*J926,2)=ROUND(L926,2),"Valid","Mismatch"))</f>
        <v>Valid</v>
      </c>
      <c r="O926">
        <f t="shared" si="29"/>
        <v>187</v>
      </c>
    </row>
    <row r="927" spans="1:15">
      <c r="A927">
        <v>639</v>
      </c>
      <c r="B927" t="str">
        <f t="shared" si="28"/>
        <v>2023-08</v>
      </c>
      <c r="C927" s="1">
        <v>45139</v>
      </c>
      <c r="D927" s="5">
        <v>0.82430555555555551</v>
      </c>
      <c r="E927">
        <v>4</v>
      </c>
      <c r="F927" t="s">
        <v>14</v>
      </c>
      <c r="G927">
        <v>62</v>
      </c>
      <c r="H927" t="s">
        <v>13</v>
      </c>
      <c r="I927">
        <v>4</v>
      </c>
      <c r="J927" s="6">
        <v>50</v>
      </c>
      <c r="K927">
        <v>26.5</v>
      </c>
      <c r="L927">
        <v>200</v>
      </c>
      <c r="M927" t="str">
        <f>IF(OR(I927="",J927="",L927=""),"Incomplete","Complete")</f>
        <v>Complete</v>
      </c>
      <c r="N927" t="str">
        <f>IF(M927="Incomplete","Not checked",IF(ROUND(I927*J927,2)=ROUND(L927,2),"Valid","Mismatch"))</f>
        <v>Valid</v>
      </c>
      <c r="O927">
        <f t="shared" si="29"/>
        <v>173.5</v>
      </c>
    </row>
    <row r="928" spans="1:15">
      <c r="A928">
        <v>1639</v>
      </c>
      <c r="B928" t="str">
        <f t="shared" si="28"/>
        <v>2023-12</v>
      </c>
      <c r="C928" s="1">
        <v>45280</v>
      </c>
      <c r="D928" s="5">
        <v>0.75902777777777775</v>
      </c>
      <c r="E928">
        <v>5</v>
      </c>
      <c r="F928" t="s">
        <v>14</v>
      </c>
      <c r="G928">
        <v>62</v>
      </c>
      <c r="H928" t="s">
        <v>13</v>
      </c>
      <c r="I928">
        <v>4</v>
      </c>
      <c r="J928" s="6">
        <v>50</v>
      </c>
      <c r="K928">
        <v>24</v>
      </c>
      <c r="L928">
        <v>200</v>
      </c>
      <c r="M928" t="str">
        <f>IF(OR(I928="",J928="",L928=""),"Incomplete","Complete")</f>
        <v>Complete</v>
      </c>
      <c r="N928" t="str">
        <f>IF(M928="Incomplete","Not checked",IF(ROUND(I928*J928,2)=ROUND(L928,2),"Valid","Mismatch"))</f>
        <v>Valid</v>
      </c>
      <c r="O928">
        <f t="shared" si="29"/>
        <v>176</v>
      </c>
    </row>
    <row r="929" spans="1:15">
      <c r="A929">
        <v>411</v>
      </c>
      <c r="B929" t="str">
        <f t="shared" si="28"/>
        <v>2023-07</v>
      </c>
      <c r="C929" s="1">
        <v>45132</v>
      </c>
      <c r="D929" s="5">
        <v>0.83611111111111114</v>
      </c>
      <c r="E929">
        <v>3</v>
      </c>
      <c r="F929" t="s">
        <v>11</v>
      </c>
      <c r="G929">
        <v>62</v>
      </c>
      <c r="H929" t="s">
        <v>15</v>
      </c>
      <c r="I929">
        <v>4</v>
      </c>
      <c r="J929" s="6">
        <v>50</v>
      </c>
      <c r="K929">
        <v>24.5</v>
      </c>
      <c r="L929">
        <v>200</v>
      </c>
      <c r="M929" t="str">
        <f>IF(OR(I929="",J929="",L929=""),"Incomplete","Complete")</f>
        <v>Complete</v>
      </c>
      <c r="N929" t="str">
        <f>IF(M929="Incomplete","Not checked",IF(ROUND(I929*J929,2)=ROUND(L929,2),"Valid","Mismatch"))</f>
        <v>Valid</v>
      </c>
      <c r="O929">
        <f t="shared" si="29"/>
        <v>175.5</v>
      </c>
    </row>
    <row r="930" spans="1:15">
      <c r="A930">
        <v>504</v>
      </c>
      <c r="B930" t="str">
        <f t="shared" si="28"/>
        <v>2023-03</v>
      </c>
      <c r="C930" s="1">
        <v>45016</v>
      </c>
      <c r="D930" s="5">
        <v>0.75486111111111109</v>
      </c>
      <c r="E930">
        <v>4</v>
      </c>
      <c r="F930" t="s">
        <v>14</v>
      </c>
      <c r="G930">
        <v>38</v>
      </c>
      <c r="H930" t="s">
        <v>13</v>
      </c>
      <c r="I930">
        <v>3</v>
      </c>
      <c r="J930" s="6">
        <v>50</v>
      </c>
      <c r="K930">
        <v>22</v>
      </c>
      <c r="L930">
        <v>150</v>
      </c>
      <c r="M930" t="str">
        <f>IF(OR(I930="",J930="",L930=""),"Incomplete","Complete")</f>
        <v>Complete</v>
      </c>
      <c r="N930" t="str">
        <f>IF(M930="Incomplete","Not checked",IF(ROUND(I930*J930,2)=ROUND(L930,2),"Valid","Mismatch"))</f>
        <v>Valid</v>
      </c>
      <c r="O930">
        <f t="shared" si="29"/>
        <v>128</v>
      </c>
    </row>
    <row r="931" spans="1:15">
      <c r="A931">
        <v>996</v>
      </c>
      <c r="B931" t="str">
        <f t="shared" si="28"/>
        <v>2023-07</v>
      </c>
      <c r="C931" s="1">
        <v>45110</v>
      </c>
      <c r="D931" s="5">
        <v>0.73472222222222228</v>
      </c>
      <c r="E931">
        <v>2</v>
      </c>
      <c r="F931" t="s">
        <v>11</v>
      </c>
      <c r="G931">
        <v>62</v>
      </c>
      <c r="H931" t="s">
        <v>12</v>
      </c>
      <c r="I931">
        <v>1</v>
      </c>
      <c r="J931" s="6">
        <v>50</v>
      </c>
      <c r="K931">
        <v>13.5</v>
      </c>
      <c r="L931">
        <v>50</v>
      </c>
      <c r="M931" t="str">
        <f>IF(OR(I931="",J931="",L931=""),"Incomplete","Complete")</f>
        <v>Complete</v>
      </c>
      <c r="N931" t="str">
        <f>IF(M931="Incomplete","Not checked",IF(ROUND(I931*J931,2)=ROUND(L931,2),"Valid","Mismatch"))</f>
        <v>Valid</v>
      </c>
      <c r="O931">
        <f t="shared" si="29"/>
        <v>36.5</v>
      </c>
    </row>
    <row r="932" spans="1:15">
      <c r="A932">
        <v>1411</v>
      </c>
      <c r="B932" t="str">
        <f t="shared" si="28"/>
        <v>2023-11</v>
      </c>
      <c r="C932" s="1">
        <v>45254</v>
      </c>
      <c r="D932" s="5">
        <v>0.8520833333333333</v>
      </c>
      <c r="E932">
        <v>1</v>
      </c>
      <c r="F932" t="s">
        <v>11</v>
      </c>
      <c r="G932">
        <v>62</v>
      </c>
      <c r="H932" t="s">
        <v>15</v>
      </c>
      <c r="I932">
        <v>4</v>
      </c>
      <c r="J932" s="6">
        <v>50</v>
      </c>
      <c r="K932">
        <v>26</v>
      </c>
      <c r="L932">
        <v>200</v>
      </c>
      <c r="M932" t="str">
        <f>IF(OR(I932="",J932="",L932=""),"Incomplete","Complete")</f>
        <v>Complete</v>
      </c>
      <c r="N932" t="str">
        <f>IF(M932="Incomplete","Not checked",IF(ROUND(I932*J932,2)=ROUND(L932,2),"Valid","Mismatch"))</f>
        <v>Valid</v>
      </c>
      <c r="O932">
        <f t="shared" si="29"/>
        <v>174</v>
      </c>
    </row>
    <row r="933" spans="1:15">
      <c r="A933">
        <v>1504</v>
      </c>
      <c r="B933" t="str">
        <f t="shared" si="28"/>
        <v>2023-01</v>
      </c>
      <c r="C933" s="1">
        <v>44951</v>
      </c>
      <c r="D933" s="5">
        <v>0.70902777777777781</v>
      </c>
      <c r="E933">
        <v>4</v>
      </c>
      <c r="F933" t="s">
        <v>14</v>
      </c>
      <c r="G933">
        <v>38</v>
      </c>
      <c r="H933" t="s">
        <v>13</v>
      </c>
      <c r="I933">
        <v>3</v>
      </c>
      <c r="J933" s="6">
        <v>50</v>
      </c>
      <c r="K933">
        <v>25.5</v>
      </c>
      <c r="L933">
        <v>150</v>
      </c>
      <c r="M933" t="str">
        <f>IF(OR(I933="",J933="",L933=""),"Incomplete","Complete")</f>
        <v>Complete</v>
      </c>
      <c r="N933" t="str">
        <f>IF(M933="Incomplete","Not checked",IF(ROUND(I933*J933,2)=ROUND(L933,2),"Valid","Mismatch"))</f>
        <v>Valid</v>
      </c>
      <c r="O933">
        <f t="shared" si="29"/>
        <v>124.5</v>
      </c>
    </row>
    <row r="934" spans="1:15">
      <c r="A934">
        <v>1996</v>
      </c>
      <c r="B934" t="str">
        <f t="shared" si="28"/>
        <v>2023-12</v>
      </c>
      <c r="C934" s="1">
        <v>45267</v>
      </c>
      <c r="D934" s="5">
        <v>0.78402777777777777</v>
      </c>
      <c r="E934">
        <v>2</v>
      </c>
      <c r="F934" t="s">
        <v>11</v>
      </c>
      <c r="G934">
        <v>62</v>
      </c>
      <c r="H934" t="s">
        <v>12</v>
      </c>
      <c r="I934">
        <v>1</v>
      </c>
      <c r="J934" s="6">
        <v>50</v>
      </c>
      <c r="K934">
        <v>25</v>
      </c>
      <c r="L934">
        <v>50</v>
      </c>
      <c r="M934" t="str">
        <f>IF(OR(I934="",J934="",L934=""),"Incomplete","Complete")</f>
        <v>Complete</v>
      </c>
      <c r="N934" t="str">
        <f>IF(M934="Incomplete","Not checked",IF(ROUND(I934*J934,2)=ROUND(L934,2),"Valid","Mismatch"))</f>
        <v>Valid</v>
      </c>
      <c r="O934">
        <f t="shared" si="29"/>
        <v>25</v>
      </c>
    </row>
    <row r="935" spans="1:15">
      <c r="A935">
        <v>81</v>
      </c>
      <c r="B935" t="str">
        <f t="shared" si="28"/>
        <v>2023-06</v>
      </c>
      <c r="C935" s="1">
        <v>45084</v>
      </c>
      <c r="D935" s="5">
        <v>0.95</v>
      </c>
      <c r="E935">
        <v>4</v>
      </c>
      <c r="F935" t="s">
        <v>11</v>
      </c>
      <c r="G935">
        <v>40</v>
      </c>
      <c r="H935" t="s">
        <v>15</v>
      </c>
      <c r="I935">
        <v>1</v>
      </c>
      <c r="J935" s="6">
        <v>50</v>
      </c>
      <c r="K935">
        <v>14.5</v>
      </c>
      <c r="L935">
        <v>50</v>
      </c>
      <c r="M935" t="str">
        <f>IF(OR(I935="",J935="",L935=""),"Incomplete","Complete")</f>
        <v>Complete</v>
      </c>
      <c r="N935" t="str">
        <f>IF(M935="Incomplete","Not checked",IF(ROUND(I935*J935,2)=ROUND(L935,2),"Valid","Mismatch"))</f>
        <v>Valid</v>
      </c>
      <c r="O935">
        <f t="shared" si="29"/>
        <v>35.5</v>
      </c>
    </row>
    <row r="936" spans="1:15">
      <c r="A936">
        <v>1081</v>
      </c>
      <c r="B936" t="str">
        <f t="shared" si="28"/>
        <v>2023-06</v>
      </c>
      <c r="C936" s="1">
        <v>45104</v>
      </c>
      <c r="D936" s="5">
        <v>0.93263888888888891</v>
      </c>
      <c r="E936">
        <v>5</v>
      </c>
      <c r="F936" t="s">
        <v>11</v>
      </c>
      <c r="G936">
        <v>40</v>
      </c>
      <c r="H936" t="s">
        <v>15</v>
      </c>
      <c r="I936">
        <v>1</v>
      </c>
      <c r="J936" s="6">
        <v>50</v>
      </c>
      <c r="K936">
        <v>17</v>
      </c>
      <c r="L936">
        <v>50</v>
      </c>
      <c r="M936" t="str">
        <f>IF(OR(I936="",J936="",L936=""),"Incomplete","Complete")</f>
        <v>Complete</v>
      </c>
      <c r="N936" t="str">
        <f>IF(M936="Incomplete","Not checked",IF(ROUND(I936*J936,2)=ROUND(L936,2),"Valid","Mismatch"))</f>
        <v>Valid</v>
      </c>
      <c r="O936">
        <f t="shared" si="29"/>
        <v>33</v>
      </c>
    </row>
    <row r="937" spans="1:15">
      <c r="A937">
        <v>106</v>
      </c>
      <c r="B937" t="str">
        <f t="shared" si="28"/>
        <v>2023-05</v>
      </c>
      <c r="C937" s="1">
        <v>45063</v>
      </c>
      <c r="D937" s="5">
        <v>0.79027777777777775</v>
      </c>
      <c r="E937">
        <v>1</v>
      </c>
      <c r="F937" t="s">
        <v>14</v>
      </c>
      <c r="G937">
        <v>46</v>
      </c>
      <c r="H937" t="s">
        <v>12</v>
      </c>
      <c r="I937">
        <v>1</v>
      </c>
      <c r="J937" s="6">
        <v>50</v>
      </c>
      <c r="K937">
        <v>15</v>
      </c>
      <c r="L937">
        <v>50</v>
      </c>
      <c r="M937" t="str">
        <f>IF(OR(I937="",J937="",L937=""),"Incomplete","Complete")</f>
        <v>Complete</v>
      </c>
      <c r="N937" t="str">
        <f>IF(M937="Incomplete","Not checked",IF(ROUND(I937*J937,2)=ROUND(L937,2),"Valid","Mismatch"))</f>
        <v>Valid</v>
      </c>
      <c r="O937">
        <f t="shared" si="29"/>
        <v>35</v>
      </c>
    </row>
    <row r="938" spans="1:15">
      <c r="A938">
        <v>1106</v>
      </c>
      <c r="B938" t="str">
        <f t="shared" si="28"/>
        <v>2023-08</v>
      </c>
      <c r="C938" s="1">
        <v>45150</v>
      </c>
      <c r="D938" s="5">
        <v>0.74305555555555558</v>
      </c>
      <c r="E938">
        <v>3</v>
      </c>
      <c r="F938" t="s">
        <v>14</v>
      </c>
      <c r="G938">
        <v>46</v>
      </c>
      <c r="H938" t="s">
        <v>12</v>
      </c>
      <c r="I938">
        <v>1</v>
      </c>
      <c r="J938" s="6">
        <v>50</v>
      </c>
      <c r="K938">
        <v>14</v>
      </c>
      <c r="L938">
        <v>50</v>
      </c>
      <c r="M938" t="str">
        <f>IF(OR(I938="",J938="",L938=""),"Incomplete","Complete")</f>
        <v>Complete</v>
      </c>
      <c r="N938" t="str">
        <f>IF(M938="Incomplete","Not checked",IF(ROUND(I938*J938,2)=ROUND(L938,2),"Valid","Mismatch"))</f>
        <v>Valid</v>
      </c>
      <c r="O938">
        <f t="shared" si="29"/>
        <v>36</v>
      </c>
    </row>
    <row r="939" spans="1:15">
      <c r="A939">
        <v>822</v>
      </c>
      <c r="B939" t="str">
        <f t="shared" si="28"/>
        <v>2023-02</v>
      </c>
      <c r="C939" s="1">
        <v>44973</v>
      </c>
      <c r="D939" s="5">
        <v>0.73541666666666672</v>
      </c>
      <c r="E939">
        <v>3</v>
      </c>
      <c r="F939" t="s">
        <v>14</v>
      </c>
      <c r="G939">
        <v>52</v>
      </c>
      <c r="H939" t="s">
        <v>13</v>
      </c>
      <c r="I939">
        <v>3</v>
      </c>
      <c r="J939" s="6">
        <v>50</v>
      </c>
      <c r="K939">
        <v>13.5</v>
      </c>
      <c r="L939">
        <v>150</v>
      </c>
      <c r="M939" t="str">
        <f>IF(OR(I939="",J939="",L939=""),"Incomplete","Complete")</f>
        <v>Complete</v>
      </c>
      <c r="N939" t="str">
        <f>IF(M939="Incomplete","Not checked",IF(ROUND(I939*J939,2)=ROUND(L939,2),"Valid","Mismatch"))</f>
        <v>Valid</v>
      </c>
      <c r="O939">
        <f t="shared" si="29"/>
        <v>136.5</v>
      </c>
    </row>
    <row r="940" spans="1:15">
      <c r="A940">
        <v>1822</v>
      </c>
      <c r="B940" t="str">
        <f t="shared" si="28"/>
        <v>2023-09</v>
      </c>
      <c r="C940" s="1">
        <v>45178</v>
      </c>
      <c r="D940" s="5">
        <v>0.71875</v>
      </c>
      <c r="E940">
        <v>15</v>
      </c>
      <c r="F940" t="s">
        <v>14</v>
      </c>
      <c r="G940">
        <v>52</v>
      </c>
      <c r="H940" t="s">
        <v>13</v>
      </c>
      <c r="I940">
        <v>3</v>
      </c>
      <c r="J940" s="6">
        <v>50</v>
      </c>
      <c r="K940">
        <v>21</v>
      </c>
      <c r="L940">
        <v>150</v>
      </c>
      <c r="M940" t="str">
        <f>IF(OR(I940="",J940="",L940=""),"Incomplete","Complete")</f>
        <v>Complete</v>
      </c>
      <c r="N940" t="str">
        <f>IF(M940="Incomplete","Not checked",IF(ROUND(I940*J940,2)=ROUND(L940,2),"Valid","Mismatch"))</f>
        <v>Valid</v>
      </c>
      <c r="O940">
        <f t="shared" si="29"/>
        <v>129</v>
      </c>
    </row>
    <row r="941" spans="1:15">
      <c r="A941">
        <v>651</v>
      </c>
      <c r="B941" t="str">
        <f t="shared" si="28"/>
        <v>2023-09</v>
      </c>
      <c r="C941" s="1">
        <v>45197</v>
      </c>
      <c r="D941" s="5">
        <v>0.87638888888888888</v>
      </c>
      <c r="E941">
        <v>30</v>
      </c>
      <c r="F941" t="s">
        <v>11</v>
      </c>
      <c r="G941">
        <v>51</v>
      </c>
      <c r="H941" t="s">
        <v>12</v>
      </c>
      <c r="I941">
        <v>3</v>
      </c>
      <c r="J941" s="6">
        <v>50</v>
      </c>
      <c r="K941">
        <v>26</v>
      </c>
      <c r="L941">
        <v>150</v>
      </c>
      <c r="M941" t="str">
        <f>IF(OR(I941="",J941="",L941=""),"Incomplete","Complete")</f>
        <v>Complete</v>
      </c>
      <c r="N941" t="str">
        <f>IF(M941="Incomplete","Not checked",IF(ROUND(I941*J941,2)=ROUND(L941,2),"Valid","Mismatch"))</f>
        <v>Valid</v>
      </c>
      <c r="O941">
        <f t="shared" si="29"/>
        <v>124</v>
      </c>
    </row>
    <row r="942" spans="1:15">
      <c r="A942">
        <v>1651</v>
      </c>
      <c r="B942" t="str">
        <f t="shared" si="28"/>
        <v>2022-12</v>
      </c>
      <c r="C942" s="1">
        <v>44899</v>
      </c>
      <c r="D942" s="5">
        <v>0.89513888888888893</v>
      </c>
      <c r="E942">
        <v>155</v>
      </c>
      <c r="F942" t="s">
        <v>11</v>
      </c>
      <c r="G942">
        <v>51</v>
      </c>
      <c r="H942" t="s">
        <v>12</v>
      </c>
      <c r="I942">
        <v>3</v>
      </c>
      <c r="J942" s="6">
        <v>50</v>
      </c>
      <c r="K942">
        <v>23.5</v>
      </c>
      <c r="L942">
        <v>150</v>
      </c>
      <c r="M942" t="str">
        <f>IF(OR(I942="",J942="",L942=""),"Incomplete","Complete")</f>
        <v>Complete</v>
      </c>
      <c r="N942" t="str">
        <f>IF(M942="Incomplete","Not checked",IF(ROUND(I942*J942,2)=ROUND(L942,2),"Valid","Mismatch"))</f>
        <v>Valid</v>
      </c>
      <c r="O942">
        <f t="shared" si="29"/>
        <v>126.5</v>
      </c>
    </row>
    <row r="943" spans="1:15">
      <c r="A943">
        <v>159</v>
      </c>
      <c r="B943" t="str">
        <f t="shared" si="28"/>
        <v>2022-11</v>
      </c>
      <c r="C943" s="1">
        <v>44875</v>
      </c>
      <c r="D943" s="5">
        <v>0.89583333333333337</v>
      </c>
      <c r="E943">
        <v>42</v>
      </c>
      <c r="F943" t="s">
        <v>11</v>
      </c>
      <c r="G943">
        <v>26</v>
      </c>
      <c r="H943" t="s">
        <v>12</v>
      </c>
      <c r="I943">
        <v>4</v>
      </c>
      <c r="J943" s="6">
        <v>50</v>
      </c>
      <c r="K943">
        <v>23.5</v>
      </c>
      <c r="L943">
        <v>200</v>
      </c>
      <c r="M943" t="str">
        <f>IF(OR(I943="",J943="",L943=""),"Incomplete","Complete")</f>
        <v>Complete</v>
      </c>
      <c r="N943" t="str">
        <f>IF(M943="Incomplete","Not checked",IF(ROUND(I943*J943,2)=ROUND(L943,2),"Valid","Mismatch"))</f>
        <v>Valid</v>
      </c>
      <c r="O943">
        <f t="shared" si="29"/>
        <v>176.5</v>
      </c>
    </row>
    <row r="944" spans="1:15">
      <c r="A944">
        <v>1159</v>
      </c>
      <c r="B944" t="str">
        <f t="shared" si="28"/>
        <v>2023-04</v>
      </c>
      <c r="C944" s="1">
        <v>45018</v>
      </c>
      <c r="D944" s="5">
        <v>0.75555555555555554</v>
      </c>
      <c r="E944">
        <v>41</v>
      </c>
      <c r="F944" t="s">
        <v>11</v>
      </c>
      <c r="G944">
        <v>26</v>
      </c>
      <c r="H944" t="s">
        <v>12</v>
      </c>
      <c r="I944">
        <v>4</v>
      </c>
      <c r="J944" s="6">
        <v>50</v>
      </c>
      <c r="K944">
        <v>18</v>
      </c>
      <c r="L944">
        <v>200</v>
      </c>
      <c r="M944" t="str">
        <f>IF(OR(I944="",J944="",L944=""),"Incomplete","Complete")</f>
        <v>Complete</v>
      </c>
      <c r="N944" t="str">
        <f>IF(M944="Incomplete","Not checked",IF(ROUND(I944*J944,2)=ROUND(L944,2),"Valid","Mismatch"))</f>
        <v>Valid</v>
      </c>
      <c r="O944">
        <f t="shared" si="29"/>
        <v>182</v>
      </c>
    </row>
    <row r="945" spans="1:15">
      <c r="A945">
        <v>902</v>
      </c>
      <c r="B945" t="str">
        <f t="shared" si="28"/>
        <v>2022-02</v>
      </c>
      <c r="C945" s="1">
        <v>44606</v>
      </c>
      <c r="D945" s="5">
        <v>0.71944444444444444</v>
      </c>
      <c r="E945">
        <v>108</v>
      </c>
      <c r="F945" t="s">
        <v>14</v>
      </c>
      <c r="G945">
        <v>54</v>
      </c>
      <c r="H945" t="s">
        <v>13</v>
      </c>
      <c r="I945">
        <v>1</v>
      </c>
      <c r="J945" s="6">
        <v>50</v>
      </c>
      <c r="K945">
        <v>21.5</v>
      </c>
      <c r="L945">
        <v>50</v>
      </c>
      <c r="M945" t="str">
        <f>IF(OR(I945="",J945="",L945=""),"Incomplete","Complete")</f>
        <v>Complete</v>
      </c>
      <c r="N945" t="str">
        <f>IF(M945="Incomplete","Not checked",IF(ROUND(I945*J945,2)=ROUND(L945,2),"Valid","Mismatch"))</f>
        <v>Valid</v>
      </c>
      <c r="O945">
        <f t="shared" si="29"/>
        <v>28.5</v>
      </c>
    </row>
    <row r="946" spans="1:15">
      <c r="A946">
        <v>1902</v>
      </c>
      <c r="B946" t="str">
        <f t="shared" si="28"/>
        <v>2022-12</v>
      </c>
      <c r="C946" s="1">
        <v>44916</v>
      </c>
      <c r="D946" s="5">
        <v>0.71666666666666667</v>
      </c>
      <c r="E946">
        <v>97</v>
      </c>
      <c r="F946" t="s">
        <v>14</v>
      </c>
      <c r="G946">
        <v>54</v>
      </c>
      <c r="H946" t="s">
        <v>13</v>
      </c>
      <c r="I946">
        <v>1</v>
      </c>
      <c r="J946" s="6">
        <v>50</v>
      </c>
      <c r="K946">
        <v>14</v>
      </c>
      <c r="L946">
        <v>50</v>
      </c>
      <c r="M946" t="str">
        <f>IF(OR(I946="",J946="",L946=""),"Incomplete","Complete")</f>
        <v>Complete</v>
      </c>
      <c r="N946" t="str">
        <f>IF(M946="Incomplete","Not checked",IF(ROUND(I946*J946,2)=ROUND(L946,2),"Valid","Mismatch"))</f>
        <v>Valid</v>
      </c>
      <c r="O946">
        <f t="shared" si="29"/>
        <v>36</v>
      </c>
    </row>
    <row r="947" spans="1:15">
      <c r="A947">
        <v>556</v>
      </c>
      <c r="B947" t="str">
        <f t="shared" si="28"/>
        <v>2022-02</v>
      </c>
      <c r="C947" s="1">
        <v>44597</v>
      </c>
      <c r="D947" s="5">
        <v>0.73402777777777772</v>
      </c>
      <c r="E947">
        <v>42</v>
      </c>
      <c r="F947" t="s">
        <v>14</v>
      </c>
      <c r="G947">
        <v>18</v>
      </c>
      <c r="H947" t="s">
        <v>15</v>
      </c>
      <c r="I947">
        <v>1</v>
      </c>
      <c r="J947" s="6">
        <v>50</v>
      </c>
      <c r="K947">
        <v>12.5</v>
      </c>
      <c r="L947">
        <v>50</v>
      </c>
      <c r="M947" t="str">
        <f>IF(OR(I947="",J947="",L947=""),"Incomplete","Complete")</f>
        <v>Complete</v>
      </c>
      <c r="N947" t="str">
        <f>IF(M947="Incomplete","Not checked",IF(ROUND(I947*J947,2)=ROUND(L947,2),"Valid","Mismatch"))</f>
        <v>Valid</v>
      </c>
      <c r="O947">
        <f t="shared" si="29"/>
        <v>37.5</v>
      </c>
    </row>
    <row r="948" spans="1:15">
      <c r="A948">
        <v>906</v>
      </c>
      <c r="B948" t="str">
        <f t="shared" si="28"/>
        <v>2022-07</v>
      </c>
      <c r="C948" s="1">
        <v>44761</v>
      </c>
      <c r="D948" s="5">
        <v>0.74652777777777779</v>
      </c>
      <c r="E948">
        <v>6</v>
      </c>
      <c r="F948" t="s">
        <v>14</v>
      </c>
      <c r="G948">
        <v>20</v>
      </c>
      <c r="H948" t="s">
        <v>12</v>
      </c>
      <c r="I948">
        <v>1</v>
      </c>
      <c r="J948" s="6">
        <v>50</v>
      </c>
      <c r="K948">
        <v>17</v>
      </c>
      <c r="L948">
        <v>50</v>
      </c>
      <c r="M948" t="str">
        <f>IF(OR(I948="",J948="",L948=""),"Incomplete","Complete")</f>
        <v>Complete</v>
      </c>
      <c r="N948" t="str">
        <f>IF(M948="Incomplete","Not checked",IF(ROUND(I948*J948,2)=ROUND(L948,2),"Valid","Mismatch"))</f>
        <v>Valid</v>
      </c>
      <c r="O948">
        <f t="shared" si="29"/>
        <v>33</v>
      </c>
    </row>
    <row r="949" spans="1:15">
      <c r="A949">
        <v>1556</v>
      </c>
      <c r="B949" t="str">
        <f t="shared" si="28"/>
        <v>2023-05</v>
      </c>
      <c r="C949" s="1">
        <v>45063</v>
      </c>
      <c r="D949" s="5">
        <v>0.80069444444444449</v>
      </c>
      <c r="E949">
        <v>35</v>
      </c>
      <c r="F949" t="s">
        <v>14</v>
      </c>
      <c r="G949">
        <v>18</v>
      </c>
      <c r="H949" t="s">
        <v>15</v>
      </c>
      <c r="I949">
        <v>1</v>
      </c>
      <c r="J949" s="6">
        <v>50</v>
      </c>
      <c r="K949">
        <v>22.5</v>
      </c>
      <c r="L949">
        <v>50</v>
      </c>
      <c r="M949" t="str">
        <f>IF(OR(I949="",J949="",L949=""),"Incomplete","Complete")</f>
        <v>Complete</v>
      </c>
      <c r="N949" t="str">
        <f>IF(M949="Incomplete","Not checked",IF(ROUND(I949*J949,2)=ROUND(L949,2),"Valid","Mismatch"))</f>
        <v>Valid</v>
      </c>
      <c r="O949">
        <f t="shared" si="29"/>
        <v>27.5</v>
      </c>
    </row>
    <row r="950" spans="1:15">
      <c r="A950">
        <v>1906</v>
      </c>
      <c r="B950" t="str">
        <f t="shared" si="28"/>
        <v>2022-10</v>
      </c>
      <c r="C950" s="1">
        <v>44835</v>
      </c>
      <c r="D950" s="5">
        <v>0.84027777777777779</v>
      </c>
      <c r="E950">
        <v>58</v>
      </c>
      <c r="F950" t="s">
        <v>14</v>
      </c>
      <c r="G950">
        <v>20</v>
      </c>
      <c r="H950" t="s">
        <v>12</v>
      </c>
      <c r="I950">
        <v>1</v>
      </c>
      <c r="J950" s="6">
        <v>50</v>
      </c>
      <c r="K950">
        <v>26.5</v>
      </c>
      <c r="L950">
        <v>50</v>
      </c>
      <c r="M950" t="str">
        <f>IF(OR(I950="",J950="",L950=""),"Incomplete","Complete")</f>
        <v>Complete</v>
      </c>
      <c r="N950" t="str">
        <f>IF(M950="Incomplete","Not checked",IF(ROUND(I950*J950,2)=ROUND(L950,2),"Valid","Mismatch"))</f>
        <v>Valid</v>
      </c>
      <c r="O950">
        <f t="shared" si="29"/>
        <v>23.5</v>
      </c>
    </row>
    <row r="951" spans="1:15">
      <c r="A951">
        <v>560</v>
      </c>
      <c r="B951" t="str">
        <f t="shared" si="28"/>
        <v>2023-10</v>
      </c>
      <c r="C951" s="1">
        <v>45222</v>
      </c>
      <c r="D951" s="5">
        <v>0.95208333333333328</v>
      </c>
      <c r="E951">
        <v>7</v>
      </c>
      <c r="F951" t="s">
        <v>14</v>
      </c>
      <c r="G951">
        <v>25</v>
      </c>
      <c r="H951" t="s">
        <v>15</v>
      </c>
      <c r="I951">
        <v>1</v>
      </c>
      <c r="J951" s="6">
        <v>50</v>
      </c>
      <c r="K951">
        <v>19</v>
      </c>
      <c r="L951">
        <v>50</v>
      </c>
      <c r="M951" t="str">
        <f>IF(OR(I951="",J951="",L951=""),"Incomplete","Complete")</f>
        <v>Complete</v>
      </c>
      <c r="N951" t="str">
        <f>IF(M951="Incomplete","Not checked",IF(ROUND(I951*J951,2)=ROUND(L951,2),"Valid","Mismatch"))</f>
        <v>Valid</v>
      </c>
      <c r="O951">
        <f t="shared" si="29"/>
        <v>31</v>
      </c>
    </row>
    <row r="952" spans="1:15">
      <c r="A952">
        <v>1560</v>
      </c>
      <c r="B952" t="str">
        <f t="shared" si="28"/>
        <v>2022-11</v>
      </c>
      <c r="C952" s="1">
        <v>44878</v>
      </c>
      <c r="D952" s="5">
        <v>0.71944444444444444</v>
      </c>
      <c r="E952">
        <v>91</v>
      </c>
      <c r="F952" t="s">
        <v>14</v>
      </c>
      <c r="G952">
        <v>25</v>
      </c>
      <c r="H952" t="s">
        <v>15</v>
      </c>
      <c r="I952">
        <v>1</v>
      </c>
      <c r="J952" s="6">
        <v>50</v>
      </c>
      <c r="K952">
        <v>18.5</v>
      </c>
      <c r="L952">
        <v>50</v>
      </c>
      <c r="M952" t="str">
        <f>IF(OR(I952="",J952="",L952=""),"Incomplete","Complete")</f>
        <v>Complete</v>
      </c>
      <c r="N952" t="str">
        <f>IF(M952="Incomplete","Not checked",IF(ROUND(I952*J952,2)=ROUND(L952,2),"Valid","Mismatch"))</f>
        <v>Valid</v>
      </c>
      <c r="O952">
        <f t="shared" si="29"/>
        <v>31.5</v>
      </c>
    </row>
    <row r="953" spans="1:15">
      <c r="A953">
        <v>961</v>
      </c>
      <c r="B953" t="str">
        <f t="shared" si="28"/>
        <v>2023-03</v>
      </c>
      <c r="C953" s="1">
        <v>45007</v>
      </c>
      <c r="D953" s="5">
        <v>0.94166666666666665</v>
      </c>
      <c r="E953">
        <v>86</v>
      </c>
      <c r="F953" t="s">
        <v>11</v>
      </c>
      <c r="G953">
        <v>53</v>
      </c>
      <c r="H953" t="s">
        <v>13</v>
      </c>
      <c r="I953">
        <v>4</v>
      </c>
      <c r="J953" s="6">
        <v>50</v>
      </c>
      <c r="K953">
        <v>23</v>
      </c>
      <c r="L953">
        <v>200</v>
      </c>
      <c r="M953" t="str">
        <f>IF(OR(I953="",J953="",L953=""),"Incomplete","Complete")</f>
        <v>Complete</v>
      </c>
      <c r="N953" t="str">
        <f>IF(M953="Incomplete","Not checked",IF(ROUND(I953*J953,2)=ROUND(L953,2),"Valid","Mismatch"))</f>
        <v>Valid</v>
      </c>
      <c r="O953">
        <f t="shared" si="29"/>
        <v>177</v>
      </c>
    </row>
    <row r="954" spans="1:15">
      <c r="A954">
        <v>1961</v>
      </c>
      <c r="B954" t="str">
        <f t="shared" si="28"/>
        <v>2022-05</v>
      </c>
      <c r="C954" s="1">
        <v>44696</v>
      </c>
      <c r="D954" s="5">
        <v>0.88680555555555551</v>
      </c>
      <c r="E954">
        <v>95</v>
      </c>
      <c r="F954" t="s">
        <v>11</v>
      </c>
      <c r="G954">
        <v>53</v>
      </c>
      <c r="H954" t="s">
        <v>13</v>
      </c>
      <c r="I954">
        <v>4</v>
      </c>
      <c r="J954" s="6">
        <v>50</v>
      </c>
      <c r="K954">
        <v>20.5</v>
      </c>
      <c r="L954">
        <v>200</v>
      </c>
      <c r="M954" t="str">
        <f>IF(OR(I954="",J954="",L954=""),"Incomplete","Complete")</f>
        <v>Complete</v>
      </c>
      <c r="N954" t="str">
        <f>IF(M954="Incomplete","Not checked",IF(ROUND(I954*J954,2)=ROUND(L954,2),"Valid","Mismatch"))</f>
        <v>Valid</v>
      </c>
      <c r="O954">
        <f t="shared" si="29"/>
        <v>179.5</v>
      </c>
    </row>
    <row r="955" spans="1:15">
      <c r="A955">
        <v>187</v>
      </c>
      <c r="B955" t="str">
        <f t="shared" si="28"/>
        <v>2022-02</v>
      </c>
      <c r="C955" s="1">
        <v>44612</v>
      </c>
      <c r="D955" s="5">
        <v>0.84652777777777777</v>
      </c>
      <c r="E955">
        <v>88</v>
      </c>
      <c r="F955" t="s">
        <v>14</v>
      </c>
      <c r="G955">
        <v>64</v>
      </c>
      <c r="H955" t="s">
        <v>12</v>
      </c>
      <c r="I955">
        <v>2</v>
      </c>
      <c r="J955" s="6">
        <v>50</v>
      </c>
      <c r="K955">
        <v>21</v>
      </c>
      <c r="L955">
        <v>100</v>
      </c>
      <c r="M955" t="str">
        <f>IF(OR(I955="",J955="",L955=""),"Incomplete","Complete")</f>
        <v>Complete</v>
      </c>
      <c r="N955" t="str">
        <f>IF(M955="Incomplete","Not checked",IF(ROUND(I955*J955,2)=ROUND(L955,2),"Valid","Mismatch"))</f>
        <v>Valid</v>
      </c>
      <c r="O955">
        <f t="shared" si="29"/>
        <v>79</v>
      </c>
    </row>
    <row r="956" spans="1:15">
      <c r="A956">
        <v>446</v>
      </c>
      <c r="B956" t="str">
        <f t="shared" si="28"/>
        <v>2022-11</v>
      </c>
      <c r="C956" s="1">
        <v>44867</v>
      </c>
      <c r="D956" s="5">
        <v>0.83125000000000004</v>
      </c>
      <c r="E956">
        <v>104</v>
      </c>
      <c r="F956" t="s">
        <v>11</v>
      </c>
      <c r="G956">
        <v>21</v>
      </c>
      <c r="H956" t="s">
        <v>15</v>
      </c>
      <c r="I956">
        <v>1</v>
      </c>
      <c r="J956" s="6">
        <v>50</v>
      </c>
      <c r="K956">
        <v>13</v>
      </c>
      <c r="L956">
        <v>50</v>
      </c>
      <c r="M956" t="str">
        <f>IF(OR(I956="",J956="",L956=""),"Incomplete","Complete")</f>
        <v>Complete</v>
      </c>
      <c r="N956" t="str">
        <f>IF(M956="Incomplete","Not checked",IF(ROUND(I956*J956,2)=ROUND(L956,2),"Valid","Mismatch"))</f>
        <v>Valid</v>
      </c>
      <c r="O956">
        <f t="shared" si="29"/>
        <v>37</v>
      </c>
    </row>
    <row r="957" spans="1:15">
      <c r="A957">
        <v>1187</v>
      </c>
      <c r="B957" t="str">
        <f t="shared" si="28"/>
        <v>2023-07</v>
      </c>
      <c r="C957" s="1">
        <v>45114</v>
      </c>
      <c r="D957" s="5">
        <v>0.71180555555555558</v>
      </c>
      <c r="E957">
        <v>52</v>
      </c>
      <c r="F957" t="s">
        <v>14</v>
      </c>
      <c r="G957">
        <v>64</v>
      </c>
      <c r="H957" t="s">
        <v>12</v>
      </c>
      <c r="I957">
        <v>2</v>
      </c>
      <c r="J957" s="6">
        <v>50</v>
      </c>
      <c r="K957">
        <v>12.5</v>
      </c>
      <c r="L957">
        <v>100</v>
      </c>
      <c r="M957" t="str">
        <f>IF(OR(I957="",J957="",L957=""),"Incomplete","Complete")</f>
        <v>Complete</v>
      </c>
      <c r="N957" t="str">
        <f>IF(M957="Incomplete","Not checked",IF(ROUND(I957*J957,2)=ROUND(L957,2),"Valid","Mismatch"))</f>
        <v>Valid</v>
      </c>
      <c r="O957">
        <f t="shared" si="29"/>
        <v>87.5</v>
      </c>
    </row>
    <row r="958" spans="1:15">
      <c r="A958">
        <v>1446</v>
      </c>
      <c r="B958" t="str">
        <f t="shared" si="28"/>
        <v>2022-01</v>
      </c>
      <c r="C958" s="1">
        <v>44584</v>
      </c>
      <c r="D958" s="5">
        <v>0.78819444444444442</v>
      </c>
      <c r="E958">
        <v>155</v>
      </c>
      <c r="F958" t="s">
        <v>11</v>
      </c>
      <c r="G958">
        <v>21</v>
      </c>
      <c r="H958" t="s">
        <v>15</v>
      </c>
      <c r="I958">
        <v>1</v>
      </c>
      <c r="J958" s="6">
        <v>50</v>
      </c>
      <c r="K958">
        <v>23.5</v>
      </c>
      <c r="L958">
        <v>50</v>
      </c>
      <c r="M958" t="str">
        <f>IF(OR(I958="",J958="",L958=""),"Incomplete","Complete")</f>
        <v>Complete</v>
      </c>
      <c r="N958" t="str">
        <f>IF(M958="Incomplete","Not checked",IF(ROUND(I958*J958,2)=ROUND(L958,2),"Valid","Mismatch"))</f>
        <v>Valid</v>
      </c>
      <c r="O958">
        <f t="shared" si="29"/>
        <v>26.5</v>
      </c>
    </row>
    <row r="959" spans="1:15">
      <c r="A959">
        <v>765</v>
      </c>
      <c r="B959" t="str">
        <f t="shared" si="28"/>
        <v>2022-10</v>
      </c>
      <c r="C959" s="1">
        <v>44850</v>
      </c>
      <c r="D959" s="5">
        <v>0.79374999999999996</v>
      </c>
      <c r="E959">
        <v>77</v>
      </c>
      <c r="F959" t="s">
        <v>11</v>
      </c>
      <c r="G959">
        <v>43</v>
      </c>
      <c r="H959" t="s">
        <v>12</v>
      </c>
      <c r="I959">
        <v>4</v>
      </c>
      <c r="J959" s="6">
        <v>50</v>
      </c>
      <c r="K959">
        <v>12.5</v>
      </c>
      <c r="L959">
        <v>200</v>
      </c>
      <c r="M959" t="str">
        <f>IF(OR(I959="",J959="",L959=""),"Incomplete","Complete")</f>
        <v>Complete</v>
      </c>
      <c r="N959" t="str">
        <f>IF(M959="Incomplete","Not checked",IF(ROUND(I959*J959,2)=ROUND(L959,2),"Valid","Mismatch"))</f>
        <v>Valid</v>
      </c>
      <c r="O959">
        <f t="shared" si="29"/>
        <v>187.5</v>
      </c>
    </row>
    <row r="960" spans="1:15">
      <c r="A960">
        <v>1765</v>
      </c>
      <c r="B960" t="str">
        <f t="shared" si="28"/>
        <v>2022-10</v>
      </c>
      <c r="C960" s="1">
        <v>44852</v>
      </c>
      <c r="D960" s="5">
        <v>0.9506944444444444</v>
      </c>
      <c r="E960">
        <v>13</v>
      </c>
      <c r="F960" t="s">
        <v>11</v>
      </c>
      <c r="G960">
        <v>43</v>
      </c>
      <c r="H960" t="s">
        <v>12</v>
      </c>
      <c r="I960">
        <v>4</v>
      </c>
      <c r="J960" s="6">
        <v>50</v>
      </c>
      <c r="K960">
        <v>16</v>
      </c>
      <c r="L960">
        <v>200</v>
      </c>
      <c r="M960" t="str">
        <f>IF(OR(I960="",J960="",L960=""),"Incomplete","Complete")</f>
        <v>Complete</v>
      </c>
      <c r="N960" t="str">
        <f>IF(M960="Incomplete","Not checked",IF(ROUND(I960*J960,2)=ROUND(L960,2),"Valid","Mismatch"))</f>
        <v>Valid</v>
      </c>
      <c r="O960">
        <f t="shared" si="29"/>
        <v>184</v>
      </c>
    </row>
    <row r="961" spans="1:15">
      <c r="A961">
        <v>510</v>
      </c>
      <c r="B961" t="str">
        <f t="shared" si="28"/>
        <v>2023-05</v>
      </c>
      <c r="C961" s="1">
        <v>45075</v>
      </c>
      <c r="D961" s="5">
        <v>0.71111111111111114</v>
      </c>
      <c r="E961">
        <v>14</v>
      </c>
      <c r="F961" t="s">
        <v>14</v>
      </c>
      <c r="G961">
        <v>39</v>
      </c>
      <c r="H961" t="s">
        <v>13</v>
      </c>
      <c r="I961">
        <v>4</v>
      </c>
      <c r="J961" s="6">
        <v>50</v>
      </c>
      <c r="K961">
        <v>13</v>
      </c>
      <c r="L961">
        <v>200</v>
      </c>
      <c r="M961" t="str">
        <f>IF(OR(I961="",J961="",L961=""),"Incomplete","Complete")</f>
        <v>Complete</v>
      </c>
      <c r="N961" t="str">
        <f>IF(M961="Incomplete","Not checked",IF(ROUND(I961*J961,2)=ROUND(L961,2),"Valid","Mismatch"))</f>
        <v>Valid</v>
      </c>
      <c r="O961">
        <f t="shared" si="29"/>
        <v>187</v>
      </c>
    </row>
    <row r="962" spans="1:15">
      <c r="A962">
        <v>1510</v>
      </c>
      <c r="B962" t="str">
        <f t="shared" ref="B962:B1025" si="30">TEXT(C962,"yyyy-mm")</f>
        <v>2022-11</v>
      </c>
      <c r="C962" s="1">
        <v>44885</v>
      </c>
      <c r="D962" s="5">
        <v>0.76458333333333328</v>
      </c>
      <c r="E962">
        <v>124</v>
      </c>
      <c r="F962" t="s">
        <v>14</v>
      </c>
      <c r="G962">
        <v>39</v>
      </c>
      <c r="H962" t="s">
        <v>13</v>
      </c>
      <c r="I962">
        <v>4</v>
      </c>
      <c r="J962" s="6">
        <v>50</v>
      </c>
      <c r="K962">
        <v>19</v>
      </c>
      <c r="L962">
        <v>200</v>
      </c>
      <c r="M962" t="str">
        <f>IF(OR(I962="",J962="",L962=""),"Incomplete","Complete")</f>
        <v>Complete</v>
      </c>
      <c r="N962" t="str">
        <f>IF(M962="Incomplete","Not checked",IF(ROUND(I962*J962,2)=ROUND(L962,2),"Valid","Mismatch"))</f>
        <v>Valid</v>
      </c>
      <c r="O962">
        <f t="shared" ref="O962:O1025" si="31">IF(M962="Incomplete","",L962-K962)</f>
        <v>181</v>
      </c>
    </row>
    <row r="963" spans="1:15">
      <c r="A963">
        <v>819</v>
      </c>
      <c r="B963" t="str">
        <f t="shared" si="30"/>
        <v>2023-08</v>
      </c>
      <c r="C963" s="1">
        <v>45153</v>
      </c>
      <c r="D963" s="5">
        <v>0.91597222222222219</v>
      </c>
      <c r="E963">
        <v>111</v>
      </c>
      <c r="F963" t="s">
        <v>14</v>
      </c>
      <c r="G963">
        <v>35</v>
      </c>
      <c r="H963" t="s">
        <v>13</v>
      </c>
      <c r="I963">
        <v>2</v>
      </c>
      <c r="J963" s="6">
        <v>50</v>
      </c>
      <c r="K963">
        <v>26</v>
      </c>
      <c r="L963">
        <v>100</v>
      </c>
      <c r="M963" t="str">
        <f>IF(OR(I963="",J963="",L963=""),"Incomplete","Complete")</f>
        <v>Complete</v>
      </c>
      <c r="N963" t="str">
        <f>IF(M963="Incomplete","Not checked",IF(ROUND(I963*J963,2)=ROUND(L963,2),"Valid","Mismatch"))</f>
        <v>Valid</v>
      </c>
      <c r="O963">
        <f t="shared" si="31"/>
        <v>74</v>
      </c>
    </row>
    <row r="964" spans="1:15">
      <c r="A964">
        <v>1819</v>
      </c>
      <c r="B964" t="str">
        <f t="shared" si="30"/>
        <v>2022-11</v>
      </c>
      <c r="C964" s="1">
        <v>44870</v>
      </c>
      <c r="D964" s="5">
        <v>0.86388888888888893</v>
      </c>
      <c r="E964">
        <v>83</v>
      </c>
      <c r="F964" t="s">
        <v>14</v>
      </c>
      <c r="G964">
        <v>35</v>
      </c>
      <c r="H964" t="s">
        <v>13</v>
      </c>
      <c r="I964">
        <v>2</v>
      </c>
      <c r="J964" s="6">
        <v>50</v>
      </c>
      <c r="K964">
        <v>13.5</v>
      </c>
      <c r="L964">
        <v>100</v>
      </c>
      <c r="M964" t="str">
        <f>IF(OR(I964="",J964="",L964=""),"Incomplete","Complete")</f>
        <v>Complete</v>
      </c>
      <c r="N964" t="str">
        <f>IF(M964="Incomplete","Not checked",IF(ROUND(I964*J964,2)=ROUND(L964,2),"Valid","Mismatch"))</f>
        <v>Valid</v>
      </c>
      <c r="O964">
        <f t="shared" si="31"/>
        <v>86.5</v>
      </c>
    </row>
    <row r="965" spans="1:15">
      <c r="A965">
        <v>833</v>
      </c>
      <c r="B965" t="str">
        <f t="shared" si="30"/>
        <v>2023-05</v>
      </c>
      <c r="C965" s="1">
        <v>45055</v>
      </c>
      <c r="D965" s="5">
        <v>0.77708333333333335</v>
      </c>
      <c r="E965">
        <v>85</v>
      </c>
      <c r="F965" t="s">
        <v>11</v>
      </c>
      <c r="G965">
        <v>42</v>
      </c>
      <c r="H965" t="s">
        <v>13</v>
      </c>
      <c r="I965">
        <v>4</v>
      </c>
      <c r="J965" s="6">
        <v>50</v>
      </c>
      <c r="K965">
        <v>24.5</v>
      </c>
      <c r="L965">
        <v>200</v>
      </c>
      <c r="M965" t="str">
        <f>IF(OR(I965="",J965="",L965=""),"Incomplete","Complete")</f>
        <v>Complete</v>
      </c>
      <c r="N965" t="str">
        <f>IF(M965="Incomplete","Not checked",IF(ROUND(I965*J965,2)=ROUND(L965,2),"Valid","Mismatch"))</f>
        <v>Valid</v>
      </c>
      <c r="O965">
        <f t="shared" si="31"/>
        <v>175.5</v>
      </c>
    </row>
    <row r="966" spans="1:15">
      <c r="A966">
        <v>1833</v>
      </c>
      <c r="B966" t="str">
        <f t="shared" si="30"/>
        <v>2022-01</v>
      </c>
      <c r="C966" s="1">
        <v>44591</v>
      </c>
      <c r="D966" s="5">
        <v>0.72222222222222221</v>
      </c>
      <c r="E966">
        <v>56</v>
      </c>
      <c r="F966" t="s">
        <v>11</v>
      </c>
      <c r="G966">
        <v>42</v>
      </c>
      <c r="H966" t="s">
        <v>13</v>
      </c>
      <c r="I966">
        <v>4</v>
      </c>
      <c r="J966" s="6">
        <v>50</v>
      </c>
      <c r="K966">
        <v>18</v>
      </c>
      <c r="L966">
        <v>200</v>
      </c>
      <c r="M966" t="str">
        <f>IF(OR(I966="",J966="",L966=""),"Incomplete","Complete")</f>
        <v>Complete</v>
      </c>
      <c r="N966" t="str">
        <f>IF(M966="Incomplete","Not checked",IF(ROUND(I966*J966,2)=ROUND(L966,2),"Valid","Mismatch"))</f>
        <v>Valid</v>
      </c>
      <c r="O966">
        <f t="shared" si="31"/>
        <v>182</v>
      </c>
    </row>
    <row r="967" spans="1:15">
      <c r="A967">
        <v>542</v>
      </c>
      <c r="B967" t="str">
        <f t="shared" si="30"/>
        <v>2023-06</v>
      </c>
      <c r="C967" s="1">
        <v>45078</v>
      </c>
      <c r="D967" s="5">
        <v>0.77847222222222223</v>
      </c>
      <c r="E967">
        <v>50</v>
      </c>
      <c r="F967" t="s">
        <v>14</v>
      </c>
      <c r="G967">
        <v>20</v>
      </c>
      <c r="H967" t="s">
        <v>13</v>
      </c>
      <c r="I967">
        <v>1</v>
      </c>
      <c r="J967" s="6">
        <v>50</v>
      </c>
      <c r="K967">
        <v>24</v>
      </c>
      <c r="L967">
        <v>50</v>
      </c>
      <c r="M967" t="str">
        <f>IF(OR(I967="",J967="",L967=""),"Incomplete","Complete")</f>
        <v>Complete</v>
      </c>
      <c r="N967" t="str">
        <f>IF(M967="Incomplete","Not checked",IF(ROUND(I967*J967,2)=ROUND(L967,2),"Valid","Mismatch"))</f>
        <v>Valid</v>
      </c>
      <c r="O967">
        <f t="shared" si="31"/>
        <v>26</v>
      </c>
    </row>
    <row r="968" spans="1:15">
      <c r="A968">
        <v>723</v>
      </c>
      <c r="B968" t="str">
        <f t="shared" si="30"/>
        <v>2022-07</v>
      </c>
      <c r="C968" s="1">
        <v>44756</v>
      </c>
      <c r="D968" s="5">
        <v>0.9145833333333333</v>
      </c>
      <c r="E968">
        <v>120</v>
      </c>
      <c r="F968" t="s">
        <v>14</v>
      </c>
      <c r="G968">
        <v>54</v>
      </c>
      <c r="H968" t="s">
        <v>13</v>
      </c>
      <c r="I968">
        <v>4</v>
      </c>
      <c r="J968" s="6">
        <v>50</v>
      </c>
      <c r="K968">
        <v>20.5</v>
      </c>
      <c r="L968">
        <v>200</v>
      </c>
      <c r="M968" t="str">
        <f>IF(OR(I968="",J968="",L968=""),"Incomplete","Complete")</f>
        <v>Complete</v>
      </c>
      <c r="N968" t="str">
        <f>IF(M968="Incomplete","Not checked",IF(ROUND(I968*J968,2)=ROUND(L968,2),"Valid","Mismatch"))</f>
        <v>Valid</v>
      </c>
      <c r="O968">
        <f t="shared" si="31"/>
        <v>179.5</v>
      </c>
    </row>
    <row r="969" spans="1:15">
      <c r="A969">
        <v>1542</v>
      </c>
      <c r="B969" t="str">
        <f t="shared" si="30"/>
        <v>2023-05</v>
      </c>
      <c r="C969" s="1">
        <v>45063</v>
      </c>
      <c r="D969" s="5">
        <v>0.85416666666666663</v>
      </c>
      <c r="E969">
        <v>147</v>
      </c>
      <c r="F969" t="s">
        <v>14</v>
      </c>
      <c r="G969">
        <v>20</v>
      </c>
      <c r="H969" t="s">
        <v>13</v>
      </c>
      <c r="I969">
        <v>1</v>
      </c>
      <c r="J969" s="6">
        <v>50</v>
      </c>
      <c r="K969">
        <v>14.5</v>
      </c>
      <c r="L969">
        <v>50</v>
      </c>
      <c r="M969" t="str">
        <f>IF(OR(I969="",J969="",L969=""),"Incomplete","Complete")</f>
        <v>Complete</v>
      </c>
      <c r="N969" t="str">
        <f>IF(M969="Incomplete","Not checked",IF(ROUND(I969*J969,2)=ROUND(L969,2),"Valid","Mismatch"))</f>
        <v>Valid</v>
      </c>
      <c r="O969">
        <f t="shared" si="31"/>
        <v>35.5</v>
      </c>
    </row>
    <row r="970" spans="1:15">
      <c r="A970">
        <v>1723</v>
      </c>
      <c r="B970" t="str">
        <f t="shared" si="30"/>
        <v>2022-02</v>
      </c>
      <c r="C970" s="1">
        <v>44602</v>
      </c>
      <c r="D970" s="5">
        <v>0.73819444444444449</v>
      </c>
      <c r="E970">
        <v>40</v>
      </c>
      <c r="F970" t="s">
        <v>14</v>
      </c>
      <c r="G970">
        <v>54</v>
      </c>
      <c r="H970" t="s">
        <v>13</v>
      </c>
      <c r="I970">
        <v>4</v>
      </c>
      <c r="J970" s="6">
        <v>50</v>
      </c>
      <c r="K970">
        <v>18</v>
      </c>
      <c r="L970">
        <v>200</v>
      </c>
      <c r="M970" t="str">
        <f>IF(OR(I970="",J970="",L970=""),"Incomplete","Complete")</f>
        <v>Complete</v>
      </c>
      <c r="N970" t="str">
        <f>IF(M970="Incomplete","Not checked",IF(ROUND(I970*J970,2)=ROUND(L970,2),"Valid","Mismatch"))</f>
        <v>Valid</v>
      </c>
      <c r="O970">
        <f t="shared" si="31"/>
        <v>182</v>
      </c>
    </row>
    <row r="971" spans="1:15">
      <c r="A971">
        <v>40</v>
      </c>
      <c r="B971" t="str">
        <f t="shared" si="30"/>
        <v>2022-06</v>
      </c>
      <c r="C971" s="1">
        <v>44719</v>
      </c>
      <c r="D971" s="5">
        <v>0.8979166666666667</v>
      </c>
      <c r="E971">
        <v>78</v>
      </c>
      <c r="F971" t="s">
        <v>11</v>
      </c>
      <c r="G971">
        <v>45</v>
      </c>
      <c r="H971" t="s">
        <v>13</v>
      </c>
      <c r="I971">
        <v>1</v>
      </c>
      <c r="J971" s="6">
        <v>50</v>
      </c>
      <c r="K971">
        <v>24.5</v>
      </c>
      <c r="L971">
        <v>50</v>
      </c>
      <c r="M971" t="str">
        <f>IF(OR(I971="",J971="",L971=""),"Incomplete","Complete")</f>
        <v>Complete</v>
      </c>
      <c r="N971" t="str">
        <f>IF(M971="Incomplete","Not checked",IF(ROUND(I971*J971,2)=ROUND(L971,2),"Valid","Mismatch"))</f>
        <v>Valid</v>
      </c>
      <c r="O971">
        <f t="shared" si="31"/>
        <v>25.5</v>
      </c>
    </row>
    <row r="972" spans="1:15">
      <c r="A972">
        <v>830</v>
      </c>
      <c r="B972" t="str">
        <f t="shared" si="30"/>
        <v>2022-09</v>
      </c>
      <c r="C972" s="1">
        <v>44833</v>
      </c>
      <c r="D972" s="5">
        <v>0.84652777777777777</v>
      </c>
      <c r="E972">
        <v>77</v>
      </c>
      <c r="F972" t="s">
        <v>14</v>
      </c>
      <c r="G972">
        <v>64</v>
      </c>
      <c r="H972" t="s">
        <v>12</v>
      </c>
      <c r="I972">
        <v>3</v>
      </c>
      <c r="J972" s="6">
        <v>50</v>
      </c>
      <c r="K972">
        <v>18.5</v>
      </c>
      <c r="L972">
        <v>150</v>
      </c>
      <c r="M972" t="str">
        <f>IF(OR(I972="",J972="",L972=""),"Incomplete","Complete")</f>
        <v>Complete</v>
      </c>
      <c r="N972" t="str">
        <f>IF(M972="Incomplete","Not checked",IF(ROUND(I972*J972,2)=ROUND(L972,2),"Valid","Mismatch"))</f>
        <v>Valid</v>
      </c>
      <c r="O972">
        <f t="shared" si="31"/>
        <v>131.5</v>
      </c>
    </row>
    <row r="973" spans="1:15">
      <c r="A973">
        <v>1040</v>
      </c>
      <c r="B973" t="str">
        <f t="shared" si="30"/>
        <v>2023-12</v>
      </c>
      <c r="C973" s="1">
        <v>45272</v>
      </c>
      <c r="D973" s="5">
        <v>0.89166666666666672</v>
      </c>
      <c r="E973">
        <v>112</v>
      </c>
      <c r="F973" t="s">
        <v>11</v>
      </c>
      <c r="G973">
        <v>45</v>
      </c>
      <c r="H973" t="s">
        <v>13</v>
      </c>
      <c r="I973">
        <v>1</v>
      </c>
      <c r="J973" s="6">
        <v>50</v>
      </c>
      <c r="K973">
        <v>21</v>
      </c>
      <c r="L973">
        <v>50</v>
      </c>
      <c r="M973" t="str">
        <f>IF(OR(I973="",J973="",L973=""),"Incomplete","Complete")</f>
        <v>Complete</v>
      </c>
      <c r="N973" t="str">
        <f>IF(M973="Incomplete","Not checked",IF(ROUND(I973*J973,2)=ROUND(L973,2),"Valid","Mismatch"))</f>
        <v>Valid</v>
      </c>
      <c r="O973">
        <f t="shared" si="31"/>
        <v>29</v>
      </c>
    </row>
    <row r="974" spans="1:15">
      <c r="A974">
        <v>1830</v>
      </c>
      <c r="B974" t="str">
        <f t="shared" si="30"/>
        <v>2023-03</v>
      </c>
      <c r="C974" s="1">
        <v>44989</v>
      </c>
      <c r="D974" s="5">
        <v>0.75277777777777777</v>
      </c>
      <c r="E974">
        <v>87</v>
      </c>
      <c r="F974" t="s">
        <v>14</v>
      </c>
      <c r="G974">
        <v>64</v>
      </c>
      <c r="H974" t="s">
        <v>12</v>
      </c>
      <c r="I974">
        <v>3</v>
      </c>
      <c r="J974" s="6">
        <v>50</v>
      </c>
      <c r="K974">
        <v>21</v>
      </c>
      <c r="L974">
        <v>150</v>
      </c>
      <c r="M974" t="str">
        <f>IF(OR(I974="",J974="",L974=""),"Incomplete","Complete")</f>
        <v>Complete</v>
      </c>
      <c r="N974" t="str">
        <f>IF(M974="Incomplete","Not checked",IF(ROUND(I974*J974,2)=ROUND(L974,2),"Valid","Mismatch"))</f>
        <v>Valid</v>
      </c>
      <c r="O974">
        <f t="shared" si="31"/>
        <v>129</v>
      </c>
    </row>
    <row r="975" spans="1:15">
      <c r="A975">
        <v>224</v>
      </c>
      <c r="B975" t="str">
        <f t="shared" si="30"/>
        <v>2022-11</v>
      </c>
      <c r="C975" s="1">
        <v>44876</v>
      </c>
      <c r="D975" s="5">
        <v>0.89722222222222225</v>
      </c>
      <c r="E975">
        <v>99</v>
      </c>
      <c r="F975" t="s">
        <v>14</v>
      </c>
      <c r="G975">
        <v>25</v>
      </c>
      <c r="H975" t="s">
        <v>12</v>
      </c>
      <c r="I975">
        <v>1</v>
      </c>
      <c r="J975" s="6">
        <v>50</v>
      </c>
      <c r="K975">
        <v>24</v>
      </c>
      <c r="L975">
        <v>50</v>
      </c>
      <c r="M975" t="str">
        <f>IF(OR(I975="",J975="",L975=""),"Incomplete","Complete")</f>
        <v>Complete</v>
      </c>
      <c r="N975" t="str">
        <f>IF(M975="Incomplete","Not checked",IF(ROUND(I975*J975,2)=ROUND(L975,2),"Valid","Mismatch"))</f>
        <v>Valid</v>
      </c>
      <c r="O975">
        <f t="shared" si="31"/>
        <v>26</v>
      </c>
    </row>
    <row r="976" spans="1:15">
      <c r="A976">
        <v>1224</v>
      </c>
      <c r="B976" t="str">
        <f t="shared" si="30"/>
        <v>2022-01</v>
      </c>
      <c r="C976" s="1">
        <v>44581</v>
      </c>
      <c r="D976" s="5">
        <v>0.71527777777777779</v>
      </c>
      <c r="E976">
        <v>103</v>
      </c>
      <c r="F976" t="s">
        <v>14</v>
      </c>
      <c r="G976">
        <v>25</v>
      </c>
      <c r="H976" t="s">
        <v>12</v>
      </c>
      <c r="I976">
        <v>1</v>
      </c>
      <c r="J976" s="6">
        <v>50</v>
      </c>
      <c r="K976">
        <v>20</v>
      </c>
      <c r="L976">
        <v>50</v>
      </c>
      <c r="M976" t="str">
        <f>IF(OR(I976="",J976="",L976=""),"Incomplete","Complete")</f>
        <v>Complete</v>
      </c>
      <c r="N976" t="str">
        <f>IF(M976="Incomplete","Not checked",IF(ROUND(I976*J976,2)=ROUND(L976,2),"Valid","Mismatch"))</f>
        <v>Valid</v>
      </c>
      <c r="O976">
        <f t="shared" si="31"/>
        <v>30</v>
      </c>
    </row>
    <row r="977" spans="1:15">
      <c r="A977">
        <v>737</v>
      </c>
      <c r="B977" t="str">
        <f t="shared" si="30"/>
        <v>2023-03</v>
      </c>
      <c r="C977" s="1">
        <v>45008</v>
      </c>
      <c r="D977" s="5">
        <v>0.88263888888888886</v>
      </c>
      <c r="E977">
        <v>26</v>
      </c>
      <c r="F977" t="s">
        <v>14</v>
      </c>
      <c r="G977">
        <v>33</v>
      </c>
      <c r="H977" t="s">
        <v>12</v>
      </c>
      <c r="I977">
        <v>1</v>
      </c>
      <c r="J977" s="6">
        <v>50</v>
      </c>
      <c r="K977">
        <v>14</v>
      </c>
      <c r="L977">
        <v>50</v>
      </c>
      <c r="M977" t="str">
        <f>IF(OR(I977="",J977="",L977=""),"Incomplete","Complete")</f>
        <v>Complete</v>
      </c>
      <c r="N977" t="str">
        <f>IF(M977="Incomplete","Not checked",IF(ROUND(I977*J977,2)=ROUND(L977,2),"Valid","Mismatch"))</f>
        <v>Valid</v>
      </c>
      <c r="O977">
        <f t="shared" si="31"/>
        <v>36</v>
      </c>
    </row>
    <row r="978" spans="1:15">
      <c r="A978">
        <v>1737</v>
      </c>
      <c r="B978" t="str">
        <f t="shared" si="30"/>
        <v>2022-11</v>
      </c>
      <c r="C978" s="1">
        <v>44879</v>
      </c>
      <c r="D978" s="5">
        <v>0.93888888888888888</v>
      </c>
      <c r="E978">
        <v>40</v>
      </c>
      <c r="F978" t="s">
        <v>14</v>
      </c>
      <c r="G978">
        <v>33</v>
      </c>
      <c r="H978" t="s">
        <v>12</v>
      </c>
      <c r="I978">
        <v>1</v>
      </c>
      <c r="J978" s="6">
        <v>50</v>
      </c>
      <c r="K978">
        <v>14</v>
      </c>
      <c r="L978">
        <v>50</v>
      </c>
      <c r="M978" t="str">
        <f>IF(OR(I978="",J978="",L978=""),"Incomplete","Complete")</f>
        <v>Complete</v>
      </c>
      <c r="N978" t="str">
        <f>IF(M978="Incomplete","Not checked",IF(ROUND(I978*J978,2)=ROUND(L978,2),"Valid","Mismatch"))</f>
        <v>Valid</v>
      </c>
      <c r="O978">
        <f t="shared" si="31"/>
        <v>36</v>
      </c>
    </row>
    <row r="979" spans="1:15">
      <c r="A979">
        <v>449</v>
      </c>
      <c r="B979" t="str">
        <f t="shared" si="30"/>
        <v>2022-01</v>
      </c>
      <c r="C979" s="1">
        <v>44564</v>
      </c>
      <c r="D979" s="5">
        <v>0.76944444444444449</v>
      </c>
      <c r="E979">
        <v>58</v>
      </c>
      <c r="F979" t="s">
        <v>11</v>
      </c>
      <c r="G979">
        <v>25</v>
      </c>
      <c r="H979" t="s">
        <v>15</v>
      </c>
      <c r="I979">
        <v>4</v>
      </c>
      <c r="J979" s="6">
        <v>50</v>
      </c>
      <c r="K979">
        <v>26.5</v>
      </c>
      <c r="L979">
        <v>200</v>
      </c>
      <c r="M979" t="str">
        <f>IF(OR(I979="",J979="",L979=""),"Incomplete","Complete")</f>
        <v>Complete</v>
      </c>
      <c r="N979" t="str">
        <f>IF(M979="Incomplete","Not checked",IF(ROUND(I979*J979,2)=ROUND(L979,2),"Valid","Mismatch"))</f>
        <v>Valid</v>
      </c>
      <c r="O979">
        <f t="shared" si="31"/>
        <v>173.5</v>
      </c>
    </row>
    <row r="980" spans="1:15">
      <c r="A980">
        <v>1449</v>
      </c>
      <c r="B980" t="str">
        <f t="shared" si="30"/>
        <v>2022-04</v>
      </c>
      <c r="C980" s="1">
        <v>44677</v>
      </c>
      <c r="D980" s="5">
        <v>0.77916666666666667</v>
      </c>
      <c r="E980">
        <v>12</v>
      </c>
      <c r="F980" t="s">
        <v>11</v>
      </c>
      <c r="G980">
        <v>25</v>
      </c>
      <c r="H980" t="s">
        <v>15</v>
      </c>
      <c r="I980">
        <v>4</v>
      </c>
      <c r="J980" s="6">
        <v>50</v>
      </c>
      <c r="K980">
        <v>23.5</v>
      </c>
      <c r="L980">
        <v>200</v>
      </c>
      <c r="M980" t="str">
        <f>IF(OR(I980="",J980="",L980=""),"Incomplete","Complete")</f>
        <v>Complete</v>
      </c>
      <c r="N980" t="str">
        <f>IF(M980="Incomplete","Not checked",IF(ROUND(I980*J980,2)=ROUND(L980,2),"Valid","Mismatch"))</f>
        <v>Valid</v>
      </c>
      <c r="O980">
        <f t="shared" si="31"/>
        <v>176.5</v>
      </c>
    </row>
    <row r="981" spans="1:15">
      <c r="A981">
        <v>59</v>
      </c>
      <c r="B981" t="str">
        <f t="shared" si="30"/>
        <v>2022-11</v>
      </c>
      <c r="C981" s="1">
        <v>44879</v>
      </c>
      <c r="D981" s="5">
        <v>0.76944444444444449</v>
      </c>
      <c r="E981">
        <v>61</v>
      </c>
      <c r="F981" t="s">
        <v>11</v>
      </c>
      <c r="G981">
        <v>62</v>
      </c>
      <c r="H981" t="s">
        <v>12</v>
      </c>
      <c r="I981">
        <v>1</v>
      </c>
      <c r="J981" s="6">
        <v>50</v>
      </c>
      <c r="K981">
        <v>27</v>
      </c>
      <c r="L981">
        <v>50</v>
      </c>
      <c r="M981" t="str">
        <f>IF(OR(I981="",J981="",L981=""),"Incomplete","Complete")</f>
        <v>Complete</v>
      </c>
      <c r="N981" t="str">
        <f>IF(M981="Incomplete","Not checked",IF(ROUND(I981*J981,2)=ROUND(L981,2),"Valid","Mismatch"))</f>
        <v>Valid</v>
      </c>
      <c r="O981">
        <f t="shared" si="31"/>
        <v>23</v>
      </c>
    </row>
    <row r="982" spans="1:15">
      <c r="A982">
        <v>186</v>
      </c>
      <c r="B982" t="str">
        <f t="shared" si="30"/>
        <v>2022-03</v>
      </c>
      <c r="C982" s="1">
        <v>44651</v>
      </c>
      <c r="D982" s="5">
        <v>0.76041666666666663</v>
      </c>
      <c r="E982">
        <v>92</v>
      </c>
      <c r="F982" t="s">
        <v>11</v>
      </c>
      <c r="G982">
        <v>20</v>
      </c>
      <c r="H982" t="s">
        <v>12</v>
      </c>
      <c r="I982">
        <v>4</v>
      </c>
      <c r="J982" s="6">
        <v>50</v>
      </c>
      <c r="K982">
        <v>23.5</v>
      </c>
      <c r="L982">
        <v>200</v>
      </c>
      <c r="M982" t="str">
        <f>IF(OR(I982="",J982="",L982=""),"Incomplete","Complete")</f>
        <v>Complete</v>
      </c>
      <c r="N982" t="str">
        <f>IF(M982="Incomplete","Not checked",IF(ROUND(I982*J982,2)=ROUND(L982,2),"Valid","Mismatch"))</f>
        <v>Valid</v>
      </c>
      <c r="O982">
        <f t="shared" si="31"/>
        <v>176.5</v>
      </c>
    </row>
    <row r="983" spans="1:15">
      <c r="A983">
        <v>1059</v>
      </c>
      <c r="B983" t="str">
        <f t="shared" si="30"/>
        <v>2022-07</v>
      </c>
      <c r="C983" s="1">
        <v>44754</v>
      </c>
      <c r="D983" s="5">
        <v>0.92013888888888884</v>
      </c>
      <c r="E983">
        <v>89</v>
      </c>
      <c r="F983" t="s">
        <v>11</v>
      </c>
      <c r="G983">
        <v>62</v>
      </c>
      <c r="H983" t="s">
        <v>12</v>
      </c>
      <c r="I983">
        <v>1</v>
      </c>
      <c r="J983" s="6">
        <v>50</v>
      </c>
      <c r="K983">
        <v>12.5</v>
      </c>
      <c r="L983">
        <v>50</v>
      </c>
      <c r="M983" t="str">
        <f>IF(OR(I983="",J983="",L983=""),"Incomplete","Complete")</f>
        <v>Complete</v>
      </c>
      <c r="N983" t="str">
        <f>IF(M983="Incomplete","Not checked",IF(ROUND(I983*J983,2)=ROUND(L983,2),"Valid","Mismatch"))</f>
        <v>Valid</v>
      </c>
      <c r="O983">
        <f t="shared" si="31"/>
        <v>37.5</v>
      </c>
    </row>
    <row r="984" spans="1:15">
      <c r="A984">
        <v>1186</v>
      </c>
      <c r="B984" t="str">
        <f t="shared" si="30"/>
        <v>2023-09</v>
      </c>
      <c r="C984" s="1">
        <v>45179</v>
      </c>
      <c r="D984" s="5">
        <v>0.76666666666666672</v>
      </c>
      <c r="E984">
        <v>5</v>
      </c>
      <c r="F984" t="s">
        <v>11</v>
      </c>
      <c r="G984">
        <v>20</v>
      </c>
      <c r="H984" t="s">
        <v>12</v>
      </c>
      <c r="I984">
        <v>4</v>
      </c>
      <c r="J984" s="6">
        <v>50</v>
      </c>
      <c r="K984">
        <v>18.5</v>
      </c>
      <c r="L984">
        <v>200</v>
      </c>
      <c r="M984" t="str">
        <f>IF(OR(I984="",J984="",L984=""),"Incomplete","Complete")</f>
        <v>Complete</v>
      </c>
      <c r="N984" t="str">
        <f>IF(M984="Incomplete","Not checked",IF(ROUND(I984*J984,2)=ROUND(L984,2),"Valid","Mismatch"))</f>
        <v>Valid</v>
      </c>
      <c r="O984">
        <f t="shared" si="31"/>
        <v>181.5</v>
      </c>
    </row>
    <row r="985" spans="1:15">
      <c r="A985">
        <v>75</v>
      </c>
      <c r="B985" t="str">
        <f t="shared" si="30"/>
        <v>2023-05</v>
      </c>
      <c r="C985" s="1">
        <v>45061</v>
      </c>
      <c r="D985" s="5">
        <v>0.86875000000000002</v>
      </c>
      <c r="E985">
        <v>110</v>
      </c>
      <c r="F985" t="s">
        <v>11</v>
      </c>
      <c r="G985">
        <v>61</v>
      </c>
      <c r="H985" t="s">
        <v>13</v>
      </c>
      <c r="I985">
        <v>4</v>
      </c>
      <c r="J985" s="6">
        <v>50</v>
      </c>
      <c r="K985">
        <v>13.5</v>
      </c>
      <c r="L985">
        <v>200</v>
      </c>
      <c r="M985" t="str">
        <f>IF(OR(I985="",J985="",L985=""),"Incomplete","Complete")</f>
        <v>Complete</v>
      </c>
      <c r="N985" t="str">
        <f>IF(M985="Incomplete","Not checked",IF(ROUND(I985*J985,2)=ROUND(L985,2),"Valid","Mismatch"))</f>
        <v>Valid</v>
      </c>
      <c r="O985">
        <f t="shared" si="31"/>
        <v>186.5</v>
      </c>
    </row>
    <row r="986" spans="1:15">
      <c r="A986">
        <v>1075</v>
      </c>
      <c r="B986" t="str">
        <f t="shared" si="30"/>
        <v>2022-09</v>
      </c>
      <c r="C986" s="1">
        <v>44818</v>
      </c>
      <c r="D986" s="5">
        <v>0.80347222222222225</v>
      </c>
      <c r="E986">
        <v>92</v>
      </c>
      <c r="F986" t="s">
        <v>11</v>
      </c>
      <c r="G986">
        <v>61</v>
      </c>
      <c r="H986" t="s">
        <v>13</v>
      </c>
      <c r="I986">
        <v>4</v>
      </c>
      <c r="J986" s="6">
        <v>50</v>
      </c>
      <c r="K986">
        <v>21.5</v>
      </c>
      <c r="L986">
        <v>200</v>
      </c>
      <c r="M986" t="str">
        <f>IF(OR(I986="",J986="",L986=""),"Incomplete","Complete")</f>
        <v>Complete</v>
      </c>
      <c r="N986" t="str">
        <f>IF(M986="Incomplete","Not checked",IF(ROUND(I986*J986,2)=ROUND(L986,2),"Valid","Mismatch"))</f>
        <v>Valid</v>
      </c>
      <c r="O986">
        <f t="shared" si="31"/>
        <v>178.5</v>
      </c>
    </row>
    <row r="987" spans="1:15">
      <c r="A987">
        <v>759</v>
      </c>
      <c r="B987" t="str">
        <f t="shared" si="30"/>
        <v>2023-05</v>
      </c>
      <c r="C987" s="1">
        <v>45069</v>
      </c>
      <c r="D987" s="5">
        <v>0.88958333333333328</v>
      </c>
      <c r="E987">
        <v>75</v>
      </c>
      <c r="F987" t="s">
        <v>11</v>
      </c>
      <c r="G987">
        <v>49</v>
      </c>
      <c r="H987" t="s">
        <v>15</v>
      </c>
      <c r="I987">
        <v>2</v>
      </c>
      <c r="J987" s="6">
        <v>50</v>
      </c>
      <c r="K987">
        <v>21.5</v>
      </c>
      <c r="L987">
        <v>100</v>
      </c>
      <c r="M987" t="str">
        <f>IF(OR(I987="",J987="",L987=""),"Incomplete","Complete")</f>
        <v>Complete</v>
      </c>
      <c r="N987" t="str">
        <f>IF(M987="Incomplete","Not checked",IF(ROUND(I987*J987,2)=ROUND(L987,2),"Valid","Mismatch"))</f>
        <v>Valid</v>
      </c>
      <c r="O987">
        <f t="shared" si="31"/>
        <v>78.5</v>
      </c>
    </row>
    <row r="988" spans="1:15">
      <c r="A988">
        <v>1759</v>
      </c>
      <c r="B988" t="str">
        <f t="shared" si="30"/>
        <v>2022-11</v>
      </c>
      <c r="C988" s="1">
        <v>44868</v>
      </c>
      <c r="D988" s="5">
        <v>0.7270833333333333</v>
      </c>
      <c r="E988">
        <v>102</v>
      </c>
      <c r="F988" t="s">
        <v>11</v>
      </c>
      <c r="G988">
        <v>49</v>
      </c>
      <c r="H988" t="s">
        <v>15</v>
      </c>
      <c r="I988">
        <v>2</v>
      </c>
      <c r="J988" s="6">
        <v>50</v>
      </c>
      <c r="K988">
        <v>23</v>
      </c>
      <c r="L988">
        <v>100</v>
      </c>
      <c r="M988" t="str">
        <f>IF(OR(I988="",J988="",L988=""),"Incomplete","Complete")</f>
        <v>Complete</v>
      </c>
      <c r="N988" t="str">
        <f>IF(M988="Incomplete","Not checked",IF(ROUND(I988*J988,2)=ROUND(L988,2),"Valid","Mismatch"))</f>
        <v>Valid</v>
      </c>
      <c r="O988">
        <f t="shared" si="31"/>
        <v>77</v>
      </c>
    </row>
    <row r="989" spans="1:15">
      <c r="A989">
        <v>77</v>
      </c>
      <c r="B989" t="str">
        <f t="shared" si="30"/>
        <v>2022-04</v>
      </c>
      <c r="C989" s="1">
        <v>44658</v>
      </c>
      <c r="D989" s="5">
        <v>0.86458333333333337</v>
      </c>
      <c r="E989">
        <v>44</v>
      </c>
      <c r="F989" t="s">
        <v>14</v>
      </c>
      <c r="G989">
        <v>47</v>
      </c>
      <c r="H989" t="s">
        <v>12</v>
      </c>
      <c r="I989">
        <v>2</v>
      </c>
      <c r="J989" s="6">
        <v>50</v>
      </c>
      <c r="K989">
        <v>24</v>
      </c>
      <c r="L989">
        <v>100</v>
      </c>
      <c r="M989" t="str">
        <f>IF(OR(I989="",J989="",L989=""),"Incomplete","Complete")</f>
        <v>Complete</v>
      </c>
      <c r="N989" t="str">
        <f>IF(M989="Incomplete","Not checked",IF(ROUND(I989*J989,2)=ROUND(L989,2),"Valid","Mismatch"))</f>
        <v>Valid</v>
      </c>
      <c r="O989">
        <f t="shared" si="31"/>
        <v>76</v>
      </c>
    </row>
    <row r="990" spans="1:15">
      <c r="A990">
        <v>792</v>
      </c>
      <c r="B990" t="str">
        <f t="shared" si="30"/>
        <v>2023-01</v>
      </c>
      <c r="C990" s="1">
        <v>44930</v>
      </c>
      <c r="D990" s="5">
        <v>0.95138888888888884</v>
      </c>
      <c r="E990">
        <v>4</v>
      </c>
      <c r="F990" t="s">
        <v>14</v>
      </c>
      <c r="G990">
        <v>20</v>
      </c>
      <c r="H990" t="s">
        <v>13</v>
      </c>
      <c r="I990">
        <v>1</v>
      </c>
      <c r="J990" s="6">
        <v>50</v>
      </c>
      <c r="K990">
        <v>26.5</v>
      </c>
      <c r="L990">
        <v>50</v>
      </c>
      <c r="M990" t="str">
        <f>IF(OR(I990="",J990="",L990=""),"Incomplete","Complete")</f>
        <v>Complete</v>
      </c>
      <c r="N990" t="str">
        <f>IF(M990="Incomplete","Not checked",IF(ROUND(I990*J990,2)=ROUND(L990,2),"Valid","Mismatch"))</f>
        <v>Valid</v>
      </c>
      <c r="O990">
        <f t="shared" si="31"/>
        <v>23.5</v>
      </c>
    </row>
    <row r="991" spans="1:15">
      <c r="A991">
        <v>1077</v>
      </c>
      <c r="B991" t="str">
        <f t="shared" si="30"/>
        <v>2022-12</v>
      </c>
      <c r="C991" s="1">
        <v>44911</v>
      </c>
      <c r="D991" s="5">
        <v>0.78125</v>
      </c>
      <c r="E991">
        <v>141</v>
      </c>
      <c r="F991" t="s">
        <v>14</v>
      </c>
      <c r="G991">
        <v>47</v>
      </c>
      <c r="H991" t="s">
        <v>12</v>
      </c>
      <c r="I991">
        <v>2</v>
      </c>
      <c r="J991" s="6">
        <v>50</v>
      </c>
      <c r="K991">
        <v>15</v>
      </c>
      <c r="L991">
        <v>100</v>
      </c>
      <c r="M991" t="str">
        <f>IF(OR(I991="",J991="",L991=""),"Incomplete","Complete")</f>
        <v>Complete</v>
      </c>
      <c r="N991" t="str">
        <f>IF(M991="Incomplete","Not checked",IF(ROUND(I991*J991,2)=ROUND(L991,2),"Valid","Mismatch"))</f>
        <v>Valid</v>
      </c>
      <c r="O991">
        <f t="shared" si="31"/>
        <v>85</v>
      </c>
    </row>
    <row r="992" spans="1:15">
      <c r="A992">
        <v>1792</v>
      </c>
      <c r="B992" t="str">
        <f t="shared" si="30"/>
        <v>2023-08</v>
      </c>
      <c r="C992" s="1">
        <v>45164</v>
      </c>
      <c r="D992" s="5">
        <v>0.73402777777777772</v>
      </c>
      <c r="E992">
        <v>88</v>
      </c>
      <c r="F992" t="s">
        <v>14</v>
      </c>
      <c r="G992">
        <v>20</v>
      </c>
      <c r="H992" t="s">
        <v>13</v>
      </c>
      <c r="I992">
        <v>1</v>
      </c>
      <c r="J992" s="6">
        <v>50</v>
      </c>
      <c r="K992">
        <v>26.5</v>
      </c>
      <c r="L992">
        <v>50</v>
      </c>
      <c r="M992" t="str">
        <f>IF(OR(I992="",J992="",L992=""),"Incomplete","Complete")</f>
        <v>Complete</v>
      </c>
      <c r="N992" t="str">
        <f>IF(M992="Incomplete","Not checked",IF(ROUND(I992*J992,2)=ROUND(L992,2),"Valid","Mismatch"))</f>
        <v>Valid</v>
      </c>
      <c r="O992">
        <f t="shared" si="31"/>
        <v>23.5</v>
      </c>
    </row>
    <row r="993" spans="1:15">
      <c r="A993">
        <v>176</v>
      </c>
      <c r="B993" t="str">
        <f t="shared" si="30"/>
        <v>2023-05</v>
      </c>
      <c r="C993" s="1">
        <v>45072</v>
      </c>
      <c r="D993" s="5">
        <v>0.76041666666666663</v>
      </c>
      <c r="E993">
        <v>53</v>
      </c>
      <c r="F993" t="s">
        <v>14</v>
      </c>
      <c r="G993">
        <v>43</v>
      </c>
      <c r="H993" t="s">
        <v>13</v>
      </c>
      <c r="I993">
        <v>2</v>
      </c>
      <c r="J993" s="6">
        <v>50</v>
      </c>
      <c r="K993">
        <v>25.5</v>
      </c>
      <c r="L993">
        <v>100</v>
      </c>
      <c r="M993" t="str">
        <f>IF(OR(I993="",J993="",L993=""),"Incomplete","Complete")</f>
        <v>Complete</v>
      </c>
      <c r="N993" t="str">
        <f>IF(M993="Incomplete","Not checked",IF(ROUND(I993*J993,2)=ROUND(L993,2),"Valid","Mismatch"))</f>
        <v>Valid</v>
      </c>
      <c r="O993">
        <f t="shared" si="31"/>
        <v>74.5</v>
      </c>
    </row>
    <row r="994" spans="1:15">
      <c r="A994">
        <v>216</v>
      </c>
      <c r="B994" t="str">
        <f t="shared" si="30"/>
        <v>2022-11</v>
      </c>
      <c r="C994" s="1">
        <v>44869</v>
      </c>
      <c r="D994" s="5">
        <v>0.72777777777777775</v>
      </c>
      <c r="E994">
        <v>141</v>
      </c>
      <c r="F994" t="s">
        <v>11</v>
      </c>
      <c r="G994">
        <v>62</v>
      </c>
      <c r="H994" t="s">
        <v>15</v>
      </c>
      <c r="I994">
        <v>2</v>
      </c>
      <c r="J994" s="6">
        <v>50</v>
      </c>
      <c r="K994">
        <v>26.5</v>
      </c>
      <c r="L994">
        <v>100</v>
      </c>
      <c r="M994" t="str">
        <f>IF(OR(I994="",J994="",L994=""),"Incomplete","Complete")</f>
        <v>Complete</v>
      </c>
      <c r="N994" t="str">
        <f>IF(M994="Incomplete","Not checked",IF(ROUND(I994*J994,2)=ROUND(L994,2),"Valid","Mismatch"))</f>
        <v>Valid</v>
      </c>
      <c r="O994">
        <f t="shared" si="31"/>
        <v>73.5</v>
      </c>
    </row>
    <row r="995" spans="1:15">
      <c r="A995">
        <v>1176</v>
      </c>
      <c r="B995" t="str">
        <f t="shared" si="30"/>
        <v>2023-01</v>
      </c>
      <c r="C995" s="1">
        <v>44930</v>
      </c>
      <c r="D995" s="5">
        <v>0.85624999999999996</v>
      </c>
      <c r="E995">
        <v>34</v>
      </c>
      <c r="F995" t="s">
        <v>14</v>
      </c>
      <c r="G995">
        <v>43</v>
      </c>
      <c r="H995" t="s">
        <v>13</v>
      </c>
      <c r="I995">
        <v>2</v>
      </c>
      <c r="J995" s="6">
        <v>50</v>
      </c>
      <c r="K995">
        <v>21</v>
      </c>
      <c r="L995">
        <v>100</v>
      </c>
      <c r="M995" t="str">
        <f>IF(OR(I995="",J995="",L995=""),"Incomplete","Complete")</f>
        <v>Complete</v>
      </c>
      <c r="N995" t="str">
        <f>IF(M995="Incomplete","Not checked",IF(ROUND(I995*J995,2)=ROUND(L995,2),"Valid","Mismatch"))</f>
        <v>Valid</v>
      </c>
      <c r="O995">
        <f t="shared" si="31"/>
        <v>79</v>
      </c>
    </row>
    <row r="996" spans="1:15">
      <c r="A996">
        <v>1216</v>
      </c>
      <c r="B996" t="str">
        <f t="shared" si="30"/>
        <v>2023-03</v>
      </c>
      <c r="C996" s="1">
        <v>44986</v>
      </c>
      <c r="D996" s="5">
        <v>0.95347222222222228</v>
      </c>
      <c r="E996">
        <v>23</v>
      </c>
      <c r="F996" t="s">
        <v>11</v>
      </c>
      <c r="G996">
        <v>62</v>
      </c>
      <c r="H996" t="s">
        <v>15</v>
      </c>
      <c r="I996">
        <v>2</v>
      </c>
      <c r="J996" s="6">
        <v>50</v>
      </c>
      <c r="K996">
        <v>13</v>
      </c>
      <c r="L996">
        <v>100</v>
      </c>
      <c r="M996" t="str">
        <f>IF(OR(I996="",J996="",L996=""),"Incomplete","Complete")</f>
        <v>Complete</v>
      </c>
      <c r="N996" t="str">
        <f>IF(M996="Incomplete","Not checked",IF(ROUND(I996*J996,2)=ROUND(L996,2),"Valid","Mismatch"))</f>
        <v>Valid</v>
      </c>
      <c r="O996">
        <f t="shared" si="31"/>
        <v>87</v>
      </c>
    </row>
    <row r="997" spans="1:15">
      <c r="A997">
        <v>53</v>
      </c>
      <c r="B997" t="str">
        <f t="shared" si="30"/>
        <v>2022-01</v>
      </c>
      <c r="C997" s="1">
        <v>44567</v>
      </c>
      <c r="D997" s="5">
        <v>0.74791666666666667</v>
      </c>
      <c r="E997">
        <v>32</v>
      </c>
      <c r="F997" t="s">
        <v>11</v>
      </c>
      <c r="G997">
        <v>34</v>
      </c>
      <c r="H997" t="s">
        <v>15</v>
      </c>
      <c r="I997">
        <v>2</v>
      </c>
      <c r="J997" s="6">
        <v>50</v>
      </c>
      <c r="K997">
        <v>22</v>
      </c>
      <c r="L997">
        <v>100</v>
      </c>
      <c r="M997" t="str">
        <f>IF(OR(I997="",J997="",L997=""),"Incomplete","Complete")</f>
        <v>Complete</v>
      </c>
      <c r="N997" t="str">
        <f>IF(M997="Incomplete","Not checked",IF(ROUND(I997*J997,2)=ROUND(L997,2),"Valid","Mismatch"))</f>
        <v>Valid</v>
      </c>
      <c r="O997">
        <f t="shared" si="31"/>
        <v>78</v>
      </c>
    </row>
    <row r="998" spans="1:15">
      <c r="A998">
        <v>1053</v>
      </c>
      <c r="B998" t="str">
        <f t="shared" si="30"/>
        <v>2023-02</v>
      </c>
      <c r="C998" s="1">
        <v>44967</v>
      </c>
      <c r="D998" s="5">
        <v>0.88402777777777775</v>
      </c>
      <c r="E998">
        <v>40</v>
      </c>
      <c r="F998" t="s">
        <v>11</v>
      </c>
      <c r="G998">
        <v>34</v>
      </c>
      <c r="H998" t="s">
        <v>15</v>
      </c>
      <c r="I998">
        <v>2</v>
      </c>
      <c r="J998" s="6">
        <v>50</v>
      </c>
      <c r="K998">
        <v>20.5</v>
      </c>
      <c r="L998">
        <v>100</v>
      </c>
      <c r="M998" t="str">
        <f>IF(OR(I998="",J998="",L998=""),"Incomplete","Complete")</f>
        <v>Complete</v>
      </c>
      <c r="N998" t="str">
        <f>IF(M998="Incomplete","Not checked",IF(ROUND(I998*J998,2)=ROUND(L998,2),"Valid","Mismatch"))</f>
        <v>Valid</v>
      </c>
      <c r="O998">
        <f t="shared" si="31"/>
        <v>79.5</v>
      </c>
    </row>
    <row r="999" spans="1:15">
      <c r="A999">
        <v>728</v>
      </c>
      <c r="B999" t="str">
        <f t="shared" si="30"/>
        <v>2022-06</v>
      </c>
      <c r="C999" s="1">
        <v>44714</v>
      </c>
      <c r="D999" s="5">
        <v>0.81597222222222221</v>
      </c>
      <c r="E999">
        <v>78</v>
      </c>
      <c r="F999" t="s">
        <v>11</v>
      </c>
      <c r="G999">
        <v>51</v>
      </c>
      <c r="H999" t="s">
        <v>15</v>
      </c>
      <c r="I999">
        <v>3</v>
      </c>
      <c r="J999" s="6">
        <v>50</v>
      </c>
      <c r="K999">
        <v>18</v>
      </c>
      <c r="L999">
        <v>150</v>
      </c>
      <c r="M999" t="str">
        <f>IF(OR(I999="",J999="",L999=""),"Incomplete","Complete")</f>
        <v>Complete</v>
      </c>
      <c r="N999" t="str">
        <f>IF(M999="Incomplete","Not checked",IF(ROUND(I999*J999,2)=ROUND(L999,2),"Valid","Mismatch"))</f>
        <v>Valid</v>
      </c>
      <c r="O999">
        <f t="shared" si="31"/>
        <v>132</v>
      </c>
    </row>
    <row r="1000" spans="1:15">
      <c r="A1000">
        <v>1728</v>
      </c>
      <c r="B1000" t="str">
        <f t="shared" si="30"/>
        <v>2023-05</v>
      </c>
      <c r="C1000" s="1">
        <v>45069</v>
      </c>
      <c r="D1000" s="5">
        <v>0.9375</v>
      </c>
      <c r="E1000">
        <v>77</v>
      </c>
      <c r="F1000" t="s">
        <v>11</v>
      </c>
      <c r="G1000">
        <v>51</v>
      </c>
      <c r="H1000" t="s">
        <v>15</v>
      </c>
      <c r="I1000">
        <v>3</v>
      </c>
      <c r="J1000" s="6">
        <v>50</v>
      </c>
      <c r="K1000">
        <v>25</v>
      </c>
      <c r="L1000">
        <v>150</v>
      </c>
      <c r="M1000" t="str">
        <f>IF(OR(I1000="",J1000="",L1000=""),"Incomplete","Complete")</f>
        <v>Complete</v>
      </c>
      <c r="N1000" t="str">
        <f>IF(M1000="Incomplete","Not checked",IF(ROUND(I1000*J1000,2)=ROUND(L1000,2),"Valid","Mismatch"))</f>
        <v>Valid</v>
      </c>
      <c r="O1000">
        <f t="shared" si="31"/>
        <v>125</v>
      </c>
    </row>
    <row r="1001" spans="1:15">
      <c r="A1001">
        <v>143</v>
      </c>
      <c r="B1001" t="str">
        <f t="shared" si="30"/>
        <v>2023-02</v>
      </c>
      <c r="C1001" s="1">
        <v>44968</v>
      </c>
      <c r="D1001" s="5">
        <v>0.93055555555555558</v>
      </c>
      <c r="E1001">
        <v>118</v>
      </c>
      <c r="F1001" t="s">
        <v>14</v>
      </c>
      <c r="G1001">
        <v>45</v>
      </c>
      <c r="H1001" t="s">
        <v>12</v>
      </c>
      <c r="I1001">
        <v>1</v>
      </c>
      <c r="J1001" s="6">
        <v>50</v>
      </c>
      <c r="K1001">
        <v>27.5</v>
      </c>
      <c r="L1001">
        <v>50</v>
      </c>
      <c r="M1001" t="str">
        <f>IF(OR(I1001="",J1001="",L1001=""),"Incomplete","Complete")</f>
        <v>Complete</v>
      </c>
      <c r="N1001" t="str">
        <f>IF(M1001="Incomplete","Not checked",IF(ROUND(I1001*J1001,2)=ROUND(L1001,2),"Valid","Mismatch"))</f>
        <v>Valid</v>
      </c>
      <c r="O1001">
        <f t="shared" si="31"/>
        <v>22.5</v>
      </c>
    </row>
    <row r="1002" spans="1:15">
      <c r="A1002">
        <v>1143</v>
      </c>
      <c r="B1002" t="str">
        <f t="shared" si="30"/>
        <v>2023-05</v>
      </c>
      <c r="C1002" s="1">
        <v>45047</v>
      </c>
      <c r="D1002" s="5">
        <v>0.88194444444444442</v>
      </c>
      <c r="E1002">
        <v>23</v>
      </c>
      <c r="F1002" t="s">
        <v>14</v>
      </c>
      <c r="G1002">
        <v>45</v>
      </c>
      <c r="H1002" t="s">
        <v>12</v>
      </c>
      <c r="I1002">
        <v>1</v>
      </c>
      <c r="J1002" s="6">
        <v>50</v>
      </c>
      <c r="K1002">
        <v>15</v>
      </c>
      <c r="L1002">
        <v>50</v>
      </c>
      <c r="M1002" t="str">
        <f>IF(OR(I1002="",J1002="",L1002=""),"Incomplete","Complete")</f>
        <v>Complete</v>
      </c>
      <c r="N1002" t="str">
        <f>IF(M1002="Incomplete","Not checked",IF(ROUND(I1002*J1002,2)=ROUND(L1002,2),"Valid","Mismatch"))</f>
        <v>Valid</v>
      </c>
      <c r="O1002">
        <f t="shared" si="31"/>
        <v>35</v>
      </c>
    </row>
    <row r="1003" spans="1:15">
      <c r="A1003">
        <v>686</v>
      </c>
      <c r="B1003" t="str">
        <f t="shared" si="30"/>
        <v>2022-01</v>
      </c>
      <c r="C1003" s="1">
        <v>44567</v>
      </c>
      <c r="D1003" s="5">
        <v>0.71805555555555556</v>
      </c>
      <c r="E1003">
        <v>68</v>
      </c>
      <c r="F1003" t="s">
        <v>14</v>
      </c>
      <c r="G1003">
        <v>28</v>
      </c>
      <c r="H1003" t="s">
        <v>15</v>
      </c>
      <c r="I1003">
        <v>4</v>
      </c>
      <c r="J1003" s="6">
        <v>50</v>
      </c>
      <c r="K1003">
        <v>23.5</v>
      </c>
      <c r="L1003">
        <v>200</v>
      </c>
      <c r="M1003" t="str">
        <f>IF(OR(I1003="",J1003="",L1003=""),"Incomplete","Complete")</f>
        <v>Complete</v>
      </c>
      <c r="N1003" t="str">
        <f>IF(M1003="Incomplete","Not checked",IF(ROUND(I1003*J1003,2)=ROUND(L1003,2),"Valid","Mismatch"))</f>
        <v>Valid</v>
      </c>
      <c r="O1003">
        <f t="shared" si="31"/>
        <v>176.5</v>
      </c>
    </row>
    <row r="1004" spans="1:15">
      <c r="A1004">
        <v>1686</v>
      </c>
      <c r="B1004" t="str">
        <f t="shared" si="30"/>
        <v>2023-12</v>
      </c>
      <c r="C1004" s="1">
        <v>45270</v>
      </c>
      <c r="D1004" s="5">
        <v>0.8618055555555556</v>
      </c>
      <c r="E1004">
        <v>151</v>
      </c>
      <c r="F1004" t="s">
        <v>14</v>
      </c>
      <c r="G1004">
        <v>28</v>
      </c>
      <c r="H1004" t="s">
        <v>15</v>
      </c>
      <c r="I1004">
        <v>4</v>
      </c>
      <c r="J1004" s="6">
        <v>50</v>
      </c>
      <c r="K1004">
        <v>26</v>
      </c>
      <c r="L1004">
        <v>200</v>
      </c>
      <c r="M1004" t="str">
        <f>IF(OR(I1004="",J1004="",L1004=""),"Incomplete","Complete")</f>
        <v>Complete</v>
      </c>
      <c r="N1004" t="str">
        <f>IF(M1004="Incomplete","Not checked",IF(ROUND(I1004*J1004,2)=ROUND(L1004,2),"Valid","Mismatch"))</f>
        <v>Valid</v>
      </c>
      <c r="O1004">
        <f t="shared" si="31"/>
        <v>174</v>
      </c>
    </row>
    <row r="1005" spans="1:15">
      <c r="A1005">
        <v>359</v>
      </c>
      <c r="B1005" t="str">
        <f t="shared" si="30"/>
        <v>2022-12</v>
      </c>
      <c r="C1005" s="1">
        <v>44910</v>
      </c>
      <c r="D1005" s="5">
        <v>0.90902777777777777</v>
      </c>
      <c r="E1005">
        <v>122</v>
      </c>
      <c r="F1005" t="s">
        <v>11</v>
      </c>
      <c r="G1005">
        <v>50</v>
      </c>
      <c r="H1005" t="s">
        <v>12</v>
      </c>
      <c r="I1005">
        <v>1</v>
      </c>
      <c r="J1005" s="6">
        <v>50</v>
      </c>
      <c r="K1005">
        <v>22.5</v>
      </c>
      <c r="L1005">
        <v>50</v>
      </c>
      <c r="M1005" t="str">
        <f>IF(OR(I1005="",J1005="",L1005=""),"Incomplete","Complete")</f>
        <v>Complete</v>
      </c>
      <c r="N1005" t="str">
        <f>IF(M1005="Incomplete","Not checked",IF(ROUND(I1005*J1005,2)=ROUND(L1005,2),"Valid","Mismatch"))</f>
        <v>Valid</v>
      </c>
      <c r="O1005">
        <f t="shared" si="31"/>
        <v>27.5</v>
      </c>
    </row>
    <row r="1006" spans="1:15">
      <c r="A1006">
        <v>1359</v>
      </c>
      <c r="B1006" t="str">
        <f t="shared" si="30"/>
        <v>2022-05</v>
      </c>
      <c r="C1006" s="1">
        <v>44698</v>
      </c>
      <c r="D1006" s="5">
        <v>0.93125000000000002</v>
      </c>
      <c r="E1006">
        <v>55</v>
      </c>
      <c r="F1006" t="s">
        <v>11</v>
      </c>
      <c r="G1006">
        <v>50</v>
      </c>
      <c r="H1006" t="s">
        <v>12</v>
      </c>
      <c r="I1006">
        <v>1</v>
      </c>
      <c r="J1006" s="6">
        <v>50</v>
      </c>
      <c r="K1006">
        <v>19</v>
      </c>
      <c r="L1006">
        <v>50</v>
      </c>
      <c r="M1006" t="str">
        <f>IF(OR(I1006="",J1006="",L1006=""),"Incomplete","Complete")</f>
        <v>Complete</v>
      </c>
      <c r="N1006" t="str">
        <f>IF(M1006="Incomplete","Not checked",IF(ROUND(I1006*J1006,2)=ROUND(L1006,2),"Valid","Mismatch"))</f>
        <v>Valid</v>
      </c>
      <c r="O1006">
        <f t="shared" si="31"/>
        <v>31</v>
      </c>
    </row>
    <row r="1007" spans="1:15">
      <c r="A1007">
        <v>338</v>
      </c>
      <c r="B1007" t="str">
        <f t="shared" si="30"/>
        <v>2022-02</v>
      </c>
      <c r="C1007" s="1">
        <v>44597</v>
      </c>
      <c r="D1007" s="5">
        <v>0.8930555555555556</v>
      </c>
      <c r="E1007">
        <v>44</v>
      </c>
      <c r="F1007" t="s">
        <v>11</v>
      </c>
      <c r="G1007">
        <v>54</v>
      </c>
      <c r="H1007" t="s">
        <v>13</v>
      </c>
      <c r="I1007">
        <v>2</v>
      </c>
      <c r="J1007" s="6">
        <v>50</v>
      </c>
      <c r="K1007">
        <v>20</v>
      </c>
      <c r="L1007">
        <v>100</v>
      </c>
      <c r="M1007" t="str">
        <f>IF(OR(I1007="",J1007="",L1007=""),"Incomplete","Complete")</f>
        <v>Complete</v>
      </c>
      <c r="N1007" t="str">
        <f>IF(M1007="Incomplete","Not checked",IF(ROUND(I1007*J1007,2)=ROUND(L1007,2),"Valid","Mismatch"))</f>
        <v>Valid</v>
      </c>
      <c r="O1007">
        <f t="shared" si="31"/>
        <v>80</v>
      </c>
    </row>
    <row r="1008" spans="1:15">
      <c r="A1008">
        <v>1338</v>
      </c>
      <c r="B1008" t="str">
        <f t="shared" si="30"/>
        <v>2022-01</v>
      </c>
      <c r="C1008" s="1">
        <v>44586</v>
      </c>
      <c r="D1008" s="5">
        <v>0.82986111111111116</v>
      </c>
      <c r="E1008">
        <v>31</v>
      </c>
      <c r="F1008" t="s">
        <v>11</v>
      </c>
      <c r="G1008">
        <v>54</v>
      </c>
      <c r="H1008" t="s">
        <v>13</v>
      </c>
      <c r="I1008">
        <v>2</v>
      </c>
      <c r="J1008" s="6">
        <v>50</v>
      </c>
      <c r="K1008">
        <v>19</v>
      </c>
      <c r="L1008">
        <v>100</v>
      </c>
      <c r="M1008" t="str">
        <f>IF(OR(I1008="",J1008="",L1008=""),"Incomplete","Complete")</f>
        <v>Complete</v>
      </c>
      <c r="N1008" t="str">
        <f>IF(M1008="Incomplete","Not checked",IF(ROUND(I1008*J1008,2)=ROUND(L1008,2),"Valid","Mismatch"))</f>
        <v>Valid</v>
      </c>
      <c r="O1008">
        <f t="shared" si="31"/>
        <v>81</v>
      </c>
    </row>
    <row r="1009" spans="1:15">
      <c r="A1009">
        <v>668</v>
      </c>
      <c r="B1009" t="str">
        <f t="shared" si="30"/>
        <v>2022-06</v>
      </c>
      <c r="C1009" s="1">
        <v>44729</v>
      </c>
      <c r="D1009" s="5">
        <v>0.85624999999999996</v>
      </c>
      <c r="E1009">
        <v>135</v>
      </c>
      <c r="F1009" t="s">
        <v>14</v>
      </c>
      <c r="G1009">
        <v>62</v>
      </c>
      <c r="H1009" t="s">
        <v>15</v>
      </c>
      <c r="I1009">
        <v>3</v>
      </c>
      <c r="J1009" s="6">
        <v>50</v>
      </c>
      <c r="K1009">
        <v>24.5</v>
      </c>
      <c r="L1009">
        <v>150</v>
      </c>
      <c r="M1009" t="str">
        <f>IF(OR(I1009="",J1009="",L1009=""),"Incomplete","Complete")</f>
        <v>Complete</v>
      </c>
      <c r="N1009" t="str">
        <f>IF(M1009="Incomplete","Not checked",IF(ROUND(I1009*J1009,2)=ROUND(L1009,2),"Valid","Mismatch"))</f>
        <v>Valid</v>
      </c>
      <c r="O1009">
        <f t="shared" si="31"/>
        <v>125.5</v>
      </c>
    </row>
    <row r="1010" spans="1:15">
      <c r="A1010">
        <v>1668</v>
      </c>
      <c r="B1010" t="str">
        <f t="shared" si="30"/>
        <v>2023-03</v>
      </c>
      <c r="C1010" s="1">
        <v>44998</v>
      </c>
      <c r="D1010" s="5">
        <v>0.90277777777777779</v>
      </c>
      <c r="E1010">
        <v>132</v>
      </c>
      <c r="F1010" t="s">
        <v>14</v>
      </c>
      <c r="G1010">
        <v>62</v>
      </c>
      <c r="H1010" t="s">
        <v>15</v>
      </c>
      <c r="I1010">
        <v>3</v>
      </c>
      <c r="J1010" s="6">
        <v>50</v>
      </c>
      <c r="K1010">
        <v>14</v>
      </c>
      <c r="L1010">
        <v>150</v>
      </c>
      <c r="M1010" t="str">
        <f>IF(OR(I1010="",J1010="",L1010=""),"Incomplete","Complete")</f>
        <v>Complete</v>
      </c>
      <c r="N1010" t="str">
        <f>IF(M1010="Incomplete","Not checked",IF(ROUND(I1010*J1010,2)=ROUND(L1010,2),"Valid","Mismatch"))</f>
        <v>Valid</v>
      </c>
      <c r="O1010">
        <f t="shared" si="31"/>
        <v>136</v>
      </c>
    </row>
    <row r="1011" spans="1:15">
      <c r="A1011">
        <v>467</v>
      </c>
      <c r="B1011" t="str">
        <f t="shared" si="30"/>
        <v>2022-01</v>
      </c>
      <c r="C1011" s="1">
        <v>44585</v>
      </c>
      <c r="D1011" s="5">
        <v>0.94374999999999998</v>
      </c>
      <c r="E1011">
        <v>151</v>
      </c>
      <c r="F1011" t="s">
        <v>14</v>
      </c>
      <c r="G1011">
        <v>53</v>
      </c>
      <c r="H1011" t="s">
        <v>15</v>
      </c>
      <c r="I1011">
        <v>3</v>
      </c>
      <c r="J1011" s="6">
        <v>50</v>
      </c>
      <c r="K1011">
        <v>14.5</v>
      </c>
      <c r="L1011">
        <v>150</v>
      </c>
      <c r="M1011" t="str">
        <f>IF(OR(I1011="",J1011="",L1011=""),"Incomplete","Complete")</f>
        <v>Complete</v>
      </c>
      <c r="N1011" t="str">
        <f>IF(M1011="Incomplete","Not checked",IF(ROUND(I1011*J1011,2)=ROUND(L1011,2),"Valid","Mismatch"))</f>
        <v>Valid</v>
      </c>
      <c r="O1011">
        <f t="shared" si="31"/>
        <v>135.5</v>
      </c>
    </row>
    <row r="1012" spans="1:15">
      <c r="A1012">
        <v>1467</v>
      </c>
      <c r="B1012" t="str">
        <f t="shared" si="30"/>
        <v>2023-08</v>
      </c>
      <c r="C1012" s="1">
        <v>45151</v>
      </c>
      <c r="D1012" s="5">
        <v>0.81319444444444444</v>
      </c>
      <c r="E1012">
        <v>89</v>
      </c>
      <c r="F1012" t="s">
        <v>14</v>
      </c>
      <c r="G1012">
        <v>53</v>
      </c>
      <c r="H1012" t="s">
        <v>15</v>
      </c>
      <c r="I1012">
        <v>3</v>
      </c>
      <c r="J1012" s="6">
        <v>50</v>
      </c>
      <c r="K1012">
        <v>14</v>
      </c>
      <c r="L1012">
        <v>150</v>
      </c>
      <c r="M1012" t="str">
        <f>IF(OR(I1012="",J1012="",L1012=""),"Incomplete","Complete")</f>
        <v>Complete</v>
      </c>
      <c r="N1012" t="str">
        <f>IF(M1012="Incomplete","Not checked",IF(ROUND(I1012*J1012,2)=ROUND(L1012,2),"Valid","Mismatch"))</f>
        <v>Valid</v>
      </c>
      <c r="O1012">
        <f t="shared" si="31"/>
        <v>136</v>
      </c>
    </row>
    <row r="1013" spans="1:15">
      <c r="A1013">
        <v>672</v>
      </c>
      <c r="B1013" t="str">
        <f t="shared" si="30"/>
        <v>2022-02</v>
      </c>
      <c r="C1013" s="1">
        <v>44609</v>
      </c>
      <c r="D1013" s="5">
        <v>0.82222222222222219</v>
      </c>
      <c r="E1013">
        <v>1</v>
      </c>
      <c r="F1013" t="s">
        <v>14</v>
      </c>
      <c r="G1013">
        <v>34</v>
      </c>
      <c r="H1013" t="s">
        <v>13</v>
      </c>
      <c r="I1013">
        <v>2</v>
      </c>
      <c r="J1013" s="6">
        <v>50</v>
      </c>
      <c r="K1013">
        <v>27.5</v>
      </c>
      <c r="L1013">
        <v>100</v>
      </c>
      <c r="M1013" t="str">
        <f>IF(OR(I1013="",J1013="",L1013=""),"Incomplete","Complete")</f>
        <v>Complete</v>
      </c>
      <c r="N1013" t="str">
        <f>IF(M1013="Incomplete","Not checked",IF(ROUND(I1013*J1013,2)=ROUND(L1013,2),"Valid","Mismatch"))</f>
        <v>Valid</v>
      </c>
      <c r="O1013">
        <f t="shared" si="31"/>
        <v>72.5</v>
      </c>
    </row>
    <row r="1014" spans="1:15">
      <c r="A1014">
        <v>1672</v>
      </c>
      <c r="B1014" t="str">
        <f t="shared" si="30"/>
        <v>2023-03</v>
      </c>
      <c r="C1014" s="1">
        <v>45013</v>
      </c>
      <c r="D1014" s="5">
        <v>0.94027777777777777</v>
      </c>
      <c r="E1014">
        <v>87</v>
      </c>
      <c r="F1014" t="s">
        <v>14</v>
      </c>
      <c r="G1014">
        <v>34</v>
      </c>
      <c r="H1014" t="s">
        <v>13</v>
      </c>
      <c r="I1014">
        <v>2</v>
      </c>
      <c r="J1014" s="6">
        <v>50</v>
      </c>
      <c r="K1014">
        <v>15.5</v>
      </c>
      <c r="L1014">
        <v>100</v>
      </c>
      <c r="M1014" t="str">
        <f>IF(OR(I1014="",J1014="",L1014=""),"Incomplete","Complete")</f>
        <v>Complete</v>
      </c>
      <c r="N1014" t="str">
        <f>IF(M1014="Incomplete","Not checked",IF(ROUND(I1014*J1014,2)=ROUND(L1014,2),"Valid","Mismatch"))</f>
        <v>Valid</v>
      </c>
      <c r="O1014">
        <f t="shared" si="31"/>
        <v>84.5</v>
      </c>
    </row>
    <row r="1015" spans="1:15">
      <c r="A1015">
        <v>549</v>
      </c>
      <c r="B1015" t="str">
        <f t="shared" si="30"/>
        <v>2022-11</v>
      </c>
      <c r="C1015" s="1">
        <v>44868</v>
      </c>
      <c r="D1015" s="5">
        <v>0.81874999999999998</v>
      </c>
      <c r="E1015">
        <v>114</v>
      </c>
      <c r="F1015" t="s">
        <v>14</v>
      </c>
      <c r="G1015">
        <v>50</v>
      </c>
      <c r="H1015" t="s">
        <v>13</v>
      </c>
      <c r="I1015">
        <v>2</v>
      </c>
      <c r="J1015" s="6">
        <v>50</v>
      </c>
      <c r="K1015">
        <v>12.5</v>
      </c>
      <c r="L1015">
        <v>100</v>
      </c>
      <c r="M1015" t="str">
        <f>IF(OR(I1015="",J1015="",L1015=""),"Incomplete","Complete")</f>
        <v>Complete</v>
      </c>
      <c r="N1015" t="str">
        <f>IF(M1015="Incomplete","Not checked",IF(ROUND(I1015*J1015,2)=ROUND(L1015,2),"Valid","Mismatch"))</f>
        <v>Valid</v>
      </c>
      <c r="O1015">
        <f t="shared" si="31"/>
        <v>87.5</v>
      </c>
    </row>
    <row r="1016" spans="1:15">
      <c r="A1016">
        <v>798</v>
      </c>
      <c r="B1016" t="str">
        <f t="shared" si="30"/>
        <v>2023-01</v>
      </c>
      <c r="C1016" s="1">
        <v>44946</v>
      </c>
      <c r="D1016" s="5">
        <v>0.8881944444444444</v>
      </c>
      <c r="E1016">
        <v>73</v>
      </c>
      <c r="F1016" t="s">
        <v>11</v>
      </c>
      <c r="G1016">
        <v>61</v>
      </c>
      <c r="H1016" t="s">
        <v>12</v>
      </c>
      <c r="I1016">
        <v>1</v>
      </c>
      <c r="J1016" s="6">
        <v>50</v>
      </c>
      <c r="K1016">
        <v>15</v>
      </c>
      <c r="L1016">
        <v>50</v>
      </c>
      <c r="M1016" t="str">
        <f>IF(OR(I1016="",J1016="",L1016=""),"Incomplete","Complete")</f>
        <v>Complete</v>
      </c>
      <c r="N1016" t="str">
        <f>IF(M1016="Incomplete","Not checked",IF(ROUND(I1016*J1016,2)=ROUND(L1016,2),"Valid","Mismatch"))</f>
        <v>Valid</v>
      </c>
      <c r="O1016">
        <f t="shared" si="31"/>
        <v>35</v>
      </c>
    </row>
    <row r="1017" spans="1:15">
      <c r="A1017">
        <v>1549</v>
      </c>
      <c r="B1017" t="str">
        <f t="shared" si="30"/>
        <v>2023-11</v>
      </c>
      <c r="C1017" s="1">
        <v>45245</v>
      </c>
      <c r="D1017" s="5">
        <v>0.80902777777777779</v>
      </c>
      <c r="E1017">
        <v>109</v>
      </c>
      <c r="F1017" t="s">
        <v>14</v>
      </c>
      <c r="G1017">
        <v>50</v>
      </c>
      <c r="H1017" t="s">
        <v>13</v>
      </c>
      <c r="I1017">
        <v>2</v>
      </c>
      <c r="J1017" s="6">
        <v>50</v>
      </c>
      <c r="K1017">
        <v>14.5</v>
      </c>
      <c r="L1017">
        <v>100</v>
      </c>
      <c r="M1017" t="str">
        <f>IF(OR(I1017="",J1017="",L1017=""),"Incomplete","Complete")</f>
        <v>Complete</v>
      </c>
      <c r="N1017" t="str">
        <f>IF(M1017="Incomplete","Not checked",IF(ROUND(I1017*J1017,2)=ROUND(L1017,2),"Valid","Mismatch"))</f>
        <v>Valid</v>
      </c>
      <c r="O1017">
        <f t="shared" si="31"/>
        <v>85.5</v>
      </c>
    </row>
    <row r="1018" spans="1:15">
      <c r="A1018">
        <v>1798</v>
      </c>
      <c r="B1018" t="str">
        <f t="shared" si="30"/>
        <v>2023-07</v>
      </c>
      <c r="C1018" s="1">
        <v>45125</v>
      </c>
      <c r="D1018" s="5">
        <v>0.85138888888888886</v>
      </c>
      <c r="E1018">
        <v>96</v>
      </c>
      <c r="F1018" t="s">
        <v>11</v>
      </c>
      <c r="G1018">
        <v>61</v>
      </c>
      <c r="H1018" t="s">
        <v>12</v>
      </c>
      <c r="I1018">
        <v>1</v>
      </c>
      <c r="J1018" s="6">
        <v>50</v>
      </c>
      <c r="K1018">
        <v>20</v>
      </c>
      <c r="L1018">
        <v>50</v>
      </c>
      <c r="M1018" t="str">
        <f>IF(OR(I1018="",J1018="",L1018=""),"Incomplete","Complete")</f>
        <v>Complete</v>
      </c>
      <c r="N1018" t="str">
        <f>IF(M1018="Incomplete","Not checked",IF(ROUND(I1018*J1018,2)=ROUND(L1018,2),"Valid","Mismatch"))</f>
        <v>Valid</v>
      </c>
      <c r="O1018">
        <f t="shared" si="31"/>
        <v>30</v>
      </c>
    </row>
    <row r="1019" spans="1:15">
      <c r="A1019">
        <v>125</v>
      </c>
      <c r="B1019" t="str">
        <f t="shared" si="30"/>
        <v>2022-09</v>
      </c>
      <c r="C1019" s="1">
        <v>44832</v>
      </c>
      <c r="D1019" s="5">
        <v>0.78333333333333333</v>
      </c>
      <c r="E1019">
        <v>137</v>
      </c>
      <c r="F1019" t="s">
        <v>11</v>
      </c>
      <c r="G1019">
        <v>48</v>
      </c>
      <c r="H1019" t="s">
        <v>12</v>
      </c>
      <c r="I1019">
        <v>2</v>
      </c>
      <c r="J1019" s="6">
        <v>50</v>
      </c>
      <c r="K1019">
        <v>19</v>
      </c>
      <c r="L1019">
        <v>100</v>
      </c>
      <c r="M1019" t="str">
        <f>IF(OR(I1019="",J1019="",L1019=""),"Incomplete","Complete")</f>
        <v>Complete</v>
      </c>
      <c r="N1019" t="str">
        <f>IF(M1019="Incomplete","Not checked",IF(ROUND(I1019*J1019,2)=ROUND(L1019,2),"Valid","Mismatch"))</f>
        <v>Valid</v>
      </c>
      <c r="O1019">
        <f t="shared" si="31"/>
        <v>81</v>
      </c>
    </row>
    <row r="1020" spans="1:15">
      <c r="A1020">
        <v>1125</v>
      </c>
      <c r="B1020" t="str">
        <f t="shared" si="30"/>
        <v>2023-11</v>
      </c>
      <c r="C1020" s="1">
        <v>45242</v>
      </c>
      <c r="D1020" s="5">
        <v>0.74375000000000002</v>
      </c>
      <c r="E1020">
        <v>79</v>
      </c>
      <c r="F1020" t="s">
        <v>11</v>
      </c>
      <c r="G1020">
        <v>48</v>
      </c>
      <c r="H1020" t="s">
        <v>12</v>
      </c>
      <c r="I1020">
        <v>2</v>
      </c>
      <c r="J1020" s="6">
        <v>50</v>
      </c>
      <c r="K1020">
        <v>21.5</v>
      </c>
      <c r="L1020">
        <v>100</v>
      </c>
      <c r="M1020" t="str">
        <f>IF(OR(I1020="",J1020="",L1020=""),"Incomplete","Complete")</f>
        <v>Complete</v>
      </c>
      <c r="N1020" t="str">
        <f>IF(M1020="Incomplete","Not checked",IF(ROUND(I1020*J1020,2)=ROUND(L1020,2),"Valid","Mismatch"))</f>
        <v>Valid</v>
      </c>
      <c r="O1020">
        <f t="shared" si="31"/>
        <v>78.5</v>
      </c>
    </row>
    <row r="1021" spans="1:15">
      <c r="A1021">
        <v>259</v>
      </c>
      <c r="B1021" t="str">
        <f t="shared" si="30"/>
        <v>2023-03</v>
      </c>
      <c r="C1021" s="1">
        <v>44996</v>
      </c>
      <c r="D1021" s="5">
        <v>0.85138888888888886</v>
      </c>
      <c r="E1021">
        <v>93</v>
      </c>
      <c r="F1021" t="s">
        <v>14</v>
      </c>
      <c r="G1021">
        <v>45</v>
      </c>
      <c r="H1021" t="s">
        <v>12</v>
      </c>
      <c r="I1021">
        <v>4</v>
      </c>
      <c r="J1021" s="6">
        <v>50</v>
      </c>
      <c r="K1021">
        <v>22.5</v>
      </c>
      <c r="L1021">
        <v>200</v>
      </c>
      <c r="M1021" t="str">
        <f>IF(OR(I1021="",J1021="",L1021=""),"Incomplete","Complete")</f>
        <v>Complete</v>
      </c>
      <c r="N1021" t="str">
        <f>IF(M1021="Incomplete","Not checked",IF(ROUND(I1021*J1021,2)=ROUND(L1021,2),"Valid","Mismatch"))</f>
        <v>Valid</v>
      </c>
      <c r="O1021">
        <f t="shared" si="31"/>
        <v>177.5</v>
      </c>
    </row>
    <row r="1022" spans="1:15">
      <c r="A1022">
        <v>529</v>
      </c>
      <c r="B1022" t="str">
        <f t="shared" si="30"/>
        <v>2022-11</v>
      </c>
      <c r="C1022" s="1">
        <v>44894</v>
      </c>
      <c r="D1022" s="5">
        <v>0.73819444444444449</v>
      </c>
      <c r="E1022">
        <v>46</v>
      </c>
      <c r="F1022" t="s">
        <v>14</v>
      </c>
      <c r="G1022">
        <v>35</v>
      </c>
      <c r="H1022" t="s">
        <v>12</v>
      </c>
      <c r="I1022">
        <v>3</v>
      </c>
      <c r="J1022" s="6">
        <v>50</v>
      </c>
      <c r="K1022">
        <v>20.5</v>
      </c>
      <c r="L1022">
        <v>150</v>
      </c>
      <c r="M1022" t="str">
        <f>IF(OR(I1022="",J1022="",L1022=""),"Incomplete","Complete")</f>
        <v>Complete</v>
      </c>
      <c r="N1022" t="str">
        <f>IF(M1022="Incomplete","Not checked",IF(ROUND(I1022*J1022,2)=ROUND(L1022,2),"Valid","Mismatch"))</f>
        <v>Valid</v>
      </c>
      <c r="O1022">
        <f t="shared" si="31"/>
        <v>129.5</v>
      </c>
    </row>
    <row r="1023" spans="1:15">
      <c r="A1023">
        <v>1259</v>
      </c>
      <c r="B1023" t="str">
        <f t="shared" si="30"/>
        <v>2022-11</v>
      </c>
      <c r="C1023" s="1">
        <v>44868</v>
      </c>
      <c r="D1023" s="5">
        <v>0.72986111111111107</v>
      </c>
      <c r="E1023">
        <v>105</v>
      </c>
      <c r="F1023" t="s">
        <v>14</v>
      </c>
      <c r="G1023">
        <v>45</v>
      </c>
      <c r="H1023" t="s">
        <v>12</v>
      </c>
      <c r="I1023">
        <v>4</v>
      </c>
      <c r="J1023" s="6">
        <v>50</v>
      </c>
      <c r="K1023">
        <v>21</v>
      </c>
      <c r="L1023">
        <v>200</v>
      </c>
      <c r="M1023" t="str">
        <f>IF(OR(I1023="",J1023="",L1023=""),"Incomplete","Complete")</f>
        <v>Complete</v>
      </c>
      <c r="N1023" t="str">
        <f>IF(M1023="Incomplete","Not checked",IF(ROUND(I1023*J1023,2)=ROUND(L1023,2),"Valid","Mismatch"))</f>
        <v>Valid</v>
      </c>
      <c r="O1023">
        <f t="shared" si="31"/>
        <v>179</v>
      </c>
    </row>
    <row r="1024" spans="1:15">
      <c r="A1024">
        <v>1529</v>
      </c>
      <c r="B1024" t="str">
        <f t="shared" si="30"/>
        <v>2022-09</v>
      </c>
      <c r="C1024" s="1">
        <v>44821</v>
      </c>
      <c r="D1024" s="5">
        <v>0.94305555555555554</v>
      </c>
      <c r="E1024">
        <v>105</v>
      </c>
      <c r="F1024" t="s">
        <v>14</v>
      </c>
      <c r="G1024">
        <v>35</v>
      </c>
      <c r="H1024" t="s">
        <v>12</v>
      </c>
      <c r="I1024">
        <v>3</v>
      </c>
      <c r="J1024" s="6">
        <v>50</v>
      </c>
      <c r="K1024">
        <v>17</v>
      </c>
      <c r="L1024">
        <v>150</v>
      </c>
      <c r="M1024" t="str">
        <f>IF(OR(I1024="",J1024="",L1024=""),"Incomplete","Complete")</f>
        <v>Complete</v>
      </c>
      <c r="N1024" t="str">
        <f>IF(M1024="Incomplete","Not checked",IF(ROUND(I1024*J1024,2)=ROUND(L1024,2),"Valid","Mismatch"))</f>
        <v>Valid</v>
      </c>
      <c r="O1024">
        <f t="shared" si="31"/>
        <v>133</v>
      </c>
    </row>
    <row r="1025" spans="1:15">
      <c r="A1025">
        <v>801</v>
      </c>
      <c r="B1025" t="str">
        <f t="shared" si="30"/>
        <v>2022-12</v>
      </c>
      <c r="C1025" s="1">
        <v>44896</v>
      </c>
      <c r="D1025" s="5">
        <v>0.71805555555555556</v>
      </c>
      <c r="E1025">
        <v>153</v>
      </c>
      <c r="F1025" t="s">
        <v>11</v>
      </c>
      <c r="G1025">
        <v>21</v>
      </c>
      <c r="H1025" t="s">
        <v>12</v>
      </c>
      <c r="I1025">
        <v>4</v>
      </c>
      <c r="J1025" s="6">
        <v>50</v>
      </c>
      <c r="K1025">
        <v>19</v>
      </c>
      <c r="L1025">
        <v>200</v>
      </c>
      <c r="M1025" t="str">
        <f>IF(OR(I1025="",J1025="",L1025=""),"Incomplete","Complete")</f>
        <v>Complete</v>
      </c>
      <c r="N1025" t="str">
        <f>IF(M1025="Incomplete","Not checked",IF(ROUND(I1025*J1025,2)=ROUND(L1025,2),"Valid","Mismatch"))</f>
        <v>Valid</v>
      </c>
      <c r="O1025">
        <f t="shared" si="31"/>
        <v>181</v>
      </c>
    </row>
    <row r="1026" spans="1:15">
      <c r="A1026">
        <v>1801</v>
      </c>
      <c r="B1026" t="str">
        <f t="shared" ref="B1026:B1089" si="32">TEXT(C1026,"yyyy-mm")</f>
        <v>2022-07</v>
      </c>
      <c r="C1026" s="1">
        <v>44752</v>
      </c>
      <c r="D1026" s="5">
        <v>0.91736111111111107</v>
      </c>
      <c r="E1026">
        <v>148</v>
      </c>
      <c r="F1026" t="s">
        <v>11</v>
      </c>
      <c r="G1026">
        <v>21</v>
      </c>
      <c r="H1026" t="s">
        <v>12</v>
      </c>
      <c r="I1026">
        <v>4</v>
      </c>
      <c r="J1026" s="6">
        <v>50</v>
      </c>
      <c r="K1026">
        <v>13.5</v>
      </c>
      <c r="L1026">
        <v>200</v>
      </c>
      <c r="M1026" t="str">
        <f>IF(OR(I1026="",J1026="",L1026=""),"Incomplete","Complete")</f>
        <v>Complete</v>
      </c>
      <c r="N1026" t="str">
        <f>IF(M1026="Incomplete","Not checked",IF(ROUND(I1026*J1026,2)=ROUND(L1026,2),"Valid","Mismatch"))</f>
        <v>Valid</v>
      </c>
      <c r="O1026">
        <f t="shared" ref="O1026:O1089" si="33">IF(M1026="Incomplete","",L1026-K1026)</f>
        <v>186.5</v>
      </c>
    </row>
    <row r="1027" spans="1:15">
      <c r="A1027">
        <v>160</v>
      </c>
      <c r="B1027" t="str">
        <f t="shared" si="32"/>
        <v>2022-07</v>
      </c>
      <c r="C1027" s="1">
        <v>44762</v>
      </c>
      <c r="D1027" s="5">
        <v>0.71388888888888891</v>
      </c>
      <c r="E1027">
        <v>127</v>
      </c>
      <c r="F1027" t="s">
        <v>14</v>
      </c>
      <c r="G1027">
        <v>43</v>
      </c>
      <c r="H1027" t="s">
        <v>12</v>
      </c>
      <c r="I1027">
        <v>2</v>
      </c>
      <c r="J1027" s="6">
        <v>50</v>
      </c>
      <c r="K1027">
        <v>26.5</v>
      </c>
      <c r="L1027">
        <v>100</v>
      </c>
      <c r="M1027" t="str">
        <f>IF(OR(I1027="",J1027="",L1027=""),"Incomplete","Complete")</f>
        <v>Complete</v>
      </c>
      <c r="N1027" t="str">
        <f>IF(M1027="Incomplete","Not checked",IF(ROUND(I1027*J1027,2)=ROUND(L1027,2),"Valid","Mismatch"))</f>
        <v>Valid</v>
      </c>
      <c r="O1027">
        <f t="shared" si="33"/>
        <v>73.5</v>
      </c>
    </row>
    <row r="1028" spans="1:15">
      <c r="A1028">
        <v>807</v>
      </c>
      <c r="B1028" t="str">
        <f t="shared" si="32"/>
        <v>2023-01</v>
      </c>
      <c r="C1028" s="1">
        <v>44952</v>
      </c>
      <c r="D1028" s="5">
        <v>0.8256944444444444</v>
      </c>
      <c r="E1028">
        <v>91</v>
      </c>
      <c r="F1028" t="s">
        <v>14</v>
      </c>
      <c r="G1028">
        <v>50</v>
      </c>
      <c r="H1028" t="s">
        <v>15</v>
      </c>
      <c r="I1028">
        <v>4</v>
      </c>
      <c r="J1028" s="6">
        <v>50</v>
      </c>
      <c r="K1028">
        <v>15.5</v>
      </c>
      <c r="L1028">
        <v>200</v>
      </c>
      <c r="M1028" t="str">
        <f>IF(OR(I1028="",J1028="",L1028=""),"Incomplete","Complete")</f>
        <v>Complete</v>
      </c>
      <c r="N1028" t="str">
        <f>IF(M1028="Incomplete","Not checked",IF(ROUND(I1028*J1028,2)=ROUND(L1028,2),"Valid","Mismatch"))</f>
        <v>Valid</v>
      </c>
      <c r="O1028">
        <f t="shared" si="33"/>
        <v>184.5</v>
      </c>
    </row>
    <row r="1029" spans="1:15">
      <c r="A1029">
        <v>1160</v>
      </c>
      <c r="B1029" t="str">
        <f t="shared" si="32"/>
        <v>2023-08</v>
      </c>
      <c r="C1029" s="1">
        <v>45158</v>
      </c>
      <c r="D1029" s="5">
        <v>0.80555555555555558</v>
      </c>
      <c r="E1029">
        <v>105</v>
      </c>
      <c r="F1029" t="s">
        <v>14</v>
      </c>
      <c r="G1029">
        <v>43</v>
      </c>
      <c r="H1029" t="s">
        <v>12</v>
      </c>
      <c r="I1029">
        <v>2</v>
      </c>
      <c r="J1029" s="6">
        <v>50</v>
      </c>
      <c r="K1029">
        <v>14</v>
      </c>
      <c r="L1029">
        <v>100</v>
      </c>
      <c r="M1029" t="str">
        <f>IF(OR(I1029="",J1029="",L1029=""),"Incomplete","Complete")</f>
        <v>Complete</v>
      </c>
      <c r="N1029" t="str">
        <f>IF(M1029="Incomplete","Not checked",IF(ROUND(I1029*J1029,2)=ROUND(L1029,2),"Valid","Mismatch"))</f>
        <v>Valid</v>
      </c>
      <c r="O1029">
        <f t="shared" si="33"/>
        <v>86</v>
      </c>
    </row>
    <row r="1030" spans="1:15">
      <c r="A1030">
        <v>1807</v>
      </c>
      <c r="B1030" t="str">
        <f t="shared" si="32"/>
        <v>2022-08</v>
      </c>
      <c r="C1030" s="1">
        <v>44777</v>
      </c>
      <c r="D1030" s="5">
        <v>0.92708333333333337</v>
      </c>
      <c r="E1030">
        <v>19</v>
      </c>
      <c r="F1030" t="s">
        <v>14</v>
      </c>
      <c r="G1030">
        <v>50</v>
      </c>
      <c r="H1030" t="s">
        <v>15</v>
      </c>
      <c r="I1030">
        <v>4</v>
      </c>
      <c r="J1030" s="6">
        <v>50</v>
      </c>
      <c r="K1030">
        <v>22</v>
      </c>
      <c r="L1030">
        <v>200</v>
      </c>
      <c r="M1030" t="str">
        <f>IF(OR(I1030="",J1030="",L1030=""),"Incomplete","Complete")</f>
        <v>Complete</v>
      </c>
      <c r="N1030" t="str">
        <f>IF(M1030="Incomplete","Not checked",IF(ROUND(I1030*J1030,2)=ROUND(L1030,2),"Valid","Mismatch"))</f>
        <v>Valid</v>
      </c>
      <c r="O1030">
        <f t="shared" si="33"/>
        <v>178</v>
      </c>
    </row>
    <row r="1031" spans="1:15">
      <c r="A1031">
        <v>511</v>
      </c>
      <c r="B1031" t="str">
        <f t="shared" si="32"/>
        <v>2023-12</v>
      </c>
      <c r="C1031" s="1">
        <v>45283</v>
      </c>
      <c r="D1031" s="5">
        <v>0.7631944444444444</v>
      </c>
      <c r="E1031">
        <v>146</v>
      </c>
      <c r="F1031" t="s">
        <v>11</v>
      </c>
      <c r="G1031">
        <v>45</v>
      </c>
      <c r="H1031" t="s">
        <v>13</v>
      </c>
      <c r="I1031">
        <v>2</v>
      </c>
      <c r="J1031" s="6">
        <v>50</v>
      </c>
      <c r="K1031">
        <v>24.5</v>
      </c>
      <c r="L1031">
        <v>100</v>
      </c>
      <c r="M1031" t="str">
        <f>IF(OR(I1031="",J1031="",L1031=""),"Incomplete","Complete")</f>
        <v>Complete</v>
      </c>
      <c r="N1031" t="str">
        <f>IF(M1031="Incomplete","Not checked",IF(ROUND(I1031*J1031,2)=ROUND(L1031,2),"Valid","Mismatch"))</f>
        <v>Valid</v>
      </c>
      <c r="O1031">
        <f t="shared" si="33"/>
        <v>75.5</v>
      </c>
    </row>
    <row r="1032" spans="1:15">
      <c r="A1032">
        <v>695</v>
      </c>
      <c r="B1032" t="str">
        <f t="shared" si="32"/>
        <v>2022-04</v>
      </c>
      <c r="C1032" s="1">
        <v>44654</v>
      </c>
      <c r="D1032" s="5">
        <v>0.92500000000000004</v>
      </c>
      <c r="E1032">
        <v>52</v>
      </c>
      <c r="F1032" t="s">
        <v>14</v>
      </c>
      <c r="G1032">
        <v>22</v>
      </c>
      <c r="H1032" t="s">
        <v>15</v>
      </c>
      <c r="I1032">
        <v>3</v>
      </c>
      <c r="J1032" s="6">
        <v>50</v>
      </c>
      <c r="K1032">
        <v>21</v>
      </c>
      <c r="L1032">
        <v>150</v>
      </c>
      <c r="M1032" t="str">
        <f>IF(OR(I1032="",J1032="",L1032=""),"Incomplete","Complete")</f>
        <v>Complete</v>
      </c>
      <c r="N1032" t="str">
        <f>IF(M1032="Incomplete","Not checked",IF(ROUND(I1032*J1032,2)=ROUND(L1032,2),"Valid","Mismatch"))</f>
        <v>Valid</v>
      </c>
      <c r="O1032">
        <f t="shared" si="33"/>
        <v>129</v>
      </c>
    </row>
    <row r="1033" spans="1:15">
      <c r="A1033">
        <v>1511</v>
      </c>
      <c r="B1033" t="str">
        <f t="shared" si="32"/>
        <v>2022-04</v>
      </c>
      <c r="C1033" s="1">
        <v>44660</v>
      </c>
      <c r="D1033" s="5">
        <v>0.9</v>
      </c>
      <c r="E1033">
        <v>45</v>
      </c>
      <c r="F1033" t="s">
        <v>11</v>
      </c>
      <c r="G1033">
        <v>45</v>
      </c>
      <c r="H1033" t="s">
        <v>13</v>
      </c>
      <c r="I1033">
        <v>2</v>
      </c>
      <c r="J1033" s="6">
        <v>50</v>
      </c>
      <c r="K1033">
        <v>13.5</v>
      </c>
      <c r="L1033">
        <v>100</v>
      </c>
      <c r="M1033" t="str">
        <f>IF(OR(I1033="",J1033="",L1033=""),"Incomplete","Complete")</f>
        <v>Complete</v>
      </c>
      <c r="N1033" t="str">
        <f>IF(M1033="Incomplete","Not checked",IF(ROUND(I1033*J1033,2)=ROUND(L1033,2),"Valid","Mismatch"))</f>
        <v>Valid</v>
      </c>
      <c r="O1033">
        <f t="shared" si="33"/>
        <v>86.5</v>
      </c>
    </row>
    <row r="1034" spans="1:15">
      <c r="A1034">
        <v>1695</v>
      </c>
      <c r="B1034" t="str">
        <f t="shared" si="32"/>
        <v>2023-09</v>
      </c>
      <c r="C1034" s="1">
        <v>45190</v>
      </c>
      <c r="D1034" s="5">
        <v>0.86875000000000002</v>
      </c>
      <c r="E1034">
        <v>85</v>
      </c>
      <c r="F1034" t="s">
        <v>14</v>
      </c>
      <c r="G1034">
        <v>22</v>
      </c>
      <c r="H1034" t="s">
        <v>15</v>
      </c>
      <c r="I1034">
        <v>3</v>
      </c>
      <c r="J1034" s="6">
        <v>50</v>
      </c>
      <c r="K1034">
        <v>23</v>
      </c>
      <c r="L1034">
        <v>150</v>
      </c>
      <c r="M1034" t="str">
        <f>IF(OR(I1034="",J1034="",L1034=""),"Incomplete","Complete")</f>
        <v>Complete</v>
      </c>
      <c r="N1034" t="str">
        <f>IF(M1034="Incomplete","Not checked",IF(ROUND(I1034*J1034,2)=ROUND(L1034,2),"Valid","Mismatch"))</f>
        <v>Valid</v>
      </c>
      <c r="O1034">
        <f t="shared" si="33"/>
        <v>127</v>
      </c>
    </row>
    <row r="1035" spans="1:15">
      <c r="A1035">
        <v>217</v>
      </c>
      <c r="B1035" t="str">
        <f t="shared" si="32"/>
        <v>2022-05</v>
      </c>
      <c r="C1035" s="1">
        <v>44683</v>
      </c>
      <c r="D1035" s="5">
        <v>0.70902777777777781</v>
      </c>
      <c r="E1035">
        <v>17</v>
      </c>
      <c r="F1035" t="s">
        <v>14</v>
      </c>
      <c r="G1035">
        <v>35</v>
      </c>
      <c r="H1035" t="s">
        <v>15</v>
      </c>
      <c r="I1035">
        <v>4</v>
      </c>
      <c r="J1035" s="6">
        <v>50</v>
      </c>
      <c r="K1035">
        <v>26.5</v>
      </c>
      <c r="L1035">
        <v>200</v>
      </c>
      <c r="M1035" t="str">
        <f>IF(OR(I1035="",J1035="",L1035=""),"Incomplete","Complete")</f>
        <v>Complete</v>
      </c>
      <c r="N1035" t="str">
        <f>IF(M1035="Incomplete","Not checked",IF(ROUND(I1035*J1035,2)=ROUND(L1035,2),"Valid","Mismatch"))</f>
        <v>Valid</v>
      </c>
      <c r="O1035">
        <f t="shared" si="33"/>
        <v>173.5</v>
      </c>
    </row>
    <row r="1036" spans="1:15">
      <c r="A1036">
        <v>1217</v>
      </c>
      <c r="B1036" t="str">
        <f t="shared" si="32"/>
        <v>2023-10</v>
      </c>
      <c r="C1036" s="1">
        <v>45215</v>
      </c>
      <c r="D1036" s="5">
        <v>0.81111111111111112</v>
      </c>
      <c r="E1036">
        <v>70</v>
      </c>
      <c r="F1036" t="s">
        <v>14</v>
      </c>
      <c r="G1036">
        <v>35</v>
      </c>
      <c r="H1036" t="s">
        <v>15</v>
      </c>
      <c r="I1036">
        <v>4</v>
      </c>
      <c r="J1036" s="6">
        <v>50</v>
      </c>
      <c r="K1036">
        <v>18</v>
      </c>
      <c r="L1036">
        <v>200</v>
      </c>
      <c r="M1036" t="str">
        <f>IF(OR(I1036="",J1036="",L1036=""),"Incomplete","Complete")</f>
        <v>Complete</v>
      </c>
      <c r="N1036" t="str">
        <f>IF(M1036="Incomplete","Not checked",IF(ROUND(I1036*J1036,2)=ROUND(L1036,2),"Valid","Mismatch"))</f>
        <v>Valid</v>
      </c>
      <c r="O1036">
        <f t="shared" si="33"/>
        <v>182</v>
      </c>
    </row>
    <row r="1037" spans="1:15">
      <c r="A1037">
        <v>569</v>
      </c>
      <c r="B1037" t="str">
        <f t="shared" si="32"/>
        <v>2022-04</v>
      </c>
      <c r="C1037" s="1">
        <v>44680</v>
      </c>
      <c r="D1037" s="5">
        <v>0.86736111111111114</v>
      </c>
      <c r="E1037">
        <v>132</v>
      </c>
      <c r="F1037" t="s">
        <v>11</v>
      </c>
      <c r="G1037">
        <v>52</v>
      </c>
      <c r="H1037" t="s">
        <v>15</v>
      </c>
      <c r="I1037">
        <v>4</v>
      </c>
      <c r="J1037" s="6">
        <v>50</v>
      </c>
      <c r="K1037">
        <v>19</v>
      </c>
      <c r="L1037">
        <v>200</v>
      </c>
      <c r="M1037" t="str">
        <f>IF(OR(I1037="",J1037="",L1037=""),"Incomplete","Complete")</f>
        <v>Complete</v>
      </c>
      <c r="N1037" t="str">
        <f>IF(M1037="Incomplete","Not checked",IF(ROUND(I1037*J1037,2)=ROUND(L1037,2),"Valid","Mismatch"))</f>
        <v>Valid</v>
      </c>
      <c r="O1037">
        <f t="shared" si="33"/>
        <v>181</v>
      </c>
    </row>
    <row r="1038" spans="1:15">
      <c r="A1038">
        <v>630</v>
      </c>
      <c r="B1038" t="str">
        <f t="shared" si="32"/>
        <v>2023-03</v>
      </c>
      <c r="C1038" s="1">
        <v>45006</v>
      </c>
      <c r="D1038" s="5">
        <v>0.72847222222222219</v>
      </c>
      <c r="E1038">
        <v>94</v>
      </c>
      <c r="F1038" t="s">
        <v>11</v>
      </c>
      <c r="G1038">
        <v>42</v>
      </c>
      <c r="H1038" t="s">
        <v>12</v>
      </c>
      <c r="I1038">
        <v>2</v>
      </c>
      <c r="J1038" s="6">
        <v>50</v>
      </c>
      <c r="K1038">
        <v>25.5</v>
      </c>
      <c r="L1038">
        <v>100</v>
      </c>
      <c r="M1038" t="str">
        <f>IF(OR(I1038="",J1038="",L1038=""),"Incomplete","Complete")</f>
        <v>Complete</v>
      </c>
      <c r="N1038" t="str">
        <f>IF(M1038="Incomplete","Not checked",IF(ROUND(I1038*J1038,2)=ROUND(L1038,2),"Valid","Mismatch"))</f>
        <v>Valid</v>
      </c>
      <c r="O1038">
        <f t="shared" si="33"/>
        <v>74.5</v>
      </c>
    </row>
    <row r="1039" spans="1:15">
      <c r="A1039">
        <v>1569</v>
      </c>
      <c r="B1039" t="str">
        <f t="shared" si="32"/>
        <v>2023-11</v>
      </c>
      <c r="C1039" s="1">
        <v>45260</v>
      </c>
      <c r="D1039" s="5">
        <v>0.87986111111111109</v>
      </c>
      <c r="E1039">
        <v>35</v>
      </c>
      <c r="F1039" t="s">
        <v>11</v>
      </c>
      <c r="G1039">
        <v>52</v>
      </c>
      <c r="H1039" t="s">
        <v>15</v>
      </c>
      <c r="I1039">
        <v>4</v>
      </c>
      <c r="J1039" s="6">
        <v>50</v>
      </c>
      <c r="K1039">
        <v>18</v>
      </c>
      <c r="L1039">
        <v>200</v>
      </c>
      <c r="M1039" t="str">
        <f>IF(OR(I1039="",J1039="",L1039=""),"Incomplete","Complete")</f>
        <v>Complete</v>
      </c>
      <c r="N1039" t="str">
        <f>IF(M1039="Incomplete","Not checked",IF(ROUND(I1039*J1039,2)=ROUND(L1039,2),"Valid","Mismatch"))</f>
        <v>Valid</v>
      </c>
      <c r="O1039">
        <f t="shared" si="33"/>
        <v>182</v>
      </c>
    </row>
    <row r="1040" spans="1:15">
      <c r="A1040">
        <v>1630</v>
      </c>
      <c r="B1040" t="str">
        <f t="shared" si="32"/>
        <v>2022-05</v>
      </c>
      <c r="C1040" s="1">
        <v>44703</v>
      </c>
      <c r="D1040" s="5">
        <v>0.72361111111111109</v>
      </c>
      <c r="E1040">
        <v>95</v>
      </c>
      <c r="F1040" t="s">
        <v>11</v>
      </c>
      <c r="G1040">
        <v>42</v>
      </c>
      <c r="H1040" t="s">
        <v>12</v>
      </c>
      <c r="I1040">
        <v>2</v>
      </c>
      <c r="J1040" s="6">
        <v>50</v>
      </c>
      <c r="K1040">
        <v>16</v>
      </c>
      <c r="L1040">
        <v>100</v>
      </c>
      <c r="M1040" t="str">
        <f>IF(OR(I1040="",J1040="",L1040=""),"Incomplete","Complete")</f>
        <v>Complete</v>
      </c>
      <c r="N1040" t="str">
        <f>IF(M1040="Incomplete","Not checked",IF(ROUND(I1040*J1040,2)=ROUND(L1040,2),"Valid","Mismatch"))</f>
        <v>Valid</v>
      </c>
      <c r="O1040">
        <f t="shared" si="33"/>
        <v>84</v>
      </c>
    </row>
    <row r="1041" spans="1:15">
      <c r="A1041">
        <v>823</v>
      </c>
      <c r="B1041" t="str">
        <f t="shared" si="32"/>
        <v>2023-12</v>
      </c>
      <c r="C1041" s="1">
        <v>45263</v>
      </c>
      <c r="D1041" s="5">
        <v>0.73750000000000004</v>
      </c>
      <c r="E1041">
        <v>66</v>
      </c>
      <c r="F1041" t="s">
        <v>14</v>
      </c>
      <c r="G1041">
        <v>56</v>
      </c>
      <c r="H1041" t="s">
        <v>15</v>
      </c>
      <c r="I1041">
        <v>2</v>
      </c>
      <c r="J1041" s="6">
        <v>50</v>
      </c>
      <c r="K1041">
        <v>25</v>
      </c>
      <c r="L1041">
        <v>100</v>
      </c>
      <c r="M1041" t="str">
        <f>IF(OR(I1041="",J1041="",L1041=""),"Incomplete","Complete")</f>
        <v>Complete</v>
      </c>
      <c r="N1041" t="str">
        <f>IF(M1041="Incomplete","Not checked",IF(ROUND(I1041*J1041,2)=ROUND(L1041,2),"Valid","Mismatch"))</f>
        <v>Valid</v>
      </c>
      <c r="O1041">
        <f t="shared" si="33"/>
        <v>75</v>
      </c>
    </row>
    <row r="1042" spans="1:15">
      <c r="A1042">
        <v>1823</v>
      </c>
      <c r="B1042" t="str">
        <f t="shared" si="32"/>
        <v>2022-11</v>
      </c>
      <c r="C1042" s="1">
        <v>44873</v>
      </c>
      <c r="D1042" s="5">
        <v>0.93611111111111112</v>
      </c>
      <c r="E1042">
        <v>58</v>
      </c>
      <c r="F1042" t="s">
        <v>14</v>
      </c>
      <c r="G1042">
        <v>56</v>
      </c>
      <c r="H1042" t="s">
        <v>15</v>
      </c>
      <c r="I1042">
        <v>2</v>
      </c>
      <c r="J1042" s="6">
        <v>50</v>
      </c>
      <c r="K1042">
        <v>26.5</v>
      </c>
      <c r="L1042">
        <v>100</v>
      </c>
      <c r="M1042" t="str">
        <f>IF(OR(I1042="",J1042="",L1042=""),"Incomplete","Complete")</f>
        <v>Complete</v>
      </c>
      <c r="N1042" t="str">
        <f>IF(M1042="Incomplete","Not checked",IF(ROUND(I1042*J1042,2)=ROUND(L1042,2),"Valid","Mismatch"))</f>
        <v>Valid</v>
      </c>
      <c r="O1042">
        <f t="shared" si="33"/>
        <v>73.5</v>
      </c>
    </row>
    <row r="1043" spans="1:15">
      <c r="A1043">
        <v>306</v>
      </c>
      <c r="B1043" t="str">
        <f t="shared" si="32"/>
        <v>2022-01</v>
      </c>
      <c r="C1043" s="1">
        <v>44565</v>
      </c>
      <c r="D1043" s="5">
        <v>0.92013888888888884</v>
      </c>
      <c r="E1043">
        <v>148</v>
      </c>
      <c r="F1043" t="s">
        <v>11</v>
      </c>
      <c r="G1043">
        <v>54</v>
      </c>
      <c r="H1043" t="s">
        <v>15</v>
      </c>
      <c r="I1043">
        <v>1</v>
      </c>
      <c r="J1043" s="6">
        <v>50</v>
      </c>
      <c r="K1043">
        <v>26.5</v>
      </c>
      <c r="L1043">
        <v>50</v>
      </c>
      <c r="M1043" t="str">
        <f>IF(OR(I1043="",J1043="",L1043=""),"Incomplete","Complete")</f>
        <v>Complete</v>
      </c>
      <c r="N1043" t="str">
        <f>IF(M1043="Incomplete","Not checked",IF(ROUND(I1043*J1043,2)=ROUND(L1043,2),"Valid","Mismatch"))</f>
        <v>Valid</v>
      </c>
      <c r="O1043">
        <f t="shared" si="33"/>
        <v>23.5</v>
      </c>
    </row>
    <row r="1044" spans="1:15">
      <c r="A1044">
        <v>1306</v>
      </c>
      <c r="B1044" t="str">
        <f t="shared" si="32"/>
        <v>2023-11</v>
      </c>
      <c r="C1044" s="1">
        <v>45241</v>
      </c>
      <c r="D1044" s="5">
        <v>0.87291666666666667</v>
      </c>
      <c r="E1044">
        <v>122</v>
      </c>
      <c r="F1044" t="s">
        <v>11</v>
      </c>
      <c r="G1044">
        <v>54</v>
      </c>
      <c r="H1044" t="s">
        <v>15</v>
      </c>
      <c r="I1044">
        <v>1</v>
      </c>
      <c r="J1044" s="6">
        <v>50</v>
      </c>
      <c r="K1044">
        <v>18.5</v>
      </c>
      <c r="L1044">
        <v>50</v>
      </c>
      <c r="M1044" t="str">
        <f>IF(OR(I1044="",J1044="",L1044=""),"Incomplete","Complete")</f>
        <v>Complete</v>
      </c>
      <c r="N1044" t="str">
        <f>IF(M1044="Incomplete","Not checked",IF(ROUND(I1044*J1044,2)=ROUND(L1044,2),"Valid","Mismatch"))</f>
        <v>Valid</v>
      </c>
      <c r="O1044">
        <f t="shared" si="33"/>
        <v>31.5</v>
      </c>
    </row>
    <row r="1045" spans="1:15">
      <c r="A1045">
        <v>282</v>
      </c>
      <c r="B1045" t="str">
        <f t="shared" si="32"/>
        <v>2023-10</v>
      </c>
      <c r="C1045" s="1">
        <v>45204</v>
      </c>
      <c r="D1045" s="5">
        <v>0.73541666666666672</v>
      </c>
      <c r="E1045">
        <v>10</v>
      </c>
      <c r="F1045" t="s">
        <v>14</v>
      </c>
      <c r="G1045">
        <v>64</v>
      </c>
      <c r="H1045" t="s">
        <v>15</v>
      </c>
      <c r="I1045">
        <v>4</v>
      </c>
      <c r="J1045" s="6">
        <v>50</v>
      </c>
      <c r="K1045">
        <v>56</v>
      </c>
      <c r="L1045">
        <v>200</v>
      </c>
      <c r="M1045" t="str">
        <f>IF(OR(I1045="",J1045="",L1045=""),"Incomplete","Complete")</f>
        <v>Complete</v>
      </c>
      <c r="N1045" t="str">
        <f>IF(M1045="Incomplete","Not checked",IF(ROUND(I1045*J1045,2)=ROUND(L1045,2),"Valid","Mismatch"))</f>
        <v>Valid</v>
      </c>
      <c r="O1045">
        <f t="shared" si="33"/>
        <v>144</v>
      </c>
    </row>
    <row r="1046" spans="1:15">
      <c r="A1046">
        <v>1282</v>
      </c>
      <c r="B1046" t="str">
        <f t="shared" si="32"/>
        <v>2023-02</v>
      </c>
      <c r="C1046" s="1">
        <v>44977</v>
      </c>
      <c r="D1046" s="5">
        <v>0.83680555555555558</v>
      </c>
      <c r="E1046">
        <v>23</v>
      </c>
      <c r="F1046" t="s">
        <v>14</v>
      </c>
      <c r="G1046">
        <v>64</v>
      </c>
      <c r="H1046" t="s">
        <v>15</v>
      </c>
      <c r="I1046">
        <v>4</v>
      </c>
      <c r="J1046" s="6">
        <v>50</v>
      </c>
      <c r="K1046">
        <v>48.5</v>
      </c>
      <c r="L1046">
        <v>200</v>
      </c>
      <c r="M1046" t="str">
        <f>IF(OR(I1046="",J1046="",L1046=""),"Incomplete","Complete")</f>
        <v>Complete</v>
      </c>
      <c r="N1046" t="str">
        <f>IF(M1046="Incomplete","Not checked",IF(ROUND(I1046*J1046,2)=ROUND(L1046,2),"Valid","Mismatch"))</f>
        <v>Valid</v>
      </c>
      <c r="O1046">
        <f t="shared" si="33"/>
        <v>151.5</v>
      </c>
    </row>
    <row r="1047" spans="1:15">
      <c r="A1047">
        <v>671</v>
      </c>
      <c r="B1047" t="str">
        <f t="shared" si="32"/>
        <v>2023-09</v>
      </c>
      <c r="C1047" s="1">
        <v>45192</v>
      </c>
      <c r="D1047" s="5">
        <v>0.82708333333333328</v>
      </c>
      <c r="E1047">
        <v>2</v>
      </c>
      <c r="F1047" t="s">
        <v>11</v>
      </c>
      <c r="G1047">
        <v>62</v>
      </c>
      <c r="H1047" t="s">
        <v>15</v>
      </c>
      <c r="I1047">
        <v>3</v>
      </c>
      <c r="J1047" s="6">
        <v>50</v>
      </c>
      <c r="K1047">
        <v>61.5</v>
      </c>
      <c r="L1047">
        <v>150</v>
      </c>
      <c r="M1047" t="str">
        <f>IF(OR(I1047="",J1047="",L1047=""),"Incomplete","Complete")</f>
        <v>Complete</v>
      </c>
      <c r="N1047" t="str">
        <f>IF(M1047="Incomplete","Not checked",IF(ROUND(I1047*J1047,2)=ROUND(L1047,2),"Valid","Mismatch"))</f>
        <v>Valid</v>
      </c>
      <c r="O1047">
        <f t="shared" si="33"/>
        <v>88.5</v>
      </c>
    </row>
    <row r="1048" spans="1:15">
      <c r="A1048">
        <v>1671</v>
      </c>
      <c r="B1048" t="str">
        <f t="shared" si="32"/>
        <v>2023-02</v>
      </c>
      <c r="C1048" s="1">
        <v>44985</v>
      </c>
      <c r="D1048" s="5">
        <v>0.87152777777777779</v>
      </c>
      <c r="E1048">
        <v>47</v>
      </c>
      <c r="F1048" t="s">
        <v>11</v>
      </c>
      <c r="G1048">
        <v>62</v>
      </c>
      <c r="H1048" t="s">
        <v>15</v>
      </c>
      <c r="I1048">
        <v>3</v>
      </c>
      <c r="J1048" s="6">
        <v>50</v>
      </c>
      <c r="K1048">
        <v>62.5</v>
      </c>
      <c r="L1048">
        <v>150</v>
      </c>
      <c r="M1048" t="str">
        <f>IF(OR(I1048="",J1048="",L1048=""),"Incomplete","Complete")</f>
        <v>Complete</v>
      </c>
      <c r="N1048" t="str">
        <f>IF(M1048="Incomplete","Not checked",IF(ROUND(I1048*J1048,2)=ROUND(L1048,2),"Valid","Mismatch"))</f>
        <v>Valid</v>
      </c>
      <c r="O1048">
        <f t="shared" si="33"/>
        <v>87.5</v>
      </c>
    </row>
    <row r="1049" spans="1:15">
      <c r="A1049">
        <v>146</v>
      </c>
      <c r="B1049" t="str">
        <f t="shared" si="32"/>
        <v>2022-11</v>
      </c>
      <c r="C1049" s="1">
        <v>44875</v>
      </c>
      <c r="D1049" s="5">
        <v>0.91736111111111107</v>
      </c>
      <c r="E1049">
        <v>74</v>
      </c>
      <c r="F1049" t="s">
        <v>11</v>
      </c>
      <c r="G1049">
        <v>38</v>
      </c>
      <c r="H1049" t="s">
        <v>12</v>
      </c>
      <c r="I1049">
        <v>4</v>
      </c>
      <c r="J1049" s="6">
        <v>50</v>
      </c>
      <c r="K1049">
        <v>49</v>
      </c>
      <c r="L1049">
        <v>200</v>
      </c>
      <c r="M1049" t="str">
        <f>IF(OR(I1049="",J1049="",L1049=""),"Incomplete","Complete")</f>
        <v>Complete</v>
      </c>
      <c r="N1049" t="str">
        <f>IF(M1049="Incomplete","Not checked",IF(ROUND(I1049*J1049,2)=ROUND(L1049,2),"Valid","Mismatch"))</f>
        <v>Valid</v>
      </c>
      <c r="O1049">
        <f t="shared" si="33"/>
        <v>151</v>
      </c>
    </row>
    <row r="1050" spans="1:15">
      <c r="A1050">
        <v>1146</v>
      </c>
      <c r="B1050" t="str">
        <f t="shared" si="32"/>
        <v>2023-10</v>
      </c>
      <c r="C1050" s="1">
        <v>45208</v>
      </c>
      <c r="D1050" s="5">
        <v>0.88263888888888886</v>
      </c>
      <c r="E1050">
        <v>52</v>
      </c>
      <c r="F1050" t="s">
        <v>11</v>
      </c>
      <c r="G1050">
        <v>38</v>
      </c>
      <c r="H1050" t="s">
        <v>12</v>
      </c>
      <c r="I1050">
        <v>4</v>
      </c>
      <c r="J1050" s="6">
        <v>50</v>
      </c>
      <c r="K1050">
        <v>60</v>
      </c>
      <c r="L1050">
        <v>200</v>
      </c>
      <c r="M1050" t="str">
        <f>IF(OR(I1050="",J1050="",L1050=""),"Incomplete","Complete")</f>
        <v>Complete</v>
      </c>
      <c r="N1050" t="str">
        <f>IF(M1050="Incomplete","Not checked",IF(ROUND(I1050*J1050,2)=ROUND(L1050,2),"Valid","Mismatch"))</f>
        <v>Valid</v>
      </c>
      <c r="O1050">
        <f t="shared" si="33"/>
        <v>140</v>
      </c>
    </row>
    <row r="1051" spans="1:15">
      <c r="A1051">
        <v>924</v>
      </c>
      <c r="B1051" t="str">
        <f t="shared" si="32"/>
        <v>2022-09</v>
      </c>
      <c r="C1051" s="1">
        <v>44821</v>
      </c>
      <c r="D1051" s="5">
        <v>0.9291666666666667</v>
      </c>
      <c r="E1051">
        <v>151</v>
      </c>
      <c r="F1051" t="s">
        <v>11</v>
      </c>
      <c r="G1051">
        <v>55</v>
      </c>
      <c r="H1051" t="s">
        <v>13</v>
      </c>
      <c r="I1051">
        <v>2</v>
      </c>
      <c r="J1051" s="6">
        <v>50</v>
      </c>
      <c r="K1051">
        <v>55</v>
      </c>
      <c r="L1051">
        <v>100</v>
      </c>
      <c r="M1051" t="str">
        <f>IF(OR(I1051="",J1051="",L1051=""),"Incomplete","Complete")</f>
        <v>Complete</v>
      </c>
      <c r="N1051" t="str">
        <f>IF(M1051="Incomplete","Not checked",IF(ROUND(I1051*J1051,2)=ROUND(L1051,2),"Valid","Mismatch"))</f>
        <v>Valid</v>
      </c>
      <c r="O1051">
        <f t="shared" si="33"/>
        <v>45</v>
      </c>
    </row>
    <row r="1052" spans="1:15">
      <c r="A1052">
        <v>1924</v>
      </c>
      <c r="B1052" t="str">
        <f t="shared" si="32"/>
        <v>2022-11</v>
      </c>
      <c r="C1052" s="1">
        <v>44893</v>
      </c>
      <c r="D1052" s="5">
        <v>0.93402777777777779</v>
      </c>
      <c r="E1052">
        <v>107</v>
      </c>
      <c r="F1052" t="s">
        <v>11</v>
      </c>
      <c r="G1052">
        <v>55</v>
      </c>
      <c r="H1052" t="s">
        <v>13</v>
      </c>
      <c r="I1052">
        <v>2</v>
      </c>
      <c r="J1052" s="6">
        <v>50</v>
      </c>
      <c r="K1052">
        <v>54.5</v>
      </c>
      <c r="L1052">
        <v>100</v>
      </c>
      <c r="M1052" t="str">
        <f>IF(OR(I1052="",J1052="",L1052=""),"Incomplete","Complete")</f>
        <v>Complete</v>
      </c>
      <c r="N1052" t="str">
        <f>IF(M1052="Incomplete","Not checked",IF(ROUND(I1052*J1052,2)=ROUND(L1052,2),"Valid","Mismatch"))</f>
        <v>Valid</v>
      </c>
      <c r="O1052">
        <f t="shared" si="33"/>
        <v>45.5</v>
      </c>
    </row>
    <row r="1053" spans="1:15">
      <c r="A1053">
        <v>251</v>
      </c>
      <c r="B1053" t="str">
        <f t="shared" si="32"/>
        <v>2022-09</v>
      </c>
      <c r="C1053" s="1">
        <v>44819</v>
      </c>
      <c r="D1053" s="5">
        <v>0.875</v>
      </c>
      <c r="E1053">
        <v>141</v>
      </c>
      <c r="F1053" t="s">
        <v>14</v>
      </c>
      <c r="G1053">
        <v>57</v>
      </c>
      <c r="H1053" t="s">
        <v>13</v>
      </c>
      <c r="I1053">
        <v>4</v>
      </c>
      <c r="J1053" s="6">
        <v>50</v>
      </c>
      <c r="K1053">
        <v>62.5</v>
      </c>
      <c r="L1053">
        <v>200</v>
      </c>
      <c r="M1053" t="str">
        <f>IF(OR(I1053="",J1053="",L1053=""),"Incomplete","Complete")</f>
        <v>Complete</v>
      </c>
      <c r="N1053" t="str">
        <f>IF(M1053="Incomplete","Not checked",IF(ROUND(I1053*J1053,2)=ROUND(L1053,2),"Valid","Mismatch"))</f>
        <v>Valid</v>
      </c>
      <c r="O1053">
        <f t="shared" si="33"/>
        <v>137.5</v>
      </c>
    </row>
    <row r="1054" spans="1:15">
      <c r="A1054">
        <v>1251</v>
      </c>
      <c r="B1054" t="str">
        <f t="shared" si="32"/>
        <v>2022-09</v>
      </c>
      <c r="C1054" s="1">
        <v>44815</v>
      </c>
      <c r="D1054" s="5">
        <v>0.88055555555555554</v>
      </c>
      <c r="E1054">
        <v>137</v>
      </c>
      <c r="F1054" t="s">
        <v>14</v>
      </c>
      <c r="G1054">
        <v>57</v>
      </c>
      <c r="H1054" t="s">
        <v>13</v>
      </c>
      <c r="I1054">
        <v>4</v>
      </c>
      <c r="J1054" s="6">
        <v>50</v>
      </c>
      <c r="K1054">
        <v>57.5</v>
      </c>
      <c r="L1054">
        <v>200</v>
      </c>
      <c r="M1054" t="str">
        <f>IF(OR(I1054="",J1054="",L1054=""),"Incomplete","Complete")</f>
        <v>Complete</v>
      </c>
      <c r="N1054" t="str">
        <f>IF(M1054="Incomplete","Not checked",IF(ROUND(I1054*J1054,2)=ROUND(L1054,2),"Valid","Mismatch"))</f>
        <v>Valid</v>
      </c>
      <c r="O1054">
        <f t="shared" si="33"/>
        <v>142.5</v>
      </c>
    </row>
    <row r="1055" spans="1:15">
      <c r="A1055">
        <v>200</v>
      </c>
      <c r="B1055" t="str">
        <f t="shared" si="32"/>
        <v>2022-10</v>
      </c>
      <c r="C1055" s="1">
        <v>44843</v>
      </c>
      <c r="D1055" s="5">
        <v>0.93680555555555556</v>
      </c>
      <c r="E1055">
        <v>130</v>
      </c>
      <c r="F1055" t="s">
        <v>11</v>
      </c>
      <c r="G1055">
        <v>27</v>
      </c>
      <c r="H1055" t="s">
        <v>13</v>
      </c>
      <c r="I1055">
        <v>3</v>
      </c>
      <c r="J1055" s="6">
        <v>50</v>
      </c>
      <c r="K1055">
        <v>60</v>
      </c>
      <c r="L1055">
        <v>150</v>
      </c>
      <c r="M1055" t="str">
        <f>IF(OR(I1055="",J1055="",L1055=""),"Incomplete","Complete")</f>
        <v>Complete</v>
      </c>
      <c r="N1055" t="str">
        <f>IF(M1055="Incomplete","Not checked",IF(ROUND(I1055*J1055,2)=ROUND(L1055,2),"Valid","Mismatch"))</f>
        <v>Valid</v>
      </c>
      <c r="O1055">
        <f t="shared" si="33"/>
        <v>90</v>
      </c>
    </row>
    <row r="1056" spans="1:15">
      <c r="A1056">
        <v>1200</v>
      </c>
      <c r="B1056" t="str">
        <f t="shared" si="32"/>
        <v>2023-10</v>
      </c>
      <c r="C1056" s="1">
        <v>45217</v>
      </c>
      <c r="D1056" s="5">
        <v>0.7944444444444444</v>
      </c>
      <c r="E1056">
        <v>20</v>
      </c>
      <c r="F1056" t="s">
        <v>11</v>
      </c>
      <c r="G1056">
        <v>27</v>
      </c>
      <c r="H1056" t="s">
        <v>13</v>
      </c>
      <c r="I1056">
        <v>3</v>
      </c>
      <c r="J1056" s="6">
        <v>50</v>
      </c>
      <c r="K1056">
        <v>54.5</v>
      </c>
      <c r="L1056">
        <v>150</v>
      </c>
      <c r="M1056" t="str">
        <f>IF(OR(I1056="",J1056="",L1056=""),"Incomplete","Complete")</f>
        <v>Complete</v>
      </c>
      <c r="N1056" t="str">
        <f>IF(M1056="Incomplete","Not checked",IF(ROUND(I1056*J1056,2)=ROUND(L1056,2),"Valid","Mismatch"))</f>
        <v>Valid</v>
      </c>
      <c r="O1056">
        <f t="shared" si="33"/>
        <v>95.5</v>
      </c>
    </row>
    <row r="1057" spans="1:15">
      <c r="A1057">
        <v>194</v>
      </c>
      <c r="B1057" t="str">
        <f t="shared" si="32"/>
        <v>2023-10</v>
      </c>
      <c r="C1057" s="1">
        <v>45210</v>
      </c>
      <c r="D1057" s="5">
        <v>0.81041666666666667</v>
      </c>
      <c r="E1057">
        <v>116</v>
      </c>
      <c r="F1057" t="s">
        <v>11</v>
      </c>
      <c r="G1057">
        <v>55</v>
      </c>
      <c r="H1057" t="s">
        <v>12</v>
      </c>
      <c r="I1057">
        <v>4</v>
      </c>
      <c r="J1057" s="6">
        <v>50</v>
      </c>
      <c r="K1057">
        <v>51.5</v>
      </c>
      <c r="L1057">
        <v>200</v>
      </c>
      <c r="M1057" t="str">
        <f>IF(OR(I1057="",J1057="",L1057=""),"Incomplete","Complete")</f>
        <v>Complete</v>
      </c>
      <c r="N1057" t="str">
        <f>IF(M1057="Incomplete","Not checked",IF(ROUND(I1057*J1057,2)=ROUND(L1057,2),"Valid","Mismatch"))</f>
        <v>Valid</v>
      </c>
      <c r="O1057">
        <f t="shared" si="33"/>
        <v>148.5</v>
      </c>
    </row>
    <row r="1058" spans="1:15">
      <c r="A1058">
        <v>696</v>
      </c>
      <c r="B1058" t="str">
        <f t="shared" si="32"/>
        <v>2023-10</v>
      </c>
      <c r="C1058" s="1">
        <v>45208</v>
      </c>
      <c r="D1058" s="5">
        <v>0.75347222222222221</v>
      </c>
      <c r="E1058">
        <v>24</v>
      </c>
      <c r="F1058" t="s">
        <v>14</v>
      </c>
      <c r="G1058">
        <v>50</v>
      </c>
      <c r="H1058" t="s">
        <v>12</v>
      </c>
      <c r="I1058">
        <v>4</v>
      </c>
      <c r="J1058" s="6">
        <v>50</v>
      </c>
      <c r="K1058">
        <v>48.5</v>
      </c>
      <c r="L1058">
        <v>200</v>
      </c>
      <c r="M1058" t="str">
        <f>IF(OR(I1058="",J1058="",L1058=""),"Incomplete","Complete")</f>
        <v>Complete</v>
      </c>
      <c r="N1058" t="str">
        <f>IF(M1058="Incomplete","Not checked",IF(ROUND(I1058*J1058,2)=ROUND(L1058,2),"Valid","Mismatch"))</f>
        <v>Valid</v>
      </c>
      <c r="O1058">
        <f t="shared" si="33"/>
        <v>151.5</v>
      </c>
    </row>
    <row r="1059" spans="1:15">
      <c r="A1059">
        <v>1194</v>
      </c>
      <c r="B1059" t="str">
        <f t="shared" si="32"/>
        <v>2023-10</v>
      </c>
      <c r="C1059" s="1">
        <v>45208</v>
      </c>
      <c r="D1059" s="5">
        <v>0.92083333333333328</v>
      </c>
      <c r="E1059">
        <v>130</v>
      </c>
      <c r="F1059" t="s">
        <v>11</v>
      </c>
      <c r="G1059">
        <v>55</v>
      </c>
      <c r="H1059" t="s">
        <v>12</v>
      </c>
      <c r="I1059">
        <v>4</v>
      </c>
      <c r="J1059" s="6">
        <v>50</v>
      </c>
      <c r="K1059">
        <v>61.5</v>
      </c>
      <c r="L1059">
        <v>200</v>
      </c>
      <c r="M1059" t="str">
        <f>IF(OR(I1059="",J1059="",L1059=""),"Incomplete","Complete")</f>
        <v>Complete</v>
      </c>
      <c r="N1059" t="str">
        <f>IF(M1059="Incomplete","Not checked",IF(ROUND(I1059*J1059,2)=ROUND(L1059,2),"Valid","Mismatch"))</f>
        <v>Valid</v>
      </c>
      <c r="O1059">
        <f t="shared" si="33"/>
        <v>138.5</v>
      </c>
    </row>
    <row r="1060" spans="1:15">
      <c r="A1060">
        <v>1696</v>
      </c>
      <c r="B1060" t="str">
        <f t="shared" si="32"/>
        <v>2022-11</v>
      </c>
      <c r="C1060" s="1">
        <v>44886</v>
      </c>
      <c r="D1060" s="5">
        <v>0.74930555555555556</v>
      </c>
      <c r="E1060">
        <v>24</v>
      </c>
      <c r="F1060" t="s">
        <v>14</v>
      </c>
      <c r="G1060">
        <v>50</v>
      </c>
      <c r="H1060" t="s">
        <v>12</v>
      </c>
      <c r="I1060">
        <v>4</v>
      </c>
      <c r="J1060" s="6">
        <v>50</v>
      </c>
      <c r="K1060">
        <v>55</v>
      </c>
      <c r="L1060">
        <v>200</v>
      </c>
      <c r="M1060" t="str">
        <f>IF(OR(I1060="",J1060="",L1060=""),"Incomplete","Complete")</f>
        <v>Complete</v>
      </c>
      <c r="N1060" t="str">
        <f>IF(M1060="Incomplete","Not checked",IF(ROUND(I1060*J1060,2)=ROUND(L1060,2),"Valid","Mismatch"))</f>
        <v>Valid</v>
      </c>
      <c r="O1060">
        <f t="shared" si="33"/>
        <v>145</v>
      </c>
    </row>
    <row r="1061" spans="1:15">
      <c r="A1061">
        <v>692</v>
      </c>
      <c r="B1061" t="str">
        <f t="shared" si="32"/>
        <v>2022-09</v>
      </c>
      <c r="C1061" s="1">
        <v>44834</v>
      </c>
      <c r="D1061" s="5">
        <v>0.82499999999999996</v>
      </c>
      <c r="E1061">
        <v>110</v>
      </c>
      <c r="F1061" t="s">
        <v>14</v>
      </c>
      <c r="G1061">
        <v>64</v>
      </c>
      <c r="H1061" t="s">
        <v>12</v>
      </c>
      <c r="I1061">
        <v>2</v>
      </c>
      <c r="J1061" s="6">
        <v>50</v>
      </c>
      <c r="K1061">
        <v>49.5</v>
      </c>
      <c r="L1061">
        <v>100</v>
      </c>
      <c r="M1061" t="str">
        <f>IF(OR(I1061="",J1061="",L1061=""),"Incomplete","Complete")</f>
        <v>Complete</v>
      </c>
      <c r="N1061" t="str">
        <f>IF(M1061="Incomplete","Not checked",IF(ROUND(I1061*J1061,2)=ROUND(L1061,2),"Valid","Mismatch"))</f>
        <v>Valid</v>
      </c>
      <c r="O1061">
        <f t="shared" si="33"/>
        <v>50.5</v>
      </c>
    </row>
    <row r="1062" spans="1:15">
      <c r="A1062">
        <v>835</v>
      </c>
      <c r="B1062" t="str">
        <f t="shared" si="32"/>
        <v>2022-09</v>
      </c>
      <c r="C1062" s="1">
        <v>44834</v>
      </c>
      <c r="D1062" s="5">
        <v>0.95833333333333337</v>
      </c>
      <c r="E1062">
        <v>49</v>
      </c>
      <c r="F1062" t="s">
        <v>11</v>
      </c>
      <c r="G1062">
        <v>37</v>
      </c>
      <c r="H1062" t="s">
        <v>12</v>
      </c>
      <c r="I1062">
        <v>4</v>
      </c>
      <c r="J1062" s="6">
        <v>50</v>
      </c>
      <c r="K1062">
        <v>60</v>
      </c>
      <c r="L1062">
        <v>200</v>
      </c>
      <c r="M1062" t="str">
        <f>IF(OR(I1062="",J1062="",L1062=""),"Incomplete","Complete")</f>
        <v>Complete</v>
      </c>
      <c r="N1062" t="str">
        <f>IF(M1062="Incomplete","Not checked",IF(ROUND(I1062*J1062,2)=ROUND(L1062,2),"Valid","Mismatch"))</f>
        <v>Valid</v>
      </c>
      <c r="O1062">
        <f t="shared" si="33"/>
        <v>140</v>
      </c>
    </row>
    <row r="1063" spans="1:15">
      <c r="A1063">
        <v>1692</v>
      </c>
      <c r="B1063" t="str">
        <f t="shared" si="32"/>
        <v>2023-10</v>
      </c>
      <c r="C1063" s="1">
        <v>45210</v>
      </c>
      <c r="D1063" s="5">
        <v>0.82638888888888884</v>
      </c>
      <c r="E1063">
        <v>103</v>
      </c>
      <c r="F1063" t="s">
        <v>14</v>
      </c>
      <c r="G1063">
        <v>64</v>
      </c>
      <c r="H1063" t="s">
        <v>12</v>
      </c>
      <c r="I1063">
        <v>2</v>
      </c>
      <c r="J1063" s="6">
        <v>50</v>
      </c>
      <c r="K1063">
        <v>59.5</v>
      </c>
      <c r="L1063">
        <v>100</v>
      </c>
      <c r="M1063" t="str">
        <f>IF(OR(I1063="",J1063="",L1063=""),"Incomplete","Complete")</f>
        <v>Complete</v>
      </c>
      <c r="N1063" t="str">
        <f>IF(M1063="Incomplete","Not checked",IF(ROUND(I1063*J1063,2)=ROUND(L1063,2),"Valid","Mismatch"))</f>
        <v>Valid</v>
      </c>
      <c r="O1063">
        <f t="shared" si="33"/>
        <v>40.5</v>
      </c>
    </row>
    <row r="1064" spans="1:15">
      <c r="A1064">
        <v>1835</v>
      </c>
      <c r="B1064" t="str">
        <f t="shared" si="32"/>
        <v>2022-09</v>
      </c>
      <c r="C1064" s="1">
        <v>44822</v>
      </c>
      <c r="D1064" s="5">
        <v>0.87361111111111112</v>
      </c>
      <c r="E1064">
        <v>98</v>
      </c>
      <c r="F1064" t="s">
        <v>11</v>
      </c>
      <c r="G1064">
        <v>37</v>
      </c>
      <c r="H1064" t="s">
        <v>12</v>
      </c>
      <c r="I1064">
        <v>4</v>
      </c>
      <c r="J1064" s="6">
        <v>50</v>
      </c>
      <c r="K1064">
        <v>49.5</v>
      </c>
      <c r="L1064">
        <v>200</v>
      </c>
      <c r="M1064" t="str">
        <f>IF(OR(I1064="",J1064="",L1064=""),"Incomplete","Complete")</f>
        <v>Complete</v>
      </c>
      <c r="N1064" t="str">
        <f>IF(M1064="Incomplete","Not checked",IF(ROUND(I1064*J1064,2)=ROUND(L1064,2),"Valid","Mismatch"))</f>
        <v>Valid</v>
      </c>
      <c r="O1064">
        <f t="shared" si="33"/>
        <v>150.5</v>
      </c>
    </row>
    <row r="1065" spans="1:15">
      <c r="A1065">
        <v>799</v>
      </c>
      <c r="B1065" t="str">
        <f t="shared" si="32"/>
        <v>2023-10</v>
      </c>
      <c r="C1065" s="1">
        <v>45200</v>
      </c>
      <c r="D1065" s="5">
        <v>0.82222222222222219</v>
      </c>
      <c r="E1065">
        <v>86</v>
      </c>
      <c r="F1065" t="s">
        <v>11</v>
      </c>
      <c r="G1065">
        <v>56</v>
      </c>
      <c r="H1065" t="s">
        <v>15</v>
      </c>
      <c r="I1065">
        <v>2</v>
      </c>
      <c r="J1065" s="6">
        <v>50</v>
      </c>
      <c r="K1065">
        <v>60</v>
      </c>
      <c r="L1065">
        <v>100</v>
      </c>
      <c r="M1065" t="str">
        <f>IF(OR(I1065="",J1065="",L1065=""),"Incomplete","Complete")</f>
        <v>Complete</v>
      </c>
      <c r="N1065" t="str">
        <f>IF(M1065="Incomplete","Not checked",IF(ROUND(I1065*J1065,2)=ROUND(L1065,2),"Valid","Mismatch"))</f>
        <v>Valid</v>
      </c>
      <c r="O1065">
        <f t="shared" si="33"/>
        <v>40</v>
      </c>
    </row>
    <row r="1066" spans="1:15">
      <c r="A1066">
        <v>1799</v>
      </c>
      <c r="B1066" t="str">
        <f t="shared" si="32"/>
        <v>2023-10</v>
      </c>
      <c r="C1066" s="1">
        <v>45200</v>
      </c>
      <c r="D1066" s="5">
        <v>0.79791666666666672</v>
      </c>
      <c r="E1066">
        <v>132</v>
      </c>
      <c r="F1066" t="s">
        <v>11</v>
      </c>
      <c r="G1066">
        <v>56</v>
      </c>
      <c r="H1066" t="s">
        <v>15</v>
      </c>
      <c r="I1066">
        <v>2</v>
      </c>
      <c r="J1066" s="6">
        <v>50</v>
      </c>
      <c r="K1066">
        <v>51</v>
      </c>
      <c r="L1066">
        <v>100</v>
      </c>
      <c r="M1066" t="str">
        <f>IF(OR(I1066="",J1066="",L1066=""),"Incomplete","Complete")</f>
        <v>Complete</v>
      </c>
      <c r="N1066" t="str">
        <f>IF(M1066="Incomplete","Not checked",IF(ROUND(I1066*J1066,2)=ROUND(L1066,2),"Valid","Mismatch"))</f>
        <v>Valid</v>
      </c>
      <c r="O1066">
        <f t="shared" si="33"/>
        <v>49</v>
      </c>
    </row>
    <row r="1067" spans="1:15">
      <c r="A1067">
        <v>858</v>
      </c>
      <c r="B1067" t="str">
        <f t="shared" si="32"/>
        <v>2023-09</v>
      </c>
      <c r="C1067" s="1">
        <v>45177</v>
      </c>
      <c r="D1067" s="5">
        <v>0.78333333333333333</v>
      </c>
      <c r="E1067">
        <v>85</v>
      </c>
      <c r="F1067" t="s">
        <v>11</v>
      </c>
      <c r="G1067">
        <v>23</v>
      </c>
      <c r="H1067" t="s">
        <v>15</v>
      </c>
      <c r="I1067">
        <v>2</v>
      </c>
      <c r="J1067" s="6">
        <v>50</v>
      </c>
      <c r="K1067">
        <v>50.5</v>
      </c>
      <c r="L1067">
        <v>100</v>
      </c>
      <c r="M1067" t="str">
        <f>IF(OR(I1067="",J1067="",L1067=""),"Incomplete","Complete")</f>
        <v>Complete</v>
      </c>
      <c r="N1067" t="str">
        <f>IF(M1067="Incomplete","Not checked",IF(ROUND(I1067*J1067,2)=ROUND(L1067,2),"Valid","Mismatch"))</f>
        <v>Valid</v>
      </c>
      <c r="O1067">
        <f t="shared" si="33"/>
        <v>49.5</v>
      </c>
    </row>
    <row r="1068" spans="1:15">
      <c r="A1068">
        <v>935</v>
      </c>
      <c r="B1068" t="str">
        <f t="shared" si="32"/>
        <v>2022-09</v>
      </c>
      <c r="C1068" s="1">
        <v>44814</v>
      </c>
      <c r="D1068" s="5">
        <v>0.88611111111111107</v>
      </c>
      <c r="E1068">
        <v>2</v>
      </c>
      <c r="F1068" t="s">
        <v>14</v>
      </c>
      <c r="G1068">
        <v>34</v>
      </c>
      <c r="H1068" t="s">
        <v>13</v>
      </c>
      <c r="I1068">
        <v>1</v>
      </c>
      <c r="J1068" s="6">
        <v>50</v>
      </c>
      <c r="K1068">
        <v>55.5</v>
      </c>
      <c r="L1068">
        <v>50</v>
      </c>
      <c r="M1068" t="str">
        <f>IF(OR(I1068="",J1068="",L1068=""),"Incomplete","Complete")</f>
        <v>Complete</v>
      </c>
      <c r="N1068" t="str">
        <f>IF(M1068="Incomplete","Not checked",IF(ROUND(I1068*J1068,2)=ROUND(L1068,2),"Valid","Mismatch"))</f>
        <v>Valid</v>
      </c>
      <c r="O1068">
        <f t="shared" si="33"/>
        <v>-5.5</v>
      </c>
    </row>
    <row r="1069" spans="1:15">
      <c r="A1069">
        <v>1858</v>
      </c>
      <c r="B1069" t="str">
        <f t="shared" si="32"/>
        <v>2023-09</v>
      </c>
      <c r="C1069" s="1">
        <v>45183</v>
      </c>
      <c r="D1069" s="5">
        <v>0.86597222222222225</v>
      </c>
      <c r="E1069">
        <v>49</v>
      </c>
      <c r="F1069" t="s">
        <v>11</v>
      </c>
      <c r="G1069">
        <v>23</v>
      </c>
      <c r="H1069" t="s">
        <v>15</v>
      </c>
      <c r="I1069">
        <v>2</v>
      </c>
      <c r="J1069" s="6">
        <v>50</v>
      </c>
      <c r="K1069">
        <v>52</v>
      </c>
      <c r="L1069">
        <v>100</v>
      </c>
      <c r="M1069" t="str">
        <f>IF(OR(I1069="",J1069="",L1069=""),"Incomplete","Complete")</f>
        <v>Complete</v>
      </c>
      <c r="N1069" t="str">
        <f>IF(M1069="Incomplete","Not checked",IF(ROUND(I1069*J1069,2)=ROUND(L1069,2),"Valid","Mismatch"))</f>
        <v>Valid</v>
      </c>
      <c r="O1069">
        <f t="shared" si="33"/>
        <v>48</v>
      </c>
    </row>
    <row r="1070" spans="1:15">
      <c r="A1070">
        <v>1935</v>
      </c>
      <c r="B1070" t="str">
        <f t="shared" si="32"/>
        <v>2022-12</v>
      </c>
      <c r="C1070" s="1">
        <v>44911</v>
      </c>
      <c r="D1070" s="5">
        <v>0.94444444444444442</v>
      </c>
      <c r="E1070">
        <v>96</v>
      </c>
      <c r="F1070" t="s">
        <v>14</v>
      </c>
      <c r="G1070">
        <v>34</v>
      </c>
      <c r="H1070" t="s">
        <v>13</v>
      </c>
      <c r="I1070">
        <v>1</v>
      </c>
      <c r="J1070" s="6">
        <v>50</v>
      </c>
      <c r="K1070">
        <v>47.5</v>
      </c>
      <c r="L1070">
        <v>50</v>
      </c>
      <c r="M1070" t="str">
        <f>IF(OR(I1070="",J1070="",L1070=""),"Incomplete","Complete")</f>
        <v>Complete</v>
      </c>
      <c r="N1070" t="str">
        <f>IF(M1070="Incomplete","Not checked",IF(ROUND(I1070*J1070,2)=ROUND(L1070,2),"Valid","Mismatch"))</f>
        <v>Valid</v>
      </c>
      <c r="O1070">
        <f t="shared" si="33"/>
        <v>2.5</v>
      </c>
    </row>
    <row r="1071" spans="1:15">
      <c r="A1071">
        <v>132</v>
      </c>
      <c r="B1071" t="str">
        <f t="shared" si="32"/>
        <v>2023-11</v>
      </c>
      <c r="C1071" s="1">
        <v>45252</v>
      </c>
      <c r="D1071" s="5">
        <v>0.8569444444444444</v>
      </c>
      <c r="E1071">
        <v>86</v>
      </c>
      <c r="F1071" t="s">
        <v>11</v>
      </c>
      <c r="G1071">
        <v>42</v>
      </c>
      <c r="H1071" t="s">
        <v>15</v>
      </c>
      <c r="I1071">
        <v>4</v>
      </c>
      <c r="J1071" s="6">
        <v>50</v>
      </c>
      <c r="K1071">
        <v>62</v>
      </c>
      <c r="L1071">
        <v>200</v>
      </c>
      <c r="M1071" t="str">
        <f>IF(OR(I1071="",J1071="",L1071=""),"Incomplete","Complete")</f>
        <v>Complete</v>
      </c>
      <c r="N1071" t="str">
        <f>IF(M1071="Incomplete","Not checked",IF(ROUND(I1071*J1071,2)=ROUND(L1071,2),"Valid","Mismatch"))</f>
        <v>Valid</v>
      </c>
      <c r="O1071">
        <f t="shared" si="33"/>
        <v>138</v>
      </c>
    </row>
    <row r="1072" spans="1:15">
      <c r="A1072">
        <v>1132</v>
      </c>
      <c r="B1072" t="str">
        <f t="shared" si="32"/>
        <v>2023-11</v>
      </c>
      <c r="C1072" s="1">
        <v>45237</v>
      </c>
      <c r="D1072" s="5">
        <v>0.7270833333333333</v>
      </c>
      <c r="E1072">
        <v>14</v>
      </c>
      <c r="F1072" t="s">
        <v>11</v>
      </c>
      <c r="G1072">
        <v>42</v>
      </c>
      <c r="H1072" t="s">
        <v>15</v>
      </c>
      <c r="I1072">
        <v>4</v>
      </c>
      <c r="J1072" s="6">
        <v>50</v>
      </c>
      <c r="K1072">
        <v>59</v>
      </c>
      <c r="L1072">
        <v>200</v>
      </c>
      <c r="M1072" t="str">
        <f>IF(OR(I1072="",J1072="",L1072=""),"Incomplete","Complete")</f>
        <v>Complete</v>
      </c>
      <c r="N1072" t="str">
        <f>IF(M1072="Incomplete","Not checked",IF(ROUND(I1072*J1072,2)=ROUND(L1072,2),"Valid","Mismatch"))</f>
        <v>Valid</v>
      </c>
      <c r="O1072">
        <f t="shared" si="33"/>
        <v>141</v>
      </c>
    </row>
    <row r="1073" spans="1:15">
      <c r="A1073">
        <v>604</v>
      </c>
      <c r="B1073" t="str">
        <f t="shared" si="32"/>
        <v>2022-09</v>
      </c>
      <c r="C1073" s="1">
        <v>44820</v>
      </c>
      <c r="D1073" s="5">
        <v>0.81527777777777777</v>
      </c>
      <c r="E1073">
        <v>139</v>
      </c>
      <c r="F1073" t="s">
        <v>14</v>
      </c>
      <c r="G1073">
        <v>29</v>
      </c>
      <c r="H1073" t="s">
        <v>15</v>
      </c>
      <c r="I1073">
        <v>4</v>
      </c>
      <c r="J1073" s="6">
        <v>50</v>
      </c>
      <c r="K1073">
        <v>50.5</v>
      </c>
      <c r="L1073">
        <v>200</v>
      </c>
      <c r="M1073" t="str">
        <f>IF(OR(I1073="",J1073="",L1073=""),"Incomplete","Complete")</f>
        <v>Complete</v>
      </c>
      <c r="N1073" t="str">
        <f>IF(M1073="Incomplete","Not checked",IF(ROUND(I1073*J1073,2)=ROUND(L1073,2),"Valid","Mismatch"))</f>
        <v>Valid</v>
      </c>
      <c r="O1073">
        <f t="shared" si="33"/>
        <v>149.5</v>
      </c>
    </row>
    <row r="1074" spans="1:15">
      <c r="A1074">
        <v>1604</v>
      </c>
      <c r="B1074" t="str">
        <f t="shared" si="32"/>
        <v>2022-12</v>
      </c>
      <c r="C1074" s="1">
        <v>44924</v>
      </c>
      <c r="D1074" s="5">
        <v>0.77986111111111112</v>
      </c>
      <c r="E1074">
        <v>2</v>
      </c>
      <c r="F1074" t="s">
        <v>14</v>
      </c>
      <c r="G1074">
        <v>29</v>
      </c>
      <c r="H1074" t="s">
        <v>15</v>
      </c>
      <c r="I1074">
        <v>4</v>
      </c>
      <c r="J1074" s="6">
        <v>50</v>
      </c>
      <c r="K1074">
        <v>56</v>
      </c>
      <c r="L1074">
        <v>200</v>
      </c>
      <c r="M1074" t="str">
        <f>IF(OR(I1074="",J1074="",L1074=""),"Incomplete","Complete")</f>
        <v>Complete</v>
      </c>
      <c r="N1074" t="str">
        <f>IF(M1074="Incomplete","Not checked",IF(ROUND(I1074*J1074,2)=ROUND(L1074,2),"Valid","Mismatch"))</f>
        <v>Valid</v>
      </c>
      <c r="O1074">
        <f t="shared" si="33"/>
        <v>144</v>
      </c>
    </row>
    <row r="1075" spans="1:15">
      <c r="A1075">
        <v>167</v>
      </c>
      <c r="B1075" t="str">
        <f t="shared" si="32"/>
        <v>2023-09</v>
      </c>
      <c r="C1075" s="1">
        <v>45190</v>
      </c>
      <c r="D1075" s="5">
        <v>0.87361111111111112</v>
      </c>
      <c r="E1075">
        <v>73</v>
      </c>
      <c r="F1075" t="s">
        <v>14</v>
      </c>
      <c r="G1075">
        <v>43</v>
      </c>
      <c r="H1075" t="s">
        <v>12</v>
      </c>
      <c r="I1075">
        <v>3</v>
      </c>
      <c r="J1075" s="6">
        <v>50</v>
      </c>
      <c r="K1075">
        <v>49</v>
      </c>
      <c r="L1075">
        <v>150</v>
      </c>
      <c r="M1075" t="str">
        <f>IF(OR(I1075="",J1075="",L1075=""),"Incomplete","Complete")</f>
        <v>Complete</v>
      </c>
      <c r="N1075" t="str">
        <f>IF(M1075="Incomplete","Not checked",IF(ROUND(I1075*J1075,2)=ROUND(L1075,2),"Valid","Mismatch"))</f>
        <v>Valid</v>
      </c>
      <c r="O1075">
        <f t="shared" si="33"/>
        <v>101</v>
      </c>
    </row>
    <row r="1076" spans="1:15">
      <c r="A1076">
        <v>375</v>
      </c>
      <c r="B1076" t="str">
        <f t="shared" si="32"/>
        <v>2023-09</v>
      </c>
      <c r="C1076" s="1">
        <v>45191</v>
      </c>
      <c r="D1076" s="5">
        <v>0.73055555555555551</v>
      </c>
      <c r="E1076">
        <v>25</v>
      </c>
      <c r="F1076" t="s">
        <v>11</v>
      </c>
      <c r="G1076">
        <v>32</v>
      </c>
      <c r="H1076" t="s">
        <v>12</v>
      </c>
      <c r="I1076">
        <v>1</v>
      </c>
      <c r="J1076" s="6">
        <v>50</v>
      </c>
      <c r="K1076">
        <v>52</v>
      </c>
      <c r="L1076">
        <v>50</v>
      </c>
      <c r="M1076" t="str">
        <f>IF(OR(I1076="",J1076="",L1076=""),"Incomplete","Complete")</f>
        <v>Complete</v>
      </c>
      <c r="N1076" t="str">
        <f>IF(M1076="Incomplete","Not checked",IF(ROUND(I1076*J1076,2)=ROUND(L1076,2),"Valid","Mismatch"))</f>
        <v>Valid</v>
      </c>
      <c r="O1076">
        <f t="shared" si="33"/>
        <v>-2</v>
      </c>
    </row>
    <row r="1077" spans="1:15">
      <c r="A1077">
        <v>538</v>
      </c>
      <c r="B1077" t="str">
        <f t="shared" si="32"/>
        <v>2023-12</v>
      </c>
      <c r="C1077" s="1">
        <v>45282</v>
      </c>
      <c r="D1077" s="5">
        <v>0.76388888888888884</v>
      </c>
      <c r="E1077">
        <v>102</v>
      </c>
      <c r="F1077" t="s">
        <v>11</v>
      </c>
      <c r="G1077">
        <v>18</v>
      </c>
      <c r="H1077" t="s">
        <v>12</v>
      </c>
      <c r="I1077">
        <v>3</v>
      </c>
      <c r="J1077" s="6">
        <v>50</v>
      </c>
      <c r="K1077">
        <v>56.5</v>
      </c>
      <c r="L1077">
        <v>150</v>
      </c>
      <c r="M1077" t="str">
        <f>IF(OR(I1077="",J1077="",L1077=""),"Incomplete","Complete")</f>
        <v>Complete</v>
      </c>
      <c r="N1077" t="str">
        <f>IF(M1077="Incomplete","Not checked",IF(ROUND(I1077*J1077,2)=ROUND(L1077,2),"Valid","Mismatch"))</f>
        <v>Valid</v>
      </c>
      <c r="O1077">
        <f t="shared" si="33"/>
        <v>93.5</v>
      </c>
    </row>
    <row r="1078" spans="1:15">
      <c r="A1078">
        <v>1167</v>
      </c>
      <c r="B1078" t="str">
        <f t="shared" si="32"/>
        <v>2023-09</v>
      </c>
      <c r="C1078" s="1">
        <v>45198</v>
      </c>
      <c r="D1078" s="5">
        <v>0.88958333333333328</v>
      </c>
      <c r="E1078">
        <v>9</v>
      </c>
      <c r="F1078" t="s">
        <v>14</v>
      </c>
      <c r="G1078">
        <v>43</v>
      </c>
      <c r="H1078" t="s">
        <v>12</v>
      </c>
      <c r="I1078">
        <v>3</v>
      </c>
      <c r="J1078" s="6">
        <v>50</v>
      </c>
      <c r="K1078">
        <v>54</v>
      </c>
      <c r="L1078">
        <v>150</v>
      </c>
      <c r="M1078" t="str">
        <f>IF(OR(I1078="",J1078="",L1078=""),"Incomplete","Complete")</f>
        <v>Complete</v>
      </c>
      <c r="N1078" t="str">
        <f>IF(M1078="Incomplete","Not checked",IF(ROUND(I1078*J1078,2)=ROUND(L1078,2),"Valid","Mismatch"))</f>
        <v>Valid</v>
      </c>
      <c r="O1078">
        <f t="shared" si="33"/>
        <v>96</v>
      </c>
    </row>
    <row r="1079" spans="1:15">
      <c r="A1079">
        <v>1375</v>
      </c>
      <c r="B1079" t="str">
        <f t="shared" si="32"/>
        <v>2022-10</v>
      </c>
      <c r="C1079" s="1">
        <v>44835</v>
      </c>
      <c r="D1079" s="5">
        <v>0.74305555555555558</v>
      </c>
      <c r="E1079">
        <v>79</v>
      </c>
      <c r="F1079" t="s">
        <v>11</v>
      </c>
      <c r="G1079">
        <v>32</v>
      </c>
      <c r="H1079" t="s">
        <v>12</v>
      </c>
      <c r="I1079">
        <v>1</v>
      </c>
      <c r="J1079" s="6">
        <v>50</v>
      </c>
      <c r="K1079">
        <v>59</v>
      </c>
      <c r="L1079">
        <v>50</v>
      </c>
      <c r="M1079" t="str">
        <f>IF(OR(I1079="",J1079="",L1079=""),"Incomplete","Complete")</f>
        <v>Complete</v>
      </c>
      <c r="N1079" t="str">
        <f>IF(M1079="Incomplete","Not checked",IF(ROUND(I1079*J1079,2)=ROUND(L1079,2),"Valid","Mismatch"))</f>
        <v>Valid</v>
      </c>
      <c r="O1079">
        <f t="shared" si="33"/>
        <v>-9</v>
      </c>
    </row>
    <row r="1080" spans="1:15">
      <c r="A1080">
        <v>1538</v>
      </c>
      <c r="B1080" t="str">
        <f t="shared" si="32"/>
        <v>2022-09</v>
      </c>
      <c r="C1080" s="1">
        <v>44816</v>
      </c>
      <c r="D1080" s="5">
        <v>0.87291666666666667</v>
      </c>
      <c r="E1080">
        <v>21</v>
      </c>
      <c r="F1080" t="s">
        <v>11</v>
      </c>
      <c r="G1080">
        <v>18</v>
      </c>
      <c r="H1080" t="s">
        <v>12</v>
      </c>
      <c r="I1080">
        <v>3</v>
      </c>
      <c r="J1080" s="6">
        <v>50</v>
      </c>
      <c r="K1080">
        <v>53.5</v>
      </c>
      <c r="L1080">
        <v>150</v>
      </c>
      <c r="M1080" t="str">
        <f>IF(OR(I1080="",J1080="",L1080=""),"Incomplete","Complete")</f>
        <v>Complete</v>
      </c>
      <c r="N1080" t="str">
        <f>IF(M1080="Incomplete","Not checked",IF(ROUND(I1080*J1080,2)=ROUND(L1080,2),"Valid","Mismatch"))</f>
        <v>Valid</v>
      </c>
      <c r="O1080">
        <f t="shared" si="33"/>
        <v>96.5</v>
      </c>
    </row>
    <row r="1081" spans="1:15">
      <c r="A1081">
        <v>330</v>
      </c>
      <c r="B1081" t="str">
        <f t="shared" si="32"/>
        <v>2022-10</v>
      </c>
      <c r="C1081" s="1">
        <v>44845</v>
      </c>
      <c r="D1081" s="5">
        <v>0.84583333333333333</v>
      </c>
      <c r="E1081">
        <v>116</v>
      </c>
      <c r="F1081" t="s">
        <v>14</v>
      </c>
      <c r="G1081">
        <v>25</v>
      </c>
      <c r="H1081" t="s">
        <v>13</v>
      </c>
      <c r="I1081">
        <v>4</v>
      </c>
      <c r="J1081" s="6">
        <v>50</v>
      </c>
      <c r="K1081">
        <v>55</v>
      </c>
      <c r="L1081">
        <v>200</v>
      </c>
      <c r="M1081" t="str">
        <f>IF(OR(I1081="",J1081="",L1081=""),"Incomplete","Complete")</f>
        <v>Complete</v>
      </c>
      <c r="N1081" t="str">
        <f>IF(M1081="Incomplete","Not checked",IF(ROUND(I1081*J1081,2)=ROUND(L1081,2),"Valid","Mismatch"))</f>
        <v>Valid</v>
      </c>
      <c r="O1081">
        <f t="shared" si="33"/>
        <v>145</v>
      </c>
    </row>
    <row r="1082" spans="1:15">
      <c r="A1082">
        <v>494</v>
      </c>
      <c r="B1082" t="str">
        <f t="shared" si="32"/>
        <v>2023-09</v>
      </c>
      <c r="C1082" s="1">
        <v>45194</v>
      </c>
      <c r="D1082" s="5">
        <v>0.84583333333333333</v>
      </c>
      <c r="E1082">
        <v>140</v>
      </c>
      <c r="F1082" t="s">
        <v>14</v>
      </c>
      <c r="G1082">
        <v>42</v>
      </c>
      <c r="H1082" t="s">
        <v>13</v>
      </c>
      <c r="I1082">
        <v>4</v>
      </c>
      <c r="J1082" s="6">
        <v>50</v>
      </c>
      <c r="K1082">
        <v>58</v>
      </c>
      <c r="L1082">
        <v>200</v>
      </c>
      <c r="M1082" t="str">
        <f>IF(OR(I1082="",J1082="",L1082=""),"Incomplete","Complete")</f>
        <v>Complete</v>
      </c>
      <c r="N1082" t="str">
        <f>IF(M1082="Incomplete","Not checked",IF(ROUND(I1082*J1082,2)=ROUND(L1082,2),"Valid","Mismatch"))</f>
        <v>Valid</v>
      </c>
      <c r="O1082">
        <f t="shared" si="33"/>
        <v>142</v>
      </c>
    </row>
    <row r="1083" spans="1:15">
      <c r="A1083">
        <v>1330</v>
      </c>
      <c r="B1083" t="str">
        <f t="shared" si="32"/>
        <v>2023-11</v>
      </c>
      <c r="C1083" s="1">
        <v>45254</v>
      </c>
      <c r="D1083" s="5">
        <v>0.74236111111111114</v>
      </c>
      <c r="E1083">
        <v>20</v>
      </c>
      <c r="F1083" t="s">
        <v>14</v>
      </c>
      <c r="G1083">
        <v>25</v>
      </c>
      <c r="H1083" t="s">
        <v>13</v>
      </c>
      <c r="I1083">
        <v>4</v>
      </c>
      <c r="J1083" s="6">
        <v>50</v>
      </c>
      <c r="K1083">
        <v>48</v>
      </c>
      <c r="L1083">
        <v>200</v>
      </c>
      <c r="M1083" t="str">
        <f>IF(OR(I1083="",J1083="",L1083=""),"Incomplete","Complete")</f>
        <v>Complete</v>
      </c>
      <c r="N1083" t="str">
        <f>IF(M1083="Incomplete","Not checked",IF(ROUND(I1083*J1083,2)=ROUND(L1083,2),"Valid","Mismatch"))</f>
        <v>Valid</v>
      </c>
      <c r="O1083">
        <f t="shared" si="33"/>
        <v>152</v>
      </c>
    </row>
    <row r="1084" spans="1:15">
      <c r="A1084">
        <v>1494</v>
      </c>
      <c r="B1084" t="str">
        <f t="shared" si="32"/>
        <v>2022-10</v>
      </c>
      <c r="C1084" s="1">
        <v>44857</v>
      </c>
      <c r="D1084" s="5">
        <v>0.81180555555555556</v>
      </c>
      <c r="E1084">
        <v>74</v>
      </c>
      <c r="F1084" t="s">
        <v>14</v>
      </c>
      <c r="G1084">
        <v>42</v>
      </c>
      <c r="H1084" t="s">
        <v>13</v>
      </c>
      <c r="I1084">
        <v>4</v>
      </c>
      <c r="J1084" s="6">
        <v>50</v>
      </c>
      <c r="K1084">
        <v>62.5</v>
      </c>
      <c r="L1084">
        <v>200</v>
      </c>
      <c r="M1084" t="str">
        <f>IF(OR(I1084="",J1084="",L1084=""),"Incomplete","Complete")</f>
        <v>Complete</v>
      </c>
      <c r="N1084" t="str">
        <f>IF(M1084="Incomplete","Not checked",IF(ROUND(I1084*J1084,2)=ROUND(L1084,2),"Valid","Mismatch"))</f>
        <v>Valid</v>
      </c>
      <c r="O1084">
        <f t="shared" si="33"/>
        <v>137.5</v>
      </c>
    </row>
    <row r="1085" spans="1:15">
      <c r="A1085">
        <v>846</v>
      </c>
      <c r="B1085" t="str">
        <f t="shared" si="32"/>
        <v>2023-12</v>
      </c>
      <c r="C1085" s="1">
        <v>45282</v>
      </c>
      <c r="D1085" s="5">
        <v>0.78194444444444444</v>
      </c>
      <c r="E1085">
        <v>13</v>
      </c>
      <c r="F1085" t="s">
        <v>11</v>
      </c>
      <c r="G1085">
        <v>42</v>
      </c>
      <c r="H1085" t="s">
        <v>13</v>
      </c>
      <c r="I1085">
        <v>1</v>
      </c>
      <c r="J1085" s="6">
        <v>50</v>
      </c>
      <c r="K1085">
        <v>59.5</v>
      </c>
      <c r="L1085">
        <v>50</v>
      </c>
      <c r="M1085" t="str">
        <f>IF(OR(I1085="",J1085="",L1085=""),"Incomplete","Complete")</f>
        <v>Complete</v>
      </c>
      <c r="N1085" t="str">
        <f>IF(M1085="Incomplete","Not checked",IF(ROUND(I1085*J1085,2)=ROUND(L1085,2),"Valid","Mismatch"))</f>
        <v>Valid</v>
      </c>
      <c r="O1085">
        <f t="shared" si="33"/>
        <v>-9.5</v>
      </c>
    </row>
    <row r="1086" spans="1:15">
      <c r="A1086">
        <v>1846</v>
      </c>
      <c r="B1086" t="str">
        <f t="shared" si="32"/>
        <v>2023-11</v>
      </c>
      <c r="C1086" s="1">
        <v>45246</v>
      </c>
      <c r="D1086" s="5">
        <v>0.74375000000000002</v>
      </c>
      <c r="E1086">
        <v>83</v>
      </c>
      <c r="F1086" t="s">
        <v>11</v>
      </c>
      <c r="G1086">
        <v>42</v>
      </c>
      <c r="H1086" t="s">
        <v>13</v>
      </c>
      <c r="I1086">
        <v>1</v>
      </c>
      <c r="J1086" s="6">
        <v>50</v>
      </c>
      <c r="K1086">
        <v>49.5</v>
      </c>
      <c r="L1086">
        <v>50</v>
      </c>
      <c r="M1086" t="str">
        <f>IF(OR(I1086="",J1086="",L1086=""),"Incomplete","Complete")</f>
        <v>Complete</v>
      </c>
      <c r="N1086" t="str">
        <f>IF(M1086="Incomplete","Not checked",IF(ROUND(I1086*J1086,2)=ROUND(L1086,2),"Valid","Mismatch"))</f>
        <v>Valid</v>
      </c>
      <c r="O1086">
        <f t="shared" si="33"/>
        <v>0.5</v>
      </c>
    </row>
    <row r="1087" spans="1:15">
      <c r="A1087">
        <v>616</v>
      </c>
      <c r="B1087" t="str">
        <f t="shared" si="32"/>
        <v>2022-12</v>
      </c>
      <c r="C1087" s="1">
        <v>44926</v>
      </c>
      <c r="D1087" s="5">
        <v>0.8041666666666667</v>
      </c>
      <c r="E1087">
        <v>122</v>
      </c>
      <c r="F1087" t="s">
        <v>11</v>
      </c>
      <c r="G1087">
        <v>41</v>
      </c>
      <c r="H1087" t="s">
        <v>12</v>
      </c>
      <c r="I1087">
        <v>2</v>
      </c>
      <c r="J1087" s="6">
        <v>50</v>
      </c>
      <c r="K1087">
        <v>49.5</v>
      </c>
      <c r="L1087">
        <v>100</v>
      </c>
      <c r="M1087" t="str">
        <f>IF(OR(I1087="",J1087="",L1087=""),"Incomplete","Complete")</f>
        <v>Complete</v>
      </c>
      <c r="N1087" t="str">
        <f>IF(M1087="Incomplete","Not checked",IF(ROUND(I1087*J1087,2)=ROUND(L1087,2),"Valid","Mismatch"))</f>
        <v>Valid</v>
      </c>
      <c r="O1087">
        <f t="shared" si="33"/>
        <v>50.5</v>
      </c>
    </row>
    <row r="1088" spans="1:15">
      <c r="A1088">
        <v>1616</v>
      </c>
      <c r="B1088" t="str">
        <f t="shared" si="32"/>
        <v>2022-09</v>
      </c>
      <c r="C1088" s="1">
        <v>44826</v>
      </c>
      <c r="D1088" s="5">
        <v>0.77847222222222223</v>
      </c>
      <c r="E1088">
        <v>121</v>
      </c>
      <c r="F1088" t="s">
        <v>11</v>
      </c>
      <c r="G1088">
        <v>41</v>
      </c>
      <c r="H1088" t="s">
        <v>12</v>
      </c>
      <c r="I1088">
        <v>2</v>
      </c>
      <c r="J1088" s="6">
        <v>50</v>
      </c>
      <c r="K1088">
        <v>59</v>
      </c>
      <c r="L1088">
        <v>100</v>
      </c>
      <c r="M1088" t="str">
        <f>IF(OR(I1088="",J1088="",L1088=""),"Incomplete","Complete")</f>
        <v>Complete</v>
      </c>
      <c r="N1088" t="str">
        <f>IF(M1088="Incomplete","Not checked",IF(ROUND(I1088*J1088,2)=ROUND(L1088,2),"Valid","Mismatch"))</f>
        <v>Valid</v>
      </c>
      <c r="O1088">
        <f t="shared" si="33"/>
        <v>41</v>
      </c>
    </row>
    <row r="1089" spans="1:15">
      <c r="A1089">
        <v>809</v>
      </c>
      <c r="B1089" t="str">
        <f t="shared" si="32"/>
        <v>2022-12</v>
      </c>
      <c r="C1089" s="1">
        <v>44909</v>
      </c>
      <c r="D1089" s="5">
        <v>0.95208333333333328</v>
      </c>
      <c r="E1089">
        <v>124</v>
      </c>
      <c r="F1089" t="s">
        <v>14</v>
      </c>
      <c r="G1089">
        <v>62</v>
      </c>
      <c r="H1089" t="s">
        <v>13</v>
      </c>
      <c r="I1089">
        <v>2</v>
      </c>
      <c r="J1089" s="6">
        <v>50</v>
      </c>
      <c r="K1089">
        <v>50</v>
      </c>
      <c r="L1089">
        <v>100</v>
      </c>
      <c r="M1089" t="str">
        <f>IF(OR(I1089="",J1089="",L1089=""),"Incomplete","Complete")</f>
        <v>Complete</v>
      </c>
      <c r="N1089" t="str">
        <f>IF(M1089="Incomplete","Not checked",IF(ROUND(I1089*J1089,2)=ROUND(L1089,2),"Valid","Mismatch"))</f>
        <v>Valid</v>
      </c>
      <c r="O1089">
        <f t="shared" si="33"/>
        <v>50</v>
      </c>
    </row>
    <row r="1090" spans="1:15">
      <c r="A1090">
        <v>1809</v>
      </c>
      <c r="B1090" t="str">
        <f t="shared" ref="B1090:B1153" si="34">TEXT(C1090,"yyyy-mm")</f>
        <v>2023-10</v>
      </c>
      <c r="C1090" s="1">
        <v>45215</v>
      </c>
      <c r="D1090" s="5">
        <v>0.75624999999999998</v>
      </c>
      <c r="E1090">
        <v>51</v>
      </c>
      <c r="F1090" t="s">
        <v>14</v>
      </c>
      <c r="G1090">
        <v>62</v>
      </c>
      <c r="H1090" t="s">
        <v>13</v>
      </c>
      <c r="I1090">
        <v>2</v>
      </c>
      <c r="J1090" s="6">
        <v>50</v>
      </c>
      <c r="K1090">
        <v>61.5</v>
      </c>
      <c r="L1090">
        <v>100</v>
      </c>
      <c r="M1090" t="str">
        <f>IF(OR(I1090="",J1090="",L1090=""),"Incomplete","Complete")</f>
        <v>Complete</v>
      </c>
      <c r="N1090" t="str">
        <f>IF(M1090="Incomplete","Not checked",IF(ROUND(I1090*J1090,2)=ROUND(L1090,2),"Valid","Mismatch"))</f>
        <v>Valid</v>
      </c>
      <c r="O1090">
        <f t="shared" ref="O1090:O1153" si="35">IF(M1090="Incomplete","",L1090-K1090)</f>
        <v>38.5</v>
      </c>
    </row>
    <row r="1091" spans="1:15">
      <c r="A1091">
        <v>897</v>
      </c>
      <c r="B1091" t="str">
        <f t="shared" si="34"/>
        <v>2023-09</v>
      </c>
      <c r="C1091" s="1">
        <v>45181</v>
      </c>
      <c r="D1091" s="5">
        <v>0.74513888888888891</v>
      </c>
      <c r="E1091">
        <v>15</v>
      </c>
      <c r="F1091" t="s">
        <v>14</v>
      </c>
      <c r="G1091">
        <v>64</v>
      </c>
      <c r="H1091" t="s">
        <v>15</v>
      </c>
      <c r="I1091">
        <v>2</v>
      </c>
      <c r="J1091" s="6">
        <v>50</v>
      </c>
      <c r="K1091">
        <v>51.5</v>
      </c>
      <c r="L1091">
        <v>100</v>
      </c>
      <c r="M1091" t="str">
        <f>IF(OR(I1091="",J1091="",L1091=""),"Incomplete","Complete")</f>
        <v>Complete</v>
      </c>
      <c r="N1091" t="str">
        <f>IF(M1091="Incomplete","Not checked",IF(ROUND(I1091*J1091,2)=ROUND(L1091,2),"Valid","Mismatch"))</f>
        <v>Valid</v>
      </c>
      <c r="O1091">
        <f t="shared" si="35"/>
        <v>48.5</v>
      </c>
    </row>
    <row r="1092" spans="1:15">
      <c r="A1092">
        <v>1897</v>
      </c>
      <c r="B1092" t="str">
        <f t="shared" si="34"/>
        <v>2023-10</v>
      </c>
      <c r="C1092" s="1">
        <v>45226</v>
      </c>
      <c r="D1092" s="5">
        <v>0.71666666666666667</v>
      </c>
      <c r="E1092">
        <v>137</v>
      </c>
      <c r="F1092" t="s">
        <v>14</v>
      </c>
      <c r="G1092">
        <v>64</v>
      </c>
      <c r="H1092" t="s">
        <v>15</v>
      </c>
      <c r="I1092">
        <v>2</v>
      </c>
      <c r="J1092" s="6">
        <v>50</v>
      </c>
      <c r="K1092">
        <v>62</v>
      </c>
      <c r="L1092">
        <v>100</v>
      </c>
      <c r="M1092" t="str">
        <f>IF(OR(I1092="",J1092="",L1092=""),"Incomplete","Complete")</f>
        <v>Complete</v>
      </c>
      <c r="N1092" t="str">
        <f>IF(M1092="Incomplete","Not checked",IF(ROUND(I1092*J1092,2)=ROUND(L1092,2),"Valid","Mismatch"))</f>
        <v>Valid</v>
      </c>
      <c r="O1092">
        <f t="shared" si="35"/>
        <v>38</v>
      </c>
    </row>
    <row r="1093" spans="1:15">
      <c r="A1093">
        <v>390</v>
      </c>
      <c r="B1093" t="str">
        <f t="shared" si="34"/>
        <v>2022-10</v>
      </c>
      <c r="C1093" s="1">
        <v>44841</v>
      </c>
      <c r="D1093" s="5">
        <v>0.87013888888888891</v>
      </c>
      <c r="E1093">
        <v>88</v>
      </c>
      <c r="F1093" t="s">
        <v>11</v>
      </c>
      <c r="G1093">
        <v>39</v>
      </c>
      <c r="H1093" t="s">
        <v>15</v>
      </c>
      <c r="I1093">
        <v>2</v>
      </c>
      <c r="J1093" s="6">
        <v>50</v>
      </c>
      <c r="K1093">
        <v>51</v>
      </c>
      <c r="L1093">
        <v>100</v>
      </c>
      <c r="M1093" t="str">
        <f>IF(OR(I1093="",J1093="",L1093=""),"Incomplete","Complete")</f>
        <v>Complete</v>
      </c>
      <c r="N1093" t="str">
        <f>IF(M1093="Incomplete","Not checked",IF(ROUND(I1093*J1093,2)=ROUND(L1093,2),"Valid","Mismatch"))</f>
        <v>Valid</v>
      </c>
      <c r="O1093">
        <f t="shared" si="35"/>
        <v>49</v>
      </c>
    </row>
    <row r="1094" spans="1:15">
      <c r="A1094">
        <v>1390</v>
      </c>
      <c r="B1094" t="str">
        <f t="shared" si="34"/>
        <v>2022-10</v>
      </c>
      <c r="C1094" s="1">
        <v>44858</v>
      </c>
      <c r="D1094" s="5">
        <v>0.94930555555555551</v>
      </c>
      <c r="E1094">
        <v>117</v>
      </c>
      <c r="F1094" t="s">
        <v>11</v>
      </c>
      <c r="G1094">
        <v>39</v>
      </c>
      <c r="H1094" t="s">
        <v>15</v>
      </c>
      <c r="I1094">
        <v>2</v>
      </c>
      <c r="J1094" s="6">
        <v>50</v>
      </c>
      <c r="K1094">
        <v>54</v>
      </c>
      <c r="L1094">
        <v>100</v>
      </c>
      <c r="M1094" t="str">
        <f>IF(OR(I1094="",J1094="",L1094=""),"Incomplete","Complete")</f>
        <v>Complete</v>
      </c>
      <c r="N1094" t="str">
        <f>IF(M1094="Incomplete","Not checked",IF(ROUND(I1094*J1094,2)=ROUND(L1094,2),"Valid","Mismatch"))</f>
        <v>Valid</v>
      </c>
      <c r="O1094">
        <f t="shared" si="35"/>
        <v>46</v>
      </c>
    </row>
    <row r="1095" spans="1:15">
      <c r="A1095">
        <v>327</v>
      </c>
      <c r="B1095" t="str">
        <f t="shared" si="34"/>
        <v>2023-09</v>
      </c>
      <c r="C1095" s="1">
        <v>45182</v>
      </c>
      <c r="D1095" s="5">
        <v>0.77083333333333337</v>
      </c>
      <c r="E1095">
        <v>107</v>
      </c>
      <c r="F1095" t="s">
        <v>11</v>
      </c>
      <c r="G1095">
        <v>57</v>
      </c>
      <c r="H1095" t="s">
        <v>15</v>
      </c>
      <c r="I1095">
        <v>3</v>
      </c>
      <c r="J1095" s="6">
        <v>50</v>
      </c>
      <c r="K1095">
        <v>56</v>
      </c>
      <c r="L1095">
        <v>150</v>
      </c>
      <c r="M1095" t="str">
        <f>IF(OR(I1095="",J1095="",L1095=""),"Incomplete","Complete")</f>
        <v>Complete</v>
      </c>
      <c r="N1095" t="str">
        <f>IF(M1095="Incomplete","Not checked",IF(ROUND(I1095*J1095,2)=ROUND(L1095,2),"Valid","Mismatch"))</f>
        <v>Valid</v>
      </c>
      <c r="O1095">
        <f t="shared" si="35"/>
        <v>94</v>
      </c>
    </row>
    <row r="1096" spans="1:15">
      <c r="A1096">
        <v>1327</v>
      </c>
      <c r="B1096" t="str">
        <f t="shared" si="34"/>
        <v>2023-12</v>
      </c>
      <c r="C1096" s="1">
        <v>45283</v>
      </c>
      <c r="D1096" s="5">
        <v>0.88611111111111107</v>
      </c>
      <c r="E1096">
        <v>118</v>
      </c>
      <c r="F1096" t="s">
        <v>11</v>
      </c>
      <c r="G1096">
        <v>57</v>
      </c>
      <c r="H1096" t="s">
        <v>15</v>
      </c>
      <c r="I1096">
        <v>3</v>
      </c>
      <c r="J1096" s="6">
        <v>50</v>
      </c>
      <c r="K1096">
        <v>58</v>
      </c>
      <c r="L1096">
        <v>150</v>
      </c>
      <c r="M1096" t="str">
        <f>IF(OR(I1096="",J1096="",L1096=""),"Incomplete","Complete")</f>
        <v>Complete</v>
      </c>
      <c r="N1096" t="str">
        <f>IF(M1096="Incomplete","Not checked",IF(ROUND(I1096*J1096,2)=ROUND(L1096,2),"Valid","Mismatch"))</f>
        <v>Valid</v>
      </c>
      <c r="O1096">
        <f t="shared" si="35"/>
        <v>92</v>
      </c>
    </row>
    <row r="1097" spans="1:15">
      <c r="A1097">
        <v>889</v>
      </c>
      <c r="B1097" t="str">
        <f t="shared" si="34"/>
        <v>2023-09</v>
      </c>
      <c r="C1097" s="1">
        <v>45189</v>
      </c>
      <c r="D1097" s="5">
        <v>0.93888888888888888</v>
      </c>
      <c r="E1097">
        <v>39</v>
      </c>
      <c r="F1097" t="s">
        <v>14</v>
      </c>
      <c r="G1097">
        <v>35</v>
      </c>
      <c r="H1097" t="s">
        <v>15</v>
      </c>
      <c r="I1097">
        <v>1</v>
      </c>
      <c r="J1097" s="6">
        <v>50</v>
      </c>
      <c r="K1097">
        <v>57.5</v>
      </c>
      <c r="L1097">
        <v>50</v>
      </c>
      <c r="M1097" t="str">
        <f>IF(OR(I1097="",J1097="",L1097=""),"Incomplete","Complete")</f>
        <v>Complete</v>
      </c>
      <c r="N1097" t="str">
        <f>IF(M1097="Incomplete","Not checked",IF(ROUND(I1097*J1097,2)=ROUND(L1097,2),"Valid","Mismatch"))</f>
        <v>Valid</v>
      </c>
      <c r="O1097">
        <f t="shared" si="35"/>
        <v>-7.5</v>
      </c>
    </row>
    <row r="1098" spans="1:15">
      <c r="A1098">
        <v>1889</v>
      </c>
      <c r="B1098" t="str">
        <f t="shared" si="34"/>
        <v>2022-09</v>
      </c>
      <c r="C1098" s="1">
        <v>44806</v>
      </c>
      <c r="D1098" s="5">
        <v>0.95</v>
      </c>
      <c r="E1098">
        <v>80</v>
      </c>
      <c r="F1098" t="s">
        <v>14</v>
      </c>
      <c r="G1098">
        <v>35</v>
      </c>
      <c r="H1098" t="s">
        <v>15</v>
      </c>
      <c r="I1098">
        <v>1</v>
      </c>
      <c r="J1098" s="6">
        <v>50</v>
      </c>
      <c r="K1098">
        <v>56</v>
      </c>
      <c r="L1098">
        <v>50</v>
      </c>
      <c r="M1098" t="str">
        <f>IF(OR(I1098="",J1098="",L1098=""),"Incomplete","Complete")</f>
        <v>Complete</v>
      </c>
      <c r="N1098" t="str">
        <f>IF(M1098="Incomplete","Not checked",IF(ROUND(I1098*J1098,2)=ROUND(L1098,2),"Valid","Mismatch"))</f>
        <v>Valid</v>
      </c>
      <c r="O1098">
        <f t="shared" si="35"/>
        <v>-6</v>
      </c>
    </row>
    <row r="1099" spans="1:15">
      <c r="A1099">
        <v>813</v>
      </c>
      <c r="B1099" t="str">
        <f t="shared" si="34"/>
        <v>2022-10</v>
      </c>
      <c r="C1099" s="1">
        <v>44849</v>
      </c>
      <c r="D1099" s="5">
        <v>0.82708333333333328</v>
      </c>
      <c r="E1099">
        <v>125</v>
      </c>
      <c r="F1099" t="s">
        <v>11</v>
      </c>
      <c r="G1099">
        <v>52</v>
      </c>
      <c r="H1099" t="s">
        <v>15</v>
      </c>
      <c r="I1099">
        <v>3</v>
      </c>
      <c r="J1099" s="6">
        <v>50</v>
      </c>
      <c r="K1099">
        <v>62</v>
      </c>
      <c r="L1099">
        <v>150</v>
      </c>
      <c r="M1099" t="str">
        <f>IF(OR(I1099="",J1099="",L1099=""),"Incomplete","Complete")</f>
        <v>Complete</v>
      </c>
      <c r="N1099" t="str">
        <f>IF(M1099="Incomplete","Not checked",IF(ROUND(I1099*J1099,2)=ROUND(L1099,2),"Valid","Mismatch"))</f>
        <v>Valid</v>
      </c>
      <c r="O1099">
        <f t="shared" si="35"/>
        <v>88</v>
      </c>
    </row>
    <row r="1100" spans="1:15">
      <c r="A1100">
        <v>1813</v>
      </c>
      <c r="B1100" t="str">
        <f t="shared" si="34"/>
        <v>2022-11</v>
      </c>
      <c r="C1100" s="1">
        <v>44887</v>
      </c>
      <c r="D1100" s="5">
        <v>0.93333333333333335</v>
      </c>
      <c r="E1100">
        <v>86</v>
      </c>
      <c r="F1100" t="s">
        <v>11</v>
      </c>
      <c r="G1100">
        <v>52</v>
      </c>
      <c r="H1100" t="s">
        <v>15</v>
      </c>
      <c r="I1100">
        <v>3</v>
      </c>
      <c r="J1100" s="6">
        <v>50</v>
      </c>
      <c r="K1100">
        <v>61.5</v>
      </c>
      <c r="L1100">
        <v>150</v>
      </c>
      <c r="M1100" t="str">
        <f>IF(OR(I1100="",J1100="",L1100=""),"Incomplete","Complete")</f>
        <v>Complete</v>
      </c>
      <c r="N1100" t="str">
        <f>IF(M1100="Incomplete","Not checked",IF(ROUND(I1100*J1100,2)=ROUND(L1100,2),"Valid","Mismatch"))</f>
        <v>Valid</v>
      </c>
      <c r="O1100">
        <f t="shared" si="35"/>
        <v>88.5</v>
      </c>
    </row>
    <row r="1101" spans="1:15">
      <c r="A1101">
        <v>208</v>
      </c>
      <c r="B1101" t="str">
        <f t="shared" si="34"/>
        <v>2023-10</v>
      </c>
      <c r="C1101" s="1">
        <v>45220</v>
      </c>
      <c r="D1101" s="5">
        <v>0.87222222222222223</v>
      </c>
      <c r="E1101">
        <v>144</v>
      </c>
      <c r="F1101" t="s">
        <v>14</v>
      </c>
      <c r="G1101">
        <v>34</v>
      </c>
      <c r="H1101" t="s">
        <v>15</v>
      </c>
      <c r="I1101">
        <v>4</v>
      </c>
      <c r="J1101" s="6">
        <v>50</v>
      </c>
      <c r="K1101">
        <v>57</v>
      </c>
      <c r="L1101">
        <v>200</v>
      </c>
      <c r="M1101" t="str">
        <f>IF(OR(I1101="",J1101="",L1101=""),"Incomplete","Complete")</f>
        <v>Complete</v>
      </c>
      <c r="N1101" t="str">
        <f>IF(M1101="Incomplete","Not checked",IF(ROUND(I1101*J1101,2)=ROUND(L1101,2),"Valid","Mismatch"))</f>
        <v>Valid</v>
      </c>
      <c r="O1101">
        <f t="shared" si="35"/>
        <v>143</v>
      </c>
    </row>
    <row r="1102" spans="1:15">
      <c r="A1102">
        <v>1208</v>
      </c>
      <c r="B1102" t="str">
        <f t="shared" si="34"/>
        <v>2022-10</v>
      </c>
      <c r="C1102" s="1">
        <v>44849</v>
      </c>
      <c r="D1102" s="5">
        <v>0.73888888888888893</v>
      </c>
      <c r="E1102">
        <v>9</v>
      </c>
      <c r="F1102" t="s">
        <v>14</v>
      </c>
      <c r="G1102">
        <v>34</v>
      </c>
      <c r="H1102" t="s">
        <v>15</v>
      </c>
      <c r="I1102">
        <v>4</v>
      </c>
      <c r="J1102" s="6">
        <v>50</v>
      </c>
      <c r="K1102">
        <v>47.5</v>
      </c>
      <c r="L1102">
        <v>200</v>
      </c>
      <c r="M1102" t="str">
        <f>IF(OR(I1102="",J1102="",L1102=""),"Incomplete","Complete")</f>
        <v>Complete</v>
      </c>
      <c r="N1102" t="str">
        <f>IF(M1102="Incomplete","Not checked",IF(ROUND(I1102*J1102,2)=ROUND(L1102,2),"Valid","Mismatch"))</f>
        <v>Valid</v>
      </c>
      <c r="O1102">
        <f t="shared" si="35"/>
        <v>152.5</v>
      </c>
    </row>
    <row r="1103" spans="1:15">
      <c r="A1103">
        <v>10</v>
      </c>
      <c r="B1103" t="str">
        <f t="shared" si="34"/>
        <v>2022-10</v>
      </c>
      <c r="C1103" s="1">
        <v>44858</v>
      </c>
      <c r="D1103" s="5">
        <v>0.95486111111111116</v>
      </c>
      <c r="E1103">
        <v>81</v>
      </c>
      <c r="F1103" t="s">
        <v>14</v>
      </c>
      <c r="G1103">
        <v>52</v>
      </c>
      <c r="H1103" t="s">
        <v>12</v>
      </c>
      <c r="I1103">
        <v>4</v>
      </c>
      <c r="J1103" s="6">
        <v>50</v>
      </c>
      <c r="K1103">
        <v>62.5</v>
      </c>
      <c r="L1103">
        <v>200</v>
      </c>
      <c r="M1103" t="str">
        <f>IF(OR(I1103="",J1103="",L1103=""),"Incomplete","Complete")</f>
        <v>Complete</v>
      </c>
      <c r="N1103" t="str">
        <f>IF(M1103="Incomplete","Not checked",IF(ROUND(I1103*J1103,2)=ROUND(L1103,2),"Valid","Mismatch"))</f>
        <v>Valid</v>
      </c>
      <c r="O1103">
        <f t="shared" si="35"/>
        <v>137.5</v>
      </c>
    </row>
    <row r="1104" spans="1:15">
      <c r="A1104">
        <v>689</v>
      </c>
      <c r="B1104" t="str">
        <f t="shared" si="34"/>
        <v>2022-10</v>
      </c>
      <c r="C1104" s="1">
        <v>44850</v>
      </c>
      <c r="D1104" s="5">
        <v>0.84513888888888888</v>
      </c>
      <c r="E1104">
        <v>55</v>
      </c>
      <c r="F1104" t="s">
        <v>11</v>
      </c>
      <c r="G1104">
        <v>57</v>
      </c>
      <c r="H1104" t="s">
        <v>15</v>
      </c>
      <c r="I1104">
        <v>2</v>
      </c>
      <c r="J1104" s="6">
        <v>50</v>
      </c>
      <c r="K1104">
        <v>52.5</v>
      </c>
      <c r="L1104">
        <v>100</v>
      </c>
      <c r="M1104" t="str">
        <f>IF(OR(I1104="",J1104="",L1104=""),"Incomplete","Complete")</f>
        <v>Complete</v>
      </c>
      <c r="N1104" t="str">
        <f>IF(M1104="Incomplete","Not checked",IF(ROUND(I1104*J1104,2)=ROUND(L1104,2),"Valid","Mismatch"))</f>
        <v>Valid</v>
      </c>
      <c r="O1104">
        <f t="shared" si="35"/>
        <v>47.5</v>
      </c>
    </row>
    <row r="1105" spans="1:15">
      <c r="A1105">
        <v>1010</v>
      </c>
      <c r="B1105" t="str">
        <f t="shared" si="34"/>
        <v>2022-10</v>
      </c>
      <c r="C1105" s="1">
        <v>44855</v>
      </c>
      <c r="D1105" s="5">
        <v>0.9243055555555556</v>
      </c>
      <c r="E1105">
        <v>65</v>
      </c>
      <c r="F1105" t="s">
        <v>14</v>
      </c>
      <c r="G1105">
        <v>52</v>
      </c>
      <c r="H1105" t="s">
        <v>12</v>
      </c>
      <c r="I1105">
        <v>4</v>
      </c>
      <c r="J1105" s="6">
        <v>50</v>
      </c>
      <c r="K1105">
        <v>54.5</v>
      </c>
      <c r="L1105">
        <v>200</v>
      </c>
      <c r="M1105" t="str">
        <f>IF(OR(I1105="",J1105="",L1105=""),"Incomplete","Complete")</f>
        <v>Complete</v>
      </c>
      <c r="N1105" t="str">
        <f>IF(M1105="Incomplete","Not checked",IF(ROUND(I1105*J1105,2)=ROUND(L1105,2),"Valid","Mismatch"))</f>
        <v>Valid</v>
      </c>
      <c r="O1105">
        <f t="shared" si="35"/>
        <v>145.5</v>
      </c>
    </row>
    <row r="1106" spans="1:15">
      <c r="A1106">
        <v>1689</v>
      </c>
      <c r="B1106" t="str">
        <f t="shared" si="34"/>
        <v>2023-12</v>
      </c>
      <c r="C1106" s="1">
        <v>45279</v>
      </c>
      <c r="D1106" s="5">
        <v>0.87083333333333335</v>
      </c>
      <c r="E1106">
        <v>114</v>
      </c>
      <c r="F1106" t="s">
        <v>11</v>
      </c>
      <c r="G1106">
        <v>57</v>
      </c>
      <c r="H1106" t="s">
        <v>15</v>
      </c>
      <c r="I1106">
        <v>2</v>
      </c>
      <c r="J1106" s="6">
        <v>50</v>
      </c>
      <c r="K1106">
        <v>47.5</v>
      </c>
      <c r="L1106">
        <v>100</v>
      </c>
      <c r="M1106" t="str">
        <f>IF(OR(I1106="",J1106="",L1106=""),"Incomplete","Complete")</f>
        <v>Complete</v>
      </c>
      <c r="N1106" t="str">
        <f>IF(M1106="Incomplete","Not checked",IF(ROUND(I1106*J1106,2)=ROUND(L1106,2),"Valid","Mismatch"))</f>
        <v>Valid</v>
      </c>
      <c r="O1106">
        <f t="shared" si="35"/>
        <v>52.5</v>
      </c>
    </row>
    <row r="1107" spans="1:15">
      <c r="A1107">
        <v>428</v>
      </c>
      <c r="B1107" t="str">
        <f t="shared" si="34"/>
        <v>2022-12</v>
      </c>
      <c r="C1107" s="1">
        <v>44897</v>
      </c>
      <c r="D1107" s="5">
        <v>0.94722222222222219</v>
      </c>
      <c r="E1107">
        <v>50</v>
      </c>
      <c r="F1107" t="s">
        <v>14</v>
      </c>
      <c r="G1107">
        <v>40</v>
      </c>
      <c r="H1107" t="s">
        <v>15</v>
      </c>
      <c r="I1107">
        <v>4</v>
      </c>
      <c r="J1107" s="6">
        <v>50</v>
      </c>
      <c r="K1107">
        <v>49.5</v>
      </c>
      <c r="L1107">
        <v>200</v>
      </c>
      <c r="M1107" t="str">
        <f>IF(OR(I1107="",J1107="",L1107=""),"Incomplete","Complete")</f>
        <v>Complete</v>
      </c>
      <c r="N1107" t="str">
        <f>IF(M1107="Incomplete","Not checked",IF(ROUND(I1107*J1107,2)=ROUND(L1107,2),"Valid","Mismatch"))</f>
        <v>Valid</v>
      </c>
      <c r="O1107">
        <f t="shared" si="35"/>
        <v>150.5</v>
      </c>
    </row>
    <row r="1108" spans="1:15">
      <c r="A1108">
        <v>1428</v>
      </c>
      <c r="B1108" t="str">
        <f t="shared" si="34"/>
        <v>2023-09</v>
      </c>
      <c r="C1108" s="1">
        <v>45178</v>
      </c>
      <c r="D1108" s="5">
        <v>0.78055555555555556</v>
      </c>
      <c r="E1108">
        <v>96</v>
      </c>
      <c r="F1108" t="s">
        <v>14</v>
      </c>
      <c r="G1108">
        <v>40</v>
      </c>
      <c r="H1108" t="s">
        <v>15</v>
      </c>
      <c r="I1108">
        <v>4</v>
      </c>
      <c r="J1108" s="6">
        <v>50</v>
      </c>
      <c r="K1108">
        <v>57</v>
      </c>
      <c r="L1108">
        <v>200</v>
      </c>
      <c r="M1108" t="str">
        <f>IF(OR(I1108="",J1108="",L1108=""),"Incomplete","Complete")</f>
        <v>Complete</v>
      </c>
      <c r="N1108" t="str">
        <f>IF(M1108="Incomplete","Not checked",IF(ROUND(I1108*J1108,2)=ROUND(L1108,2),"Valid","Mismatch"))</f>
        <v>Valid</v>
      </c>
      <c r="O1108">
        <f t="shared" si="35"/>
        <v>143</v>
      </c>
    </row>
    <row r="1109" spans="1:15">
      <c r="A1109">
        <v>227</v>
      </c>
      <c r="B1109" t="str">
        <f t="shared" si="34"/>
        <v>2023-11</v>
      </c>
      <c r="C1109" s="1">
        <v>45245</v>
      </c>
      <c r="D1109" s="5">
        <v>0.80486111111111114</v>
      </c>
      <c r="E1109">
        <v>87</v>
      </c>
      <c r="F1109" t="s">
        <v>11</v>
      </c>
      <c r="G1109">
        <v>36</v>
      </c>
      <c r="H1109" t="s">
        <v>15</v>
      </c>
      <c r="I1109">
        <v>2</v>
      </c>
      <c r="J1109" s="6">
        <v>50</v>
      </c>
      <c r="K1109">
        <v>50.5</v>
      </c>
      <c r="L1109">
        <v>100</v>
      </c>
      <c r="M1109" t="str">
        <f>IF(OR(I1109="",J1109="",L1109=""),"Incomplete","Complete")</f>
        <v>Complete</v>
      </c>
      <c r="N1109" t="str">
        <f>IF(M1109="Incomplete","Not checked",IF(ROUND(I1109*J1109,2)=ROUND(L1109,2),"Valid","Mismatch"))</f>
        <v>Valid</v>
      </c>
      <c r="O1109">
        <f t="shared" si="35"/>
        <v>49.5</v>
      </c>
    </row>
    <row r="1110" spans="1:15">
      <c r="A1110">
        <v>546</v>
      </c>
      <c r="B1110" t="str">
        <f t="shared" si="34"/>
        <v>2022-12</v>
      </c>
      <c r="C1110" s="1">
        <v>44925</v>
      </c>
      <c r="D1110" s="5">
        <v>0.93888888888888888</v>
      </c>
      <c r="E1110">
        <v>57</v>
      </c>
      <c r="F1110" t="s">
        <v>14</v>
      </c>
      <c r="G1110">
        <v>36</v>
      </c>
      <c r="H1110" t="s">
        <v>15</v>
      </c>
      <c r="I1110">
        <v>4</v>
      </c>
      <c r="J1110" s="6">
        <v>50</v>
      </c>
      <c r="K1110">
        <v>53.5</v>
      </c>
      <c r="L1110">
        <v>200</v>
      </c>
      <c r="M1110" t="str">
        <f>IF(OR(I1110="",J1110="",L1110=""),"Incomplete","Complete")</f>
        <v>Complete</v>
      </c>
      <c r="N1110" t="str">
        <f>IF(M1110="Incomplete","Not checked",IF(ROUND(I1110*J1110,2)=ROUND(L1110,2),"Valid","Mismatch"))</f>
        <v>Valid</v>
      </c>
      <c r="O1110">
        <f t="shared" si="35"/>
        <v>146.5</v>
      </c>
    </row>
    <row r="1111" spans="1:15">
      <c r="A1111">
        <v>1227</v>
      </c>
      <c r="B1111" t="str">
        <f t="shared" si="34"/>
        <v>2023-10</v>
      </c>
      <c r="C1111" s="1">
        <v>45200</v>
      </c>
      <c r="D1111" s="5">
        <v>0.83958333333333335</v>
      </c>
      <c r="E1111">
        <v>103</v>
      </c>
      <c r="F1111" t="s">
        <v>11</v>
      </c>
      <c r="G1111">
        <v>36</v>
      </c>
      <c r="H1111" t="s">
        <v>15</v>
      </c>
      <c r="I1111">
        <v>2</v>
      </c>
      <c r="J1111" s="6">
        <v>50</v>
      </c>
      <c r="K1111">
        <v>47.5</v>
      </c>
      <c r="L1111">
        <v>100</v>
      </c>
      <c r="M1111" t="str">
        <f>IF(OR(I1111="",J1111="",L1111=""),"Incomplete","Complete")</f>
        <v>Complete</v>
      </c>
      <c r="N1111" t="str">
        <f>IF(M1111="Incomplete","Not checked",IF(ROUND(I1111*J1111,2)=ROUND(L1111,2),"Valid","Mismatch"))</f>
        <v>Valid</v>
      </c>
      <c r="O1111">
        <f t="shared" si="35"/>
        <v>52.5</v>
      </c>
    </row>
    <row r="1112" spans="1:15">
      <c r="A1112">
        <v>1546</v>
      </c>
      <c r="B1112" t="str">
        <f t="shared" si="34"/>
        <v>2022-12</v>
      </c>
      <c r="C1112" s="1">
        <v>44913</v>
      </c>
      <c r="D1112" s="5">
        <v>0.79583333333333328</v>
      </c>
      <c r="E1112">
        <v>93</v>
      </c>
      <c r="F1112" t="s">
        <v>14</v>
      </c>
      <c r="G1112">
        <v>36</v>
      </c>
      <c r="H1112" t="s">
        <v>15</v>
      </c>
      <c r="I1112">
        <v>4</v>
      </c>
      <c r="J1112" s="6">
        <v>50</v>
      </c>
      <c r="K1112">
        <v>48</v>
      </c>
      <c r="L1112">
        <v>200</v>
      </c>
      <c r="M1112" t="str">
        <f>IF(OR(I1112="",J1112="",L1112=""),"Incomplete","Complete")</f>
        <v>Complete</v>
      </c>
      <c r="N1112" t="str">
        <f>IF(M1112="Incomplete","Not checked",IF(ROUND(I1112*J1112,2)=ROUND(L1112,2),"Valid","Mismatch"))</f>
        <v>Valid</v>
      </c>
      <c r="O1112">
        <f t="shared" si="35"/>
        <v>152</v>
      </c>
    </row>
    <row r="1113" spans="1:15">
      <c r="A1113">
        <v>844</v>
      </c>
      <c r="B1113" t="str">
        <f t="shared" si="34"/>
        <v>2023-10</v>
      </c>
      <c r="C1113" s="1">
        <v>45208</v>
      </c>
      <c r="D1113" s="5">
        <v>0.74583333333333335</v>
      </c>
      <c r="E1113">
        <v>95</v>
      </c>
      <c r="F1113" t="s">
        <v>11</v>
      </c>
      <c r="G1113">
        <v>35</v>
      </c>
      <c r="H1113" t="s">
        <v>12</v>
      </c>
      <c r="I1113">
        <v>3</v>
      </c>
      <c r="J1113" s="6">
        <v>50</v>
      </c>
      <c r="K1113">
        <v>62</v>
      </c>
      <c r="L1113">
        <v>150</v>
      </c>
      <c r="M1113" t="str">
        <f>IF(OR(I1113="",J1113="",L1113=""),"Incomplete","Complete")</f>
        <v>Complete</v>
      </c>
      <c r="N1113" t="str">
        <f>IF(M1113="Incomplete","Not checked",IF(ROUND(I1113*J1113,2)=ROUND(L1113,2),"Valid","Mismatch"))</f>
        <v>Valid</v>
      </c>
      <c r="O1113">
        <f t="shared" si="35"/>
        <v>88</v>
      </c>
    </row>
    <row r="1114" spans="1:15">
      <c r="A1114">
        <v>1844</v>
      </c>
      <c r="B1114" t="str">
        <f t="shared" si="34"/>
        <v>2022-10</v>
      </c>
      <c r="C1114" s="1">
        <v>44859</v>
      </c>
      <c r="D1114" s="5">
        <v>0.85416666666666663</v>
      </c>
      <c r="E1114">
        <v>70</v>
      </c>
      <c r="F1114" t="s">
        <v>11</v>
      </c>
      <c r="G1114">
        <v>35</v>
      </c>
      <c r="H1114" t="s">
        <v>12</v>
      </c>
      <c r="I1114">
        <v>3</v>
      </c>
      <c r="J1114" s="6">
        <v>50</v>
      </c>
      <c r="K1114">
        <v>50.5</v>
      </c>
      <c r="L1114">
        <v>150</v>
      </c>
      <c r="M1114" t="str">
        <f>IF(OR(I1114="",J1114="",L1114=""),"Incomplete","Complete")</f>
        <v>Complete</v>
      </c>
      <c r="N1114" t="str">
        <f>IF(M1114="Incomplete","Not checked",IF(ROUND(I1114*J1114,2)=ROUND(L1114,2),"Valid","Mismatch"))</f>
        <v>Valid</v>
      </c>
      <c r="O1114">
        <f t="shared" si="35"/>
        <v>99.5</v>
      </c>
    </row>
    <row r="1115" spans="1:15">
      <c r="A1115">
        <v>627</v>
      </c>
      <c r="B1115" t="str">
        <f t="shared" si="34"/>
        <v>2022-10</v>
      </c>
      <c r="C1115" s="1">
        <v>44858</v>
      </c>
      <c r="D1115" s="5">
        <v>0.75972222222222219</v>
      </c>
      <c r="E1115">
        <v>79</v>
      </c>
      <c r="F1115" t="s">
        <v>11</v>
      </c>
      <c r="G1115">
        <v>57</v>
      </c>
      <c r="H1115" t="s">
        <v>12</v>
      </c>
      <c r="I1115">
        <v>1</v>
      </c>
      <c r="J1115" s="6">
        <v>50</v>
      </c>
      <c r="K1115">
        <v>55.5</v>
      </c>
      <c r="L1115">
        <v>50</v>
      </c>
      <c r="M1115" t="str">
        <f>IF(OR(I1115="",J1115="",L1115=""),"Incomplete","Complete")</f>
        <v>Complete</v>
      </c>
      <c r="N1115" t="str">
        <f>IF(M1115="Incomplete","Not checked",IF(ROUND(I1115*J1115,2)=ROUND(L1115,2),"Valid","Mismatch"))</f>
        <v>Valid</v>
      </c>
      <c r="O1115">
        <f t="shared" si="35"/>
        <v>-5.5</v>
      </c>
    </row>
    <row r="1116" spans="1:15">
      <c r="A1116">
        <v>1627</v>
      </c>
      <c r="B1116" t="str">
        <f t="shared" si="34"/>
        <v>2022-11</v>
      </c>
      <c r="C1116" s="1">
        <v>44883</v>
      </c>
      <c r="D1116" s="5">
        <v>0.72291666666666665</v>
      </c>
      <c r="E1116">
        <v>84</v>
      </c>
      <c r="F1116" t="s">
        <v>11</v>
      </c>
      <c r="G1116">
        <v>57</v>
      </c>
      <c r="H1116" t="s">
        <v>12</v>
      </c>
      <c r="I1116">
        <v>1</v>
      </c>
      <c r="J1116" s="6">
        <v>50</v>
      </c>
      <c r="K1116">
        <v>60</v>
      </c>
      <c r="L1116">
        <v>50</v>
      </c>
      <c r="M1116" t="str">
        <f>IF(OR(I1116="",J1116="",L1116=""),"Incomplete","Complete")</f>
        <v>Complete</v>
      </c>
      <c r="N1116" t="str">
        <f>IF(M1116="Incomplete","Not checked",IF(ROUND(I1116*J1116,2)=ROUND(L1116,2),"Valid","Mismatch"))</f>
        <v>Valid</v>
      </c>
      <c r="O1116">
        <f t="shared" si="35"/>
        <v>-10</v>
      </c>
    </row>
    <row r="1117" spans="1:15">
      <c r="A1117">
        <v>22</v>
      </c>
      <c r="B1117" t="str">
        <f t="shared" si="34"/>
        <v>2023-11</v>
      </c>
      <c r="C1117" s="1">
        <v>45255</v>
      </c>
      <c r="D1117" s="5">
        <v>0.71597222222222223</v>
      </c>
      <c r="E1117">
        <v>66</v>
      </c>
      <c r="F1117" t="s">
        <v>11</v>
      </c>
      <c r="G1117">
        <v>18</v>
      </c>
      <c r="H1117" t="s">
        <v>12</v>
      </c>
      <c r="I1117">
        <v>2</v>
      </c>
      <c r="J1117" s="6">
        <v>50</v>
      </c>
      <c r="K1117">
        <v>60.5</v>
      </c>
      <c r="L1117">
        <v>100</v>
      </c>
      <c r="M1117" t="str">
        <f>IF(OR(I1117="",J1117="",L1117=""),"Incomplete","Complete")</f>
        <v>Complete</v>
      </c>
      <c r="N1117" t="str">
        <f>IF(M1117="Incomplete","Not checked",IF(ROUND(I1117*J1117,2)=ROUND(L1117,2),"Valid","Mismatch"))</f>
        <v>Valid</v>
      </c>
      <c r="O1117">
        <f t="shared" si="35"/>
        <v>39.5</v>
      </c>
    </row>
    <row r="1118" spans="1:15">
      <c r="A1118">
        <v>121</v>
      </c>
      <c r="B1118" t="str">
        <f t="shared" si="34"/>
        <v>2023-10</v>
      </c>
      <c r="C1118" s="1">
        <v>45206</v>
      </c>
      <c r="D1118" s="5">
        <v>0.7895833333333333</v>
      </c>
      <c r="E1118">
        <v>110</v>
      </c>
      <c r="F1118" t="s">
        <v>14</v>
      </c>
      <c r="G1118">
        <v>28</v>
      </c>
      <c r="H1118" t="s">
        <v>15</v>
      </c>
      <c r="I1118">
        <v>4</v>
      </c>
      <c r="J1118" s="6">
        <v>50</v>
      </c>
      <c r="K1118">
        <v>54.5</v>
      </c>
      <c r="L1118">
        <v>200</v>
      </c>
      <c r="M1118" t="str">
        <f>IF(OR(I1118="",J1118="",L1118=""),"Incomplete","Complete")</f>
        <v>Complete</v>
      </c>
      <c r="N1118" t="str">
        <f>IF(M1118="Incomplete","Not checked",IF(ROUND(I1118*J1118,2)=ROUND(L1118,2),"Valid","Mismatch"))</f>
        <v>Valid</v>
      </c>
      <c r="O1118">
        <f t="shared" si="35"/>
        <v>145.5</v>
      </c>
    </row>
    <row r="1119" spans="1:15">
      <c r="A1119">
        <v>1022</v>
      </c>
      <c r="B1119" t="str">
        <f t="shared" si="34"/>
        <v>2023-09</v>
      </c>
      <c r="C1119" s="1">
        <v>45174</v>
      </c>
      <c r="D1119" s="5">
        <v>0.74236111111111114</v>
      </c>
      <c r="E1119">
        <v>69</v>
      </c>
      <c r="F1119" t="s">
        <v>11</v>
      </c>
      <c r="G1119">
        <v>18</v>
      </c>
      <c r="H1119" t="s">
        <v>12</v>
      </c>
      <c r="I1119">
        <v>2</v>
      </c>
      <c r="J1119" s="6">
        <v>50</v>
      </c>
      <c r="K1119">
        <v>52.5</v>
      </c>
      <c r="L1119">
        <v>100</v>
      </c>
      <c r="M1119" t="str">
        <f>IF(OR(I1119="",J1119="",L1119=""),"Incomplete","Complete")</f>
        <v>Complete</v>
      </c>
      <c r="N1119" t="str">
        <f>IF(M1119="Incomplete","Not checked",IF(ROUND(I1119*J1119,2)=ROUND(L1119,2),"Valid","Mismatch"))</f>
        <v>Valid</v>
      </c>
      <c r="O1119">
        <f t="shared" si="35"/>
        <v>47.5</v>
      </c>
    </row>
    <row r="1120" spans="1:15">
      <c r="A1120">
        <v>1121</v>
      </c>
      <c r="B1120" t="str">
        <f t="shared" si="34"/>
        <v>2022-11</v>
      </c>
      <c r="C1120" s="1">
        <v>44888</v>
      </c>
      <c r="D1120" s="5">
        <v>0.88194444444444442</v>
      </c>
      <c r="E1120">
        <v>95</v>
      </c>
      <c r="F1120" t="s">
        <v>14</v>
      </c>
      <c r="G1120">
        <v>28</v>
      </c>
      <c r="H1120" t="s">
        <v>15</v>
      </c>
      <c r="I1120">
        <v>4</v>
      </c>
      <c r="J1120" s="6">
        <v>50</v>
      </c>
      <c r="K1120">
        <v>50.5</v>
      </c>
      <c r="L1120">
        <v>200</v>
      </c>
      <c r="M1120" t="str">
        <f>IF(OR(I1120="",J1120="",L1120=""),"Incomplete","Complete")</f>
        <v>Complete</v>
      </c>
      <c r="N1120" t="str">
        <f>IF(M1120="Incomplete","Not checked",IF(ROUND(I1120*J1120,2)=ROUND(L1120,2),"Valid","Mismatch"))</f>
        <v>Valid</v>
      </c>
      <c r="O1120">
        <f t="shared" si="35"/>
        <v>149.5</v>
      </c>
    </row>
    <row r="1121" spans="1:15">
      <c r="A1121">
        <v>249</v>
      </c>
      <c r="B1121" t="str">
        <f t="shared" si="34"/>
        <v>2022-09</v>
      </c>
      <c r="C1121" s="1">
        <v>44832</v>
      </c>
      <c r="D1121" s="5">
        <v>0.84513888888888888</v>
      </c>
      <c r="E1121">
        <v>109</v>
      </c>
      <c r="F1121" t="s">
        <v>11</v>
      </c>
      <c r="G1121">
        <v>20</v>
      </c>
      <c r="H1121" t="s">
        <v>12</v>
      </c>
      <c r="I1121">
        <v>1</v>
      </c>
      <c r="J1121" s="6">
        <v>50</v>
      </c>
      <c r="K1121">
        <v>53.5</v>
      </c>
      <c r="L1121">
        <v>50</v>
      </c>
      <c r="M1121" t="str">
        <f>IF(OR(I1121="",J1121="",L1121=""),"Incomplete","Complete")</f>
        <v>Complete</v>
      </c>
      <c r="N1121" t="str">
        <f>IF(M1121="Incomplete","Not checked",IF(ROUND(I1121*J1121,2)=ROUND(L1121,2),"Valid","Mismatch"))</f>
        <v>Valid</v>
      </c>
      <c r="O1121">
        <f t="shared" si="35"/>
        <v>-3.5</v>
      </c>
    </row>
    <row r="1122" spans="1:15">
      <c r="A1122">
        <v>1249</v>
      </c>
      <c r="B1122" t="str">
        <f t="shared" si="34"/>
        <v>2022-12</v>
      </c>
      <c r="C1122" s="1">
        <v>44905</v>
      </c>
      <c r="D1122" s="5">
        <v>0.90555555555555556</v>
      </c>
      <c r="E1122">
        <v>95</v>
      </c>
      <c r="F1122" t="s">
        <v>11</v>
      </c>
      <c r="G1122">
        <v>20</v>
      </c>
      <c r="H1122" t="s">
        <v>12</v>
      </c>
      <c r="I1122">
        <v>1</v>
      </c>
      <c r="J1122" s="6">
        <v>50</v>
      </c>
      <c r="K1122">
        <v>60</v>
      </c>
      <c r="L1122">
        <v>50</v>
      </c>
      <c r="M1122" t="str">
        <f>IF(OR(I1122="",J1122="",L1122=""),"Incomplete","Complete")</f>
        <v>Complete</v>
      </c>
      <c r="N1122" t="str">
        <f>IF(M1122="Incomplete","Not checked",IF(ROUND(I1122*J1122,2)=ROUND(L1122,2),"Valid","Mismatch"))</f>
        <v>Valid</v>
      </c>
      <c r="O1122">
        <f t="shared" si="35"/>
        <v>-10</v>
      </c>
    </row>
    <row r="1123" spans="1:15">
      <c r="A1123">
        <v>922</v>
      </c>
      <c r="B1123" t="str">
        <f t="shared" si="34"/>
        <v>2023-10</v>
      </c>
      <c r="C1123" s="1">
        <v>45218</v>
      </c>
      <c r="D1123" s="5">
        <v>0.95416666666666672</v>
      </c>
      <c r="E1123">
        <v>103</v>
      </c>
      <c r="F1123" t="s">
        <v>11</v>
      </c>
      <c r="G1123">
        <v>41</v>
      </c>
      <c r="H1123" t="s">
        <v>15</v>
      </c>
      <c r="I1123">
        <v>1</v>
      </c>
      <c r="J1123" s="6">
        <v>50</v>
      </c>
      <c r="K1123">
        <v>60.5</v>
      </c>
      <c r="L1123">
        <v>50</v>
      </c>
      <c r="M1123" t="str">
        <f>IF(OR(I1123="",J1123="",L1123=""),"Incomplete","Complete")</f>
        <v>Complete</v>
      </c>
      <c r="N1123" t="str">
        <f>IF(M1123="Incomplete","Not checked",IF(ROUND(I1123*J1123,2)=ROUND(L1123,2),"Valid","Mismatch"))</f>
        <v>Valid</v>
      </c>
      <c r="O1123">
        <f t="shared" si="35"/>
        <v>-10.5</v>
      </c>
    </row>
    <row r="1124" spans="1:15">
      <c r="A1124">
        <v>1922</v>
      </c>
      <c r="B1124" t="str">
        <f t="shared" si="34"/>
        <v>2023-10</v>
      </c>
      <c r="C1124" s="1">
        <v>45227</v>
      </c>
      <c r="D1124" s="5">
        <v>0.83819444444444446</v>
      </c>
      <c r="E1124">
        <v>72</v>
      </c>
      <c r="F1124" t="s">
        <v>11</v>
      </c>
      <c r="G1124">
        <v>41</v>
      </c>
      <c r="H1124" t="s">
        <v>15</v>
      </c>
      <c r="I1124">
        <v>1</v>
      </c>
      <c r="J1124" s="6">
        <v>50</v>
      </c>
      <c r="K1124">
        <v>48.5</v>
      </c>
      <c r="L1124">
        <v>50</v>
      </c>
      <c r="M1124" t="str">
        <f>IF(OR(I1124="",J1124="",L1124=""),"Incomplete","Complete")</f>
        <v>Complete</v>
      </c>
      <c r="N1124" t="str">
        <f>IF(M1124="Incomplete","Not checked",IF(ROUND(I1124*J1124,2)=ROUND(L1124,2),"Valid","Mismatch"))</f>
        <v>Valid</v>
      </c>
      <c r="O1124">
        <f t="shared" si="35"/>
        <v>1.5</v>
      </c>
    </row>
    <row r="1125" spans="1:15">
      <c r="A1125">
        <v>770</v>
      </c>
      <c r="B1125" t="str">
        <f t="shared" si="34"/>
        <v>2022-12</v>
      </c>
      <c r="C1125" s="1">
        <v>44906</v>
      </c>
      <c r="D1125" s="5">
        <v>0.9506944444444444</v>
      </c>
      <c r="E1125">
        <v>71</v>
      </c>
      <c r="F1125" t="s">
        <v>11</v>
      </c>
      <c r="G1125">
        <v>32</v>
      </c>
      <c r="H1125" t="s">
        <v>12</v>
      </c>
      <c r="I1125">
        <v>1</v>
      </c>
      <c r="J1125" s="6">
        <v>50</v>
      </c>
      <c r="K1125">
        <v>55</v>
      </c>
      <c r="L1125">
        <v>50</v>
      </c>
      <c r="M1125" t="str">
        <f>IF(OR(I1125="",J1125="",L1125=""),"Incomplete","Complete")</f>
        <v>Complete</v>
      </c>
      <c r="N1125" t="str">
        <f>IF(M1125="Incomplete","Not checked",IF(ROUND(I1125*J1125,2)=ROUND(L1125,2),"Valid","Mismatch"))</f>
        <v>Valid</v>
      </c>
      <c r="O1125">
        <f t="shared" si="35"/>
        <v>-5</v>
      </c>
    </row>
    <row r="1126" spans="1:15">
      <c r="A1126">
        <v>1770</v>
      </c>
      <c r="B1126" t="str">
        <f t="shared" si="34"/>
        <v>2023-11</v>
      </c>
      <c r="C1126" s="1">
        <v>45260</v>
      </c>
      <c r="D1126" s="5">
        <v>0.83888888888888891</v>
      </c>
      <c r="E1126">
        <v>65</v>
      </c>
      <c r="F1126" t="s">
        <v>11</v>
      </c>
      <c r="G1126">
        <v>32</v>
      </c>
      <c r="H1126" t="s">
        <v>12</v>
      </c>
      <c r="I1126">
        <v>1</v>
      </c>
      <c r="J1126" s="6">
        <v>50</v>
      </c>
      <c r="K1126">
        <v>56</v>
      </c>
      <c r="L1126">
        <v>50</v>
      </c>
      <c r="M1126" t="str">
        <f>IF(OR(I1126="",J1126="",L1126=""),"Incomplete","Complete")</f>
        <v>Complete</v>
      </c>
      <c r="N1126" t="str">
        <f>IF(M1126="Incomplete","Not checked",IF(ROUND(I1126*J1126,2)=ROUND(L1126,2),"Valid","Mismatch"))</f>
        <v>Valid</v>
      </c>
      <c r="O1126">
        <f t="shared" si="35"/>
        <v>-6</v>
      </c>
    </row>
    <row r="1127" spans="1:15">
      <c r="A1127">
        <v>60</v>
      </c>
      <c r="B1127" t="str">
        <f t="shared" si="34"/>
        <v>2022-12</v>
      </c>
      <c r="C1127" s="1">
        <v>44899</v>
      </c>
      <c r="D1127" s="5">
        <v>0.76041666666666663</v>
      </c>
      <c r="E1127">
        <v>91</v>
      </c>
      <c r="F1127" t="s">
        <v>11</v>
      </c>
      <c r="G1127">
        <v>30</v>
      </c>
      <c r="H1127" t="s">
        <v>13</v>
      </c>
      <c r="I1127">
        <v>3</v>
      </c>
      <c r="J1127" s="6">
        <v>50</v>
      </c>
      <c r="K1127">
        <v>60.5</v>
      </c>
      <c r="L1127">
        <v>150</v>
      </c>
      <c r="M1127" t="str">
        <f>IF(OR(I1127="",J1127="",L1127=""),"Incomplete","Complete")</f>
        <v>Complete</v>
      </c>
      <c r="N1127" t="str">
        <f>IF(M1127="Incomplete","Not checked",IF(ROUND(I1127*J1127,2)=ROUND(L1127,2),"Valid","Mismatch"))</f>
        <v>Valid</v>
      </c>
      <c r="O1127">
        <f t="shared" si="35"/>
        <v>89.5</v>
      </c>
    </row>
    <row r="1128" spans="1:15">
      <c r="A1128">
        <v>250</v>
      </c>
      <c r="B1128" t="str">
        <f t="shared" si="34"/>
        <v>2022-12</v>
      </c>
      <c r="C1128" s="1">
        <v>44919</v>
      </c>
      <c r="D1128" s="5">
        <v>0.95833333333333337</v>
      </c>
      <c r="E1128">
        <v>91</v>
      </c>
      <c r="F1128" t="s">
        <v>11</v>
      </c>
      <c r="G1128">
        <v>48</v>
      </c>
      <c r="H1128" t="s">
        <v>15</v>
      </c>
      <c r="I1128">
        <v>1</v>
      </c>
      <c r="J1128" s="6">
        <v>50</v>
      </c>
      <c r="K1128">
        <v>60.5</v>
      </c>
      <c r="L1128">
        <v>50</v>
      </c>
      <c r="M1128" t="str">
        <f>IF(OR(I1128="",J1128="",L1128=""),"Incomplete","Complete")</f>
        <v>Complete</v>
      </c>
      <c r="N1128" t="str">
        <f>IF(M1128="Incomplete","Not checked",IF(ROUND(I1128*J1128,2)=ROUND(L1128,2),"Valid","Mismatch"))</f>
        <v>Valid</v>
      </c>
      <c r="O1128">
        <f t="shared" si="35"/>
        <v>-10.5</v>
      </c>
    </row>
    <row r="1129" spans="1:15">
      <c r="A1129">
        <v>1060</v>
      </c>
      <c r="B1129" t="str">
        <f t="shared" si="34"/>
        <v>2022-11</v>
      </c>
      <c r="C1129" s="1">
        <v>44877</v>
      </c>
      <c r="D1129" s="5">
        <v>0.77013888888888893</v>
      </c>
      <c r="E1129">
        <v>71</v>
      </c>
      <c r="F1129" t="s">
        <v>11</v>
      </c>
      <c r="G1129">
        <v>30</v>
      </c>
      <c r="H1129" t="s">
        <v>13</v>
      </c>
      <c r="I1129">
        <v>3</v>
      </c>
      <c r="J1129" s="6">
        <v>50</v>
      </c>
      <c r="K1129">
        <v>57</v>
      </c>
      <c r="L1129">
        <v>150</v>
      </c>
      <c r="M1129" t="str">
        <f>IF(OR(I1129="",J1129="",L1129=""),"Incomplete","Complete")</f>
        <v>Complete</v>
      </c>
      <c r="N1129" t="str">
        <f>IF(M1129="Incomplete","Not checked",IF(ROUND(I1129*J1129,2)=ROUND(L1129,2),"Valid","Mismatch"))</f>
        <v>Valid</v>
      </c>
      <c r="O1129">
        <f t="shared" si="35"/>
        <v>93</v>
      </c>
    </row>
    <row r="1130" spans="1:15">
      <c r="A1130">
        <v>1250</v>
      </c>
      <c r="B1130" t="str">
        <f t="shared" si="34"/>
        <v>2022-11</v>
      </c>
      <c r="C1130" s="1">
        <v>44884</v>
      </c>
      <c r="D1130" s="5">
        <v>0.86041666666666672</v>
      </c>
      <c r="E1130">
        <v>96</v>
      </c>
      <c r="F1130" t="s">
        <v>11</v>
      </c>
      <c r="G1130">
        <v>48</v>
      </c>
      <c r="H1130" t="s">
        <v>15</v>
      </c>
      <c r="I1130">
        <v>1</v>
      </c>
      <c r="J1130" s="6">
        <v>50</v>
      </c>
      <c r="K1130">
        <v>48.5</v>
      </c>
      <c r="L1130">
        <v>50</v>
      </c>
      <c r="M1130" t="str">
        <f>IF(OR(I1130="",J1130="",L1130=""),"Incomplete","Complete")</f>
        <v>Complete</v>
      </c>
      <c r="N1130" t="str">
        <f>IF(M1130="Incomplete","Not checked",IF(ROUND(I1130*J1130,2)=ROUND(L1130,2),"Valid","Mismatch"))</f>
        <v>Valid</v>
      </c>
      <c r="O1130">
        <f t="shared" si="35"/>
        <v>1.5</v>
      </c>
    </row>
    <row r="1131" spans="1:15">
      <c r="A1131">
        <v>564</v>
      </c>
      <c r="B1131" t="str">
        <f t="shared" si="34"/>
        <v>2023-09</v>
      </c>
      <c r="C1131" s="1">
        <v>45181</v>
      </c>
      <c r="D1131" s="5">
        <v>0.84305555555555556</v>
      </c>
      <c r="E1131">
        <v>114</v>
      </c>
      <c r="F1131" t="s">
        <v>11</v>
      </c>
      <c r="G1131">
        <v>50</v>
      </c>
      <c r="H1131" t="s">
        <v>15</v>
      </c>
      <c r="I1131">
        <v>2</v>
      </c>
      <c r="J1131" s="6">
        <v>50</v>
      </c>
      <c r="K1131">
        <v>55.5</v>
      </c>
      <c r="L1131">
        <v>100</v>
      </c>
      <c r="M1131" t="str">
        <f>IF(OR(I1131="",J1131="",L1131=""),"Incomplete","Complete")</f>
        <v>Complete</v>
      </c>
      <c r="N1131" t="str">
        <f>IF(M1131="Incomplete","Not checked",IF(ROUND(I1131*J1131,2)=ROUND(L1131,2),"Valid","Mismatch"))</f>
        <v>Valid</v>
      </c>
      <c r="O1131">
        <f t="shared" si="35"/>
        <v>44.5</v>
      </c>
    </row>
    <row r="1132" spans="1:15">
      <c r="A1132">
        <v>1564</v>
      </c>
      <c r="B1132" t="str">
        <f t="shared" si="34"/>
        <v>2022-10</v>
      </c>
      <c r="C1132" s="1">
        <v>44838</v>
      </c>
      <c r="D1132" s="5">
        <v>0.95486111111111116</v>
      </c>
      <c r="E1132">
        <v>115</v>
      </c>
      <c r="F1132" t="s">
        <v>11</v>
      </c>
      <c r="G1132">
        <v>50</v>
      </c>
      <c r="H1132" t="s">
        <v>15</v>
      </c>
      <c r="I1132">
        <v>2</v>
      </c>
      <c r="J1132" s="6">
        <v>50</v>
      </c>
      <c r="K1132">
        <v>49.5</v>
      </c>
      <c r="L1132">
        <v>100</v>
      </c>
      <c r="M1132" t="str">
        <f>IF(OR(I1132="",J1132="",L1132=""),"Incomplete","Complete")</f>
        <v>Complete</v>
      </c>
      <c r="N1132" t="str">
        <f>IF(M1132="Incomplete","Not checked",IF(ROUND(I1132*J1132,2)=ROUND(L1132,2),"Valid","Mismatch"))</f>
        <v>Valid</v>
      </c>
      <c r="O1132">
        <f t="shared" si="35"/>
        <v>50.5</v>
      </c>
    </row>
    <row r="1133" spans="1:15">
      <c r="A1133">
        <v>349</v>
      </c>
      <c r="B1133" t="str">
        <f t="shared" si="34"/>
        <v>2023-12</v>
      </c>
      <c r="C1133" s="1">
        <v>45264</v>
      </c>
      <c r="D1133" s="5">
        <v>0.71180555555555558</v>
      </c>
      <c r="E1133">
        <v>78</v>
      </c>
      <c r="F1133" t="s">
        <v>14</v>
      </c>
      <c r="G1133">
        <v>57</v>
      </c>
      <c r="H1133" t="s">
        <v>13</v>
      </c>
      <c r="I1133">
        <v>1</v>
      </c>
      <c r="J1133" s="6">
        <v>50</v>
      </c>
      <c r="K1133">
        <v>48.5</v>
      </c>
      <c r="L1133">
        <v>50</v>
      </c>
      <c r="M1133" t="str">
        <f>IF(OR(I1133="",J1133="",L1133=""),"Incomplete","Complete")</f>
        <v>Complete</v>
      </c>
      <c r="N1133" t="str">
        <f>IF(M1133="Incomplete","Not checked",IF(ROUND(I1133*J1133,2)=ROUND(L1133,2),"Valid","Mismatch"))</f>
        <v>Valid</v>
      </c>
      <c r="O1133">
        <f t="shared" si="35"/>
        <v>1.5</v>
      </c>
    </row>
    <row r="1134" spans="1:15">
      <c r="A1134">
        <v>1349</v>
      </c>
      <c r="B1134" t="str">
        <f t="shared" si="34"/>
        <v>2023-12</v>
      </c>
      <c r="C1134" s="1">
        <v>45268</v>
      </c>
      <c r="D1134" s="5">
        <v>0.9145833333333333</v>
      </c>
      <c r="E1134">
        <v>112</v>
      </c>
      <c r="F1134" t="s">
        <v>14</v>
      </c>
      <c r="G1134">
        <v>57</v>
      </c>
      <c r="H1134" t="s">
        <v>13</v>
      </c>
      <c r="I1134">
        <v>1</v>
      </c>
      <c r="J1134" s="6">
        <v>50</v>
      </c>
      <c r="K1134">
        <v>49.5</v>
      </c>
      <c r="L1134">
        <v>50</v>
      </c>
      <c r="M1134" t="str">
        <f>IF(OR(I1134="",J1134="",L1134=""),"Incomplete","Complete")</f>
        <v>Complete</v>
      </c>
      <c r="N1134" t="str">
        <f>IF(M1134="Incomplete","Not checked",IF(ROUND(I1134*J1134,2)=ROUND(L1134,2),"Valid","Mismatch"))</f>
        <v>Valid</v>
      </c>
      <c r="O1134">
        <f t="shared" si="35"/>
        <v>0.5</v>
      </c>
    </row>
    <row r="1135" spans="1:15">
      <c r="A1135">
        <v>324</v>
      </c>
      <c r="B1135" t="str">
        <f t="shared" si="34"/>
        <v>2022-11</v>
      </c>
      <c r="C1135" s="1">
        <v>44880</v>
      </c>
      <c r="D1135" s="5">
        <v>0.74444444444444446</v>
      </c>
      <c r="E1135">
        <v>54</v>
      </c>
      <c r="F1135" t="s">
        <v>14</v>
      </c>
      <c r="G1135">
        <v>52</v>
      </c>
      <c r="H1135" t="s">
        <v>15</v>
      </c>
      <c r="I1135">
        <v>3</v>
      </c>
      <c r="J1135" s="6">
        <v>50</v>
      </c>
      <c r="K1135">
        <v>49</v>
      </c>
      <c r="L1135">
        <v>150</v>
      </c>
      <c r="M1135" t="str">
        <f>IF(OR(I1135="",J1135="",L1135=""),"Incomplete","Complete")</f>
        <v>Complete</v>
      </c>
      <c r="N1135" t="str">
        <f>IF(M1135="Incomplete","Not checked",IF(ROUND(I1135*J1135,2)=ROUND(L1135,2),"Valid","Mismatch"))</f>
        <v>Valid</v>
      </c>
      <c r="O1135">
        <f t="shared" si="35"/>
        <v>101</v>
      </c>
    </row>
    <row r="1136" spans="1:15">
      <c r="A1136">
        <v>1324</v>
      </c>
      <c r="B1136" t="str">
        <f t="shared" si="34"/>
        <v>2023-09</v>
      </c>
      <c r="C1136" s="1">
        <v>45194</v>
      </c>
      <c r="D1136" s="5">
        <v>0.85347222222222219</v>
      </c>
      <c r="E1136">
        <v>56</v>
      </c>
      <c r="F1136" t="s">
        <v>14</v>
      </c>
      <c r="G1136">
        <v>52</v>
      </c>
      <c r="H1136" t="s">
        <v>15</v>
      </c>
      <c r="I1136">
        <v>3</v>
      </c>
      <c r="J1136" s="6">
        <v>50</v>
      </c>
      <c r="K1136">
        <v>55</v>
      </c>
      <c r="L1136">
        <v>150</v>
      </c>
      <c r="M1136" t="str">
        <f>IF(OR(I1136="",J1136="",L1136=""),"Incomplete","Complete")</f>
        <v>Complete</v>
      </c>
      <c r="N1136" t="str">
        <f>IF(M1136="Incomplete","Not checked",IF(ROUND(I1136*J1136,2)=ROUND(L1136,2),"Valid","Mismatch"))</f>
        <v>Valid</v>
      </c>
      <c r="O1136">
        <f t="shared" si="35"/>
        <v>95</v>
      </c>
    </row>
    <row r="1137" spans="1:15">
      <c r="A1137">
        <v>226</v>
      </c>
      <c r="B1137" t="str">
        <f t="shared" si="34"/>
        <v>2022-09</v>
      </c>
      <c r="C1137" s="1">
        <v>44827</v>
      </c>
      <c r="D1137" s="5">
        <v>0.70972222222222225</v>
      </c>
      <c r="E1137">
        <v>69</v>
      </c>
      <c r="F1137" t="s">
        <v>14</v>
      </c>
      <c r="G1137">
        <v>61</v>
      </c>
      <c r="H1137" t="s">
        <v>12</v>
      </c>
      <c r="I1137">
        <v>1</v>
      </c>
      <c r="J1137" s="6">
        <v>50</v>
      </c>
      <c r="K1137">
        <v>57.5</v>
      </c>
      <c r="L1137">
        <v>50</v>
      </c>
      <c r="M1137" t="str">
        <f>IF(OR(I1137="",J1137="",L1137=""),"Incomplete","Complete")</f>
        <v>Complete</v>
      </c>
      <c r="N1137" t="str">
        <f>IF(M1137="Incomplete","Not checked",IF(ROUND(I1137*J1137,2)=ROUND(L1137,2),"Valid","Mismatch"))</f>
        <v>Valid</v>
      </c>
      <c r="O1137">
        <f t="shared" si="35"/>
        <v>-7.5</v>
      </c>
    </row>
    <row r="1138" spans="1:15">
      <c r="A1138">
        <v>1226</v>
      </c>
      <c r="B1138" t="str">
        <f t="shared" si="34"/>
        <v>2023-11</v>
      </c>
      <c r="C1138" s="1">
        <v>45260</v>
      </c>
      <c r="D1138" s="5">
        <v>0.74444444444444446</v>
      </c>
      <c r="E1138">
        <v>102</v>
      </c>
      <c r="F1138" t="s">
        <v>14</v>
      </c>
      <c r="G1138">
        <v>61</v>
      </c>
      <c r="H1138" t="s">
        <v>12</v>
      </c>
      <c r="I1138">
        <v>1</v>
      </c>
      <c r="J1138" s="6">
        <v>50</v>
      </c>
      <c r="K1138">
        <v>51</v>
      </c>
      <c r="L1138">
        <v>50</v>
      </c>
      <c r="M1138" t="str">
        <f>IF(OR(I1138="",J1138="",L1138=""),"Incomplete","Complete")</f>
        <v>Complete</v>
      </c>
      <c r="N1138" t="str">
        <f>IF(M1138="Incomplete","Not checked",IF(ROUND(I1138*J1138,2)=ROUND(L1138,2),"Valid","Mismatch"))</f>
        <v>Valid</v>
      </c>
      <c r="O1138">
        <f t="shared" si="35"/>
        <v>-1</v>
      </c>
    </row>
    <row r="1139" spans="1:15">
      <c r="A1139">
        <v>817</v>
      </c>
      <c r="B1139" t="str">
        <f t="shared" si="34"/>
        <v>2022-10</v>
      </c>
      <c r="C1139" s="1">
        <v>44839</v>
      </c>
      <c r="D1139" s="5">
        <v>0.8833333333333333</v>
      </c>
      <c r="E1139">
        <v>87</v>
      </c>
      <c r="F1139" t="s">
        <v>11</v>
      </c>
      <c r="G1139">
        <v>30</v>
      </c>
      <c r="H1139" t="s">
        <v>13</v>
      </c>
      <c r="I1139">
        <v>4</v>
      </c>
      <c r="J1139" s="6">
        <v>50</v>
      </c>
      <c r="K1139">
        <v>49</v>
      </c>
      <c r="L1139">
        <v>200</v>
      </c>
      <c r="M1139" t="str">
        <f>IF(OR(I1139="",J1139="",L1139=""),"Incomplete","Complete")</f>
        <v>Complete</v>
      </c>
      <c r="N1139" t="str">
        <f>IF(M1139="Incomplete","Not checked",IF(ROUND(I1139*J1139,2)=ROUND(L1139,2),"Valid","Mismatch"))</f>
        <v>Valid</v>
      </c>
      <c r="O1139">
        <f t="shared" si="35"/>
        <v>151</v>
      </c>
    </row>
    <row r="1140" spans="1:15">
      <c r="A1140">
        <v>1817</v>
      </c>
      <c r="B1140" t="str">
        <f t="shared" si="34"/>
        <v>2022-09</v>
      </c>
      <c r="C1140" s="1">
        <v>44815</v>
      </c>
      <c r="D1140" s="5">
        <v>0.89027777777777772</v>
      </c>
      <c r="E1140">
        <v>82</v>
      </c>
      <c r="F1140" t="s">
        <v>11</v>
      </c>
      <c r="G1140">
        <v>30</v>
      </c>
      <c r="H1140" t="s">
        <v>13</v>
      </c>
      <c r="I1140">
        <v>4</v>
      </c>
      <c r="J1140" s="6">
        <v>50</v>
      </c>
      <c r="K1140">
        <v>50</v>
      </c>
      <c r="L1140">
        <v>200</v>
      </c>
      <c r="M1140" t="str">
        <f>IF(OR(I1140="",J1140="",L1140=""),"Incomplete","Complete")</f>
        <v>Complete</v>
      </c>
      <c r="N1140" t="str">
        <f>IF(M1140="Incomplete","Not checked",IF(ROUND(I1140*J1140,2)=ROUND(L1140,2),"Valid","Mismatch"))</f>
        <v>Valid</v>
      </c>
      <c r="O1140">
        <f t="shared" si="35"/>
        <v>150</v>
      </c>
    </row>
    <row r="1141" spans="1:15">
      <c r="A1141">
        <v>628</v>
      </c>
      <c r="B1141" t="str">
        <f t="shared" si="34"/>
        <v>2023-12</v>
      </c>
      <c r="C1141" s="1">
        <v>45283</v>
      </c>
      <c r="D1141" s="5">
        <v>0.75</v>
      </c>
      <c r="E1141">
        <v>66</v>
      </c>
      <c r="F1141" t="s">
        <v>14</v>
      </c>
      <c r="G1141">
        <v>19</v>
      </c>
      <c r="H1141" t="s">
        <v>13</v>
      </c>
      <c r="I1141">
        <v>4</v>
      </c>
      <c r="J1141" s="6">
        <v>50</v>
      </c>
      <c r="K1141">
        <v>59.5</v>
      </c>
      <c r="L1141">
        <v>200</v>
      </c>
      <c r="M1141" t="str">
        <f>IF(OR(I1141="",J1141="",L1141=""),"Incomplete","Complete")</f>
        <v>Complete</v>
      </c>
      <c r="N1141" t="str">
        <f>IF(M1141="Incomplete","Not checked",IF(ROUND(I1141*J1141,2)=ROUND(L1141,2),"Valid","Mismatch"))</f>
        <v>Valid</v>
      </c>
      <c r="O1141">
        <f t="shared" si="35"/>
        <v>140.5</v>
      </c>
    </row>
    <row r="1142" spans="1:15">
      <c r="A1142">
        <v>1628</v>
      </c>
      <c r="B1142" t="str">
        <f t="shared" si="34"/>
        <v>2022-12</v>
      </c>
      <c r="C1142" s="1">
        <v>44923</v>
      </c>
      <c r="D1142" s="5">
        <v>0.93263888888888891</v>
      </c>
      <c r="E1142">
        <v>51</v>
      </c>
      <c r="F1142" t="s">
        <v>14</v>
      </c>
      <c r="G1142">
        <v>19</v>
      </c>
      <c r="H1142" t="s">
        <v>13</v>
      </c>
      <c r="I1142">
        <v>4</v>
      </c>
      <c r="J1142" s="6">
        <v>50</v>
      </c>
      <c r="K1142">
        <v>58.5</v>
      </c>
      <c r="L1142">
        <v>200</v>
      </c>
      <c r="M1142" t="str">
        <f>IF(OR(I1142="",J1142="",L1142=""),"Incomplete","Complete")</f>
        <v>Complete</v>
      </c>
      <c r="N1142" t="str">
        <f>IF(M1142="Incomplete","Not checked",IF(ROUND(I1142*J1142,2)=ROUND(L1142,2),"Valid","Mismatch"))</f>
        <v>Valid</v>
      </c>
      <c r="O1142">
        <f t="shared" si="35"/>
        <v>141.5</v>
      </c>
    </row>
    <row r="1143" spans="1:15">
      <c r="A1143">
        <v>141</v>
      </c>
      <c r="B1143" t="str">
        <f t="shared" si="34"/>
        <v>2022-11</v>
      </c>
      <c r="C1143" s="1">
        <v>44866</v>
      </c>
      <c r="D1143" s="5">
        <v>0.80972222222222223</v>
      </c>
      <c r="E1143">
        <v>54</v>
      </c>
      <c r="F1143" t="s">
        <v>14</v>
      </c>
      <c r="G1143">
        <v>22</v>
      </c>
      <c r="H1143" t="s">
        <v>15</v>
      </c>
      <c r="I1143">
        <v>1</v>
      </c>
      <c r="J1143" s="6">
        <v>50</v>
      </c>
      <c r="K1143">
        <v>59</v>
      </c>
      <c r="L1143">
        <v>50</v>
      </c>
      <c r="M1143" t="str">
        <f>IF(OR(I1143="",J1143="",L1143=""),"Incomplete","Complete")</f>
        <v>Complete</v>
      </c>
      <c r="N1143" t="str">
        <f>IF(M1143="Incomplete","Not checked",IF(ROUND(I1143*J1143,2)=ROUND(L1143,2),"Valid","Mismatch"))</f>
        <v>Valid</v>
      </c>
      <c r="O1143">
        <f t="shared" si="35"/>
        <v>-9</v>
      </c>
    </row>
    <row r="1144" spans="1:15">
      <c r="A1144">
        <v>951</v>
      </c>
      <c r="B1144" t="str">
        <f t="shared" si="34"/>
        <v>2022-09</v>
      </c>
      <c r="C1144" s="1">
        <v>44822</v>
      </c>
      <c r="D1144" s="5">
        <v>0.89930555555555558</v>
      </c>
      <c r="E1144">
        <v>58</v>
      </c>
      <c r="F1144" t="s">
        <v>11</v>
      </c>
      <c r="G1144">
        <v>33</v>
      </c>
      <c r="H1144" t="s">
        <v>13</v>
      </c>
      <c r="I1144">
        <v>2</v>
      </c>
      <c r="J1144" s="6">
        <v>50</v>
      </c>
      <c r="K1144">
        <v>57.5</v>
      </c>
      <c r="L1144">
        <v>100</v>
      </c>
      <c r="M1144" t="str">
        <f>IF(OR(I1144="",J1144="",L1144=""),"Incomplete","Complete")</f>
        <v>Complete</v>
      </c>
      <c r="N1144" t="str">
        <f>IF(M1144="Incomplete","Not checked",IF(ROUND(I1144*J1144,2)=ROUND(L1144,2),"Valid","Mismatch"))</f>
        <v>Valid</v>
      </c>
      <c r="O1144">
        <f t="shared" si="35"/>
        <v>42.5</v>
      </c>
    </row>
    <row r="1145" spans="1:15">
      <c r="A1145">
        <v>1141</v>
      </c>
      <c r="B1145" t="str">
        <f t="shared" si="34"/>
        <v>2023-09</v>
      </c>
      <c r="C1145" s="1">
        <v>45186</v>
      </c>
      <c r="D1145" s="5">
        <v>0.80069444444444449</v>
      </c>
      <c r="E1145">
        <v>65</v>
      </c>
      <c r="F1145" t="s">
        <v>14</v>
      </c>
      <c r="G1145">
        <v>22</v>
      </c>
      <c r="H1145" t="s">
        <v>15</v>
      </c>
      <c r="I1145">
        <v>1</v>
      </c>
      <c r="J1145" s="6">
        <v>50</v>
      </c>
      <c r="K1145">
        <v>58</v>
      </c>
      <c r="L1145">
        <v>50</v>
      </c>
      <c r="M1145" t="str">
        <f>IF(OR(I1145="",J1145="",L1145=""),"Incomplete","Complete")</f>
        <v>Complete</v>
      </c>
      <c r="N1145" t="str">
        <f>IF(M1145="Incomplete","Not checked",IF(ROUND(I1145*J1145,2)=ROUND(L1145,2),"Valid","Mismatch"))</f>
        <v>Valid</v>
      </c>
      <c r="O1145">
        <f t="shared" si="35"/>
        <v>-8</v>
      </c>
    </row>
    <row r="1146" spans="1:15">
      <c r="A1146">
        <v>1951</v>
      </c>
      <c r="B1146" t="str">
        <f t="shared" si="34"/>
        <v>2022-12</v>
      </c>
      <c r="C1146" s="1">
        <v>44898</v>
      </c>
      <c r="D1146" s="5">
        <v>0.78888888888888886</v>
      </c>
      <c r="E1146">
        <v>54</v>
      </c>
      <c r="F1146" t="s">
        <v>11</v>
      </c>
      <c r="G1146">
        <v>33</v>
      </c>
      <c r="H1146" t="s">
        <v>13</v>
      </c>
      <c r="I1146">
        <v>2</v>
      </c>
      <c r="J1146" s="6">
        <v>50</v>
      </c>
      <c r="K1146">
        <v>59.5</v>
      </c>
      <c r="L1146">
        <v>100</v>
      </c>
      <c r="M1146" t="str">
        <f>IF(OR(I1146="",J1146="",L1146=""),"Incomplete","Complete")</f>
        <v>Complete</v>
      </c>
      <c r="N1146" t="str">
        <f>IF(M1146="Incomplete","Not checked",IF(ROUND(I1146*J1146,2)=ROUND(L1146,2),"Valid","Mismatch"))</f>
        <v>Valid</v>
      </c>
      <c r="O1146">
        <f t="shared" si="35"/>
        <v>40.5</v>
      </c>
    </row>
    <row r="1147" spans="1:15">
      <c r="A1147">
        <v>965</v>
      </c>
      <c r="B1147" t="str">
        <f t="shared" si="34"/>
        <v>2022-11</v>
      </c>
      <c r="C1147" s="1">
        <v>44892</v>
      </c>
      <c r="D1147" s="5">
        <v>0.90625</v>
      </c>
      <c r="E1147">
        <v>84</v>
      </c>
      <c r="F1147" t="s">
        <v>11</v>
      </c>
      <c r="G1147">
        <v>22</v>
      </c>
      <c r="H1147" t="s">
        <v>12</v>
      </c>
      <c r="I1147">
        <v>4</v>
      </c>
      <c r="J1147" s="6">
        <v>50</v>
      </c>
      <c r="K1147">
        <v>13</v>
      </c>
      <c r="L1147">
        <v>200</v>
      </c>
      <c r="M1147" t="str">
        <f>IF(OR(I1147="",J1147="",L1147=""),"Incomplete","Complete")</f>
        <v>Complete</v>
      </c>
      <c r="N1147" t="str">
        <f>IF(M1147="Incomplete","Not checked",IF(ROUND(I1147*J1147,2)=ROUND(L1147,2),"Valid","Mismatch"))</f>
        <v>Valid</v>
      </c>
      <c r="O1147">
        <f t="shared" si="35"/>
        <v>187</v>
      </c>
    </row>
    <row r="1148" spans="1:15">
      <c r="A1148">
        <v>1965</v>
      </c>
      <c r="B1148" t="str">
        <f t="shared" si="34"/>
        <v>2022-12</v>
      </c>
      <c r="C1148" s="1">
        <v>44907</v>
      </c>
      <c r="D1148" s="5">
        <v>0.8354166666666667</v>
      </c>
      <c r="E1148">
        <v>93</v>
      </c>
      <c r="F1148" t="s">
        <v>11</v>
      </c>
      <c r="G1148">
        <v>22</v>
      </c>
      <c r="H1148" t="s">
        <v>12</v>
      </c>
      <c r="I1148">
        <v>4</v>
      </c>
      <c r="J1148" s="6">
        <v>50</v>
      </c>
      <c r="K1148">
        <v>21.5</v>
      </c>
      <c r="L1148">
        <v>200</v>
      </c>
      <c r="M1148" t="str">
        <f>IF(OR(I1148="",J1148="",L1148=""),"Incomplete","Complete")</f>
        <v>Complete</v>
      </c>
      <c r="N1148" t="str">
        <f>IF(M1148="Incomplete","Not checked",IF(ROUND(I1148*J1148,2)=ROUND(L1148,2),"Valid","Mismatch"))</f>
        <v>Valid</v>
      </c>
      <c r="O1148">
        <f t="shared" si="35"/>
        <v>178.5</v>
      </c>
    </row>
    <row r="1149" spans="1:15">
      <c r="A1149">
        <v>554</v>
      </c>
      <c r="B1149" t="str">
        <f t="shared" si="34"/>
        <v>2022-12</v>
      </c>
      <c r="C1149" s="1">
        <v>44901</v>
      </c>
      <c r="D1149" s="5">
        <v>0.87777777777777777</v>
      </c>
      <c r="E1149">
        <v>94</v>
      </c>
      <c r="F1149" t="s">
        <v>14</v>
      </c>
      <c r="G1149">
        <v>46</v>
      </c>
      <c r="H1149" t="s">
        <v>13</v>
      </c>
      <c r="I1149">
        <v>3</v>
      </c>
      <c r="J1149" s="6">
        <v>50</v>
      </c>
      <c r="K1149">
        <v>13</v>
      </c>
      <c r="L1149">
        <v>150</v>
      </c>
      <c r="M1149" t="str">
        <f>IF(OR(I1149="",J1149="",L1149=""),"Incomplete","Complete")</f>
        <v>Complete</v>
      </c>
      <c r="N1149" t="str">
        <f>IF(M1149="Incomplete","Not checked",IF(ROUND(I1149*J1149,2)=ROUND(L1149,2),"Valid","Mismatch"))</f>
        <v>Valid</v>
      </c>
      <c r="O1149">
        <f t="shared" si="35"/>
        <v>137</v>
      </c>
    </row>
    <row r="1150" spans="1:15">
      <c r="A1150">
        <v>1554</v>
      </c>
      <c r="B1150" t="str">
        <f t="shared" si="34"/>
        <v>2023-11</v>
      </c>
      <c r="C1150" s="1">
        <v>45257</v>
      </c>
      <c r="D1150" s="5">
        <v>0.82986111111111116</v>
      </c>
      <c r="E1150">
        <v>83</v>
      </c>
      <c r="F1150" t="s">
        <v>14</v>
      </c>
      <c r="G1150">
        <v>46</v>
      </c>
      <c r="H1150" t="s">
        <v>13</v>
      </c>
      <c r="I1150">
        <v>3</v>
      </c>
      <c r="J1150" s="6">
        <v>50</v>
      </c>
      <c r="K1150">
        <v>15.5</v>
      </c>
      <c r="L1150">
        <v>150</v>
      </c>
      <c r="M1150" t="str">
        <f>IF(OR(I1150="",J1150="",L1150=""),"Incomplete","Complete")</f>
        <v>Complete</v>
      </c>
      <c r="N1150" t="str">
        <f>IF(M1150="Incomplete","Not checked",IF(ROUND(I1150*J1150,2)=ROUND(L1150,2),"Valid","Mismatch"))</f>
        <v>Valid</v>
      </c>
      <c r="O1150">
        <f t="shared" si="35"/>
        <v>134.5</v>
      </c>
    </row>
    <row r="1151" spans="1:15">
      <c r="A1151">
        <v>963</v>
      </c>
      <c r="B1151" t="str">
        <f t="shared" si="34"/>
        <v>2023-10</v>
      </c>
      <c r="C1151" s="1">
        <v>45218</v>
      </c>
      <c r="D1151" s="5">
        <v>0.76666666666666672</v>
      </c>
      <c r="E1151">
        <v>76</v>
      </c>
      <c r="F1151" t="s">
        <v>14</v>
      </c>
      <c r="G1151">
        <v>55</v>
      </c>
      <c r="H1151" t="s">
        <v>13</v>
      </c>
      <c r="I1151">
        <v>1</v>
      </c>
      <c r="J1151" s="6">
        <v>50</v>
      </c>
      <c r="K1151">
        <v>13</v>
      </c>
      <c r="L1151">
        <v>50</v>
      </c>
      <c r="M1151" t="str">
        <f>IF(OR(I1151="",J1151="",L1151=""),"Incomplete","Complete")</f>
        <v>Complete</v>
      </c>
      <c r="N1151" t="str">
        <f>IF(M1151="Incomplete","Not checked",IF(ROUND(I1151*J1151,2)=ROUND(L1151,2),"Valid","Mismatch"))</f>
        <v>Valid</v>
      </c>
      <c r="O1151">
        <f t="shared" si="35"/>
        <v>37</v>
      </c>
    </row>
    <row r="1152" spans="1:15">
      <c r="A1152">
        <v>1963</v>
      </c>
      <c r="B1152" t="str">
        <f t="shared" si="34"/>
        <v>2022-12</v>
      </c>
      <c r="C1152" s="1">
        <v>44907</v>
      </c>
      <c r="D1152" s="5">
        <v>0.87222222222222223</v>
      </c>
      <c r="E1152">
        <v>115</v>
      </c>
      <c r="F1152" t="s">
        <v>14</v>
      </c>
      <c r="G1152">
        <v>55</v>
      </c>
      <c r="H1152" t="s">
        <v>13</v>
      </c>
      <c r="I1152">
        <v>1</v>
      </c>
      <c r="J1152" s="6">
        <v>50</v>
      </c>
      <c r="K1152">
        <v>20.5</v>
      </c>
      <c r="L1152">
        <v>50</v>
      </c>
      <c r="M1152" t="str">
        <f>IF(OR(I1152="",J1152="",L1152=""),"Incomplete","Complete")</f>
        <v>Complete</v>
      </c>
      <c r="N1152" t="str">
        <f>IF(M1152="Incomplete","Not checked",IF(ROUND(I1152*J1152,2)=ROUND(L1152,2),"Valid","Mismatch"))</f>
        <v>Valid</v>
      </c>
      <c r="O1152">
        <f t="shared" si="35"/>
        <v>29.5</v>
      </c>
    </row>
    <row r="1153" spans="1:15">
      <c r="A1153">
        <v>599</v>
      </c>
      <c r="B1153" t="str">
        <f t="shared" si="34"/>
        <v>2023-12</v>
      </c>
      <c r="C1153" s="1">
        <v>45270</v>
      </c>
      <c r="D1153" s="5">
        <v>0.79652777777777772</v>
      </c>
      <c r="E1153">
        <v>82</v>
      </c>
      <c r="F1153" t="s">
        <v>14</v>
      </c>
      <c r="G1153">
        <v>28</v>
      </c>
      <c r="H1153" t="s">
        <v>13</v>
      </c>
      <c r="I1153">
        <v>2</v>
      </c>
      <c r="J1153" s="6">
        <v>50</v>
      </c>
      <c r="K1153">
        <v>24.5</v>
      </c>
      <c r="L1153">
        <v>100</v>
      </c>
      <c r="M1153" t="str">
        <f>IF(OR(I1153="",J1153="",L1153=""),"Incomplete","Complete")</f>
        <v>Complete</v>
      </c>
      <c r="N1153" t="str">
        <f>IF(M1153="Incomplete","Not checked",IF(ROUND(I1153*J1153,2)=ROUND(L1153,2),"Valid","Mismatch"))</f>
        <v>Valid</v>
      </c>
      <c r="O1153">
        <f t="shared" si="35"/>
        <v>75.5</v>
      </c>
    </row>
    <row r="1154" spans="1:15">
      <c r="A1154">
        <v>938</v>
      </c>
      <c r="B1154" t="str">
        <f t="shared" ref="B1154:B1217" si="36">TEXT(C1154,"yyyy-mm")</f>
        <v>2022-09</v>
      </c>
      <c r="C1154" s="1">
        <v>44820</v>
      </c>
      <c r="D1154" s="5">
        <v>0.74652777777777779</v>
      </c>
      <c r="E1154">
        <v>103</v>
      </c>
      <c r="F1154" t="s">
        <v>11</v>
      </c>
      <c r="G1154">
        <v>49</v>
      </c>
      <c r="H1154" t="s">
        <v>12</v>
      </c>
      <c r="I1154">
        <v>4</v>
      </c>
      <c r="J1154" s="6">
        <v>50</v>
      </c>
      <c r="K1154">
        <v>23</v>
      </c>
      <c r="L1154">
        <v>200</v>
      </c>
      <c r="M1154" t="str">
        <f>IF(OR(I1154="",J1154="",L1154=""),"Incomplete","Complete")</f>
        <v>Complete</v>
      </c>
      <c r="N1154" t="str">
        <f>IF(M1154="Incomplete","Not checked",IF(ROUND(I1154*J1154,2)=ROUND(L1154,2),"Valid","Mismatch"))</f>
        <v>Valid</v>
      </c>
      <c r="O1154">
        <f t="shared" ref="O1154:O1217" si="37">IF(M1154="Incomplete","",L1154-K1154)</f>
        <v>177</v>
      </c>
    </row>
    <row r="1155" spans="1:15">
      <c r="A1155">
        <v>1599</v>
      </c>
      <c r="B1155" t="str">
        <f t="shared" si="36"/>
        <v>2022-10</v>
      </c>
      <c r="C1155" s="1">
        <v>44858</v>
      </c>
      <c r="D1155" s="5">
        <v>0.72430555555555554</v>
      </c>
      <c r="E1155">
        <v>110</v>
      </c>
      <c r="F1155" t="s">
        <v>14</v>
      </c>
      <c r="G1155">
        <v>28</v>
      </c>
      <c r="H1155" t="s">
        <v>13</v>
      </c>
      <c r="I1155">
        <v>2</v>
      </c>
      <c r="J1155" s="6">
        <v>50</v>
      </c>
      <c r="K1155">
        <v>20.5</v>
      </c>
      <c r="L1155">
        <v>100</v>
      </c>
      <c r="M1155" t="str">
        <f>IF(OR(I1155="",J1155="",L1155=""),"Incomplete","Complete")</f>
        <v>Complete</v>
      </c>
      <c r="N1155" t="str">
        <f>IF(M1155="Incomplete","Not checked",IF(ROUND(I1155*J1155,2)=ROUND(L1155,2),"Valid","Mismatch"))</f>
        <v>Valid</v>
      </c>
      <c r="O1155">
        <f t="shared" si="37"/>
        <v>79.5</v>
      </c>
    </row>
    <row r="1156" spans="1:15">
      <c r="A1156">
        <v>1938</v>
      </c>
      <c r="B1156" t="str">
        <f t="shared" si="36"/>
        <v>2022-10</v>
      </c>
      <c r="C1156" s="1">
        <v>44846</v>
      </c>
      <c r="D1156" s="5">
        <v>0.84375</v>
      </c>
      <c r="E1156">
        <v>76</v>
      </c>
      <c r="F1156" t="s">
        <v>11</v>
      </c>
      <c r="G1156">
        <v>49</v>
      </c>
      <c r="H1156" t="s">
        <v>12</v>
      </c>
      <c r="I1156">
        <v>4</v>
      </c>
      <c r="J1156" s="6">
        <v>50</v>
      </c>
      <c r="K1156">
        <v>13.5</v>
      </c>
      <c r="L1156">
        <v>200</v>
      </c>
      <c r="M1156" t="str">
        <f>IF(OR(I1156="",J1156="",L1156=""),"Incomplete","Complete")</f>
        <v>Complete</v>
      </c>
      <c r="N1156" t="str">
        <f>IF(M1156="Incomplete","Not checked",IF(ROUND(I1156*J1156,2)=ROUND(L1156,2),"Valid","Mismatch"))</f>
        <v>Valid</v>
      </c>
      <c r="O1156">
        <f t="shared" si="37"/>
        <v>186.5</v>
      </c>
    </row>
    <row r="1157" spans="1:15">
      <c r="A1157">
        <v>410</v>
      </c>
      <c r="B1157" t="str">
        <f t="shared" si="36"/>
        <v>2023-10</v>
      </c>
      <c r="C1157" s="1">
        <v>45230</v>
      </c>
      <c r="D1157" s="5">
        <v>0.82013888888888886</v>
      </c>
      <c r="E1157">
        <v>64</v>
      </c>
      <c r="F1157" t="s">
        <v>14</v>
      </c>
      <c r="G1157">
        <v>29</v>
      </c>
      <c r="H1157" t="s">
        <v>12</v>
      </c>
      <c r="I1157">
        <v>2</v>
      </c>
      <c r="J1157" s="6">
        <v>50</v>
      </c>
      <c r="K1157">
        <v>14.5</v>
      </c>
      <c r="L1157">
        <v>100</v>
      </c>
      <c r="M1157" t="str">
        <f>IF(OR(I1157="",J1157="",L1157=""),"Incomplete","Complete")</f>
        <v>Complete</v>
      </c>
      <c r="N1157" t="str">
        <f>IF(M1157="Incomplete","Not checked",IF(ROUND(I1157*J1157,2)=ROUND(L1157,2),"Valid","Mismatch"))</f>
        <v>Valid</v>
      </c>
      <c r="O1157">
        <f t="shared" si="37"/>
        <v>85.5</v>
      </c>
    </row>
    <row r="1158" spans="1:15">
      <c r="A1158">
        <v>1410</v>
      </c>
      <c r="B1158" t="str">
        <f t="shared" si="36"/>
        <v>2022-10</v>
      </c>
      <c r="C1158" s="1">
        <v>44850</v>
      </c>
      <c r="D1158" s="5">
        <v>0.78263888888888888</v>
      </c>
      <c r="E1158">
        <v>72</v>
      </c>
      <c r="F1158" t="s">
        <v>14</v>
      </c>
      <c r="G1158">
        <v>29</v>
      </c>
      <c r="H1158" t="s">
        <v>12</v>
      </c>
      <c r="I1158">
        <v>2</v>
      </c>
      <c r="J1158" s="6">
        <v>50</v>
      </c>
      <c r="K1158">
        <v>22.5</v>
      </c>
      <c r="L1158">
        <v>100</v>
      </c>
      <c r="M1158" t="str">
        <f>IF(OR(I1158="",J1158="",L1158=""),"Incomplete","Complete")</f>
        <v>Complete</v>
      </c>
      <c r="N1158" t="str">
        <f>IF(M1158="Incomplete","Not checked",IF(ROUND(I1158*J1158,2)=ROUND(L1158,2),"Valid","Mismatch"))</f>
        <v>Valid</v>
      </c>
      <c r="O1158">
        <f t="shared" si="37"/>
        <v>77.5</v>
      </c>
    </row>
    <row r="1159" spans="1:15">
      <c r="A1159">
        <v>87</v>
      </c>
      <c r="B1159" t="str">
        <f t="shared" si="36"/>
        <v>2022-09</v>
      </c>
      <c r="C1159" s="1">
        <v>44811</v>
      </c>
      <c r="D1159" s="5">
        <v>0.75624999999999998</v>
      </c>
      <c r="E1159">
        <v>104</v>
      </c>
      <c r="F1159" t="s">
        <v>14</v>
      </c>
      <c r="G1159">
        <v>28</v>
      </c>
      <c r="H1159" t="s">
        <v>13</v>
      </c>
      <c r="I1159">
        <v>2</v>
      </c>
      <c r="J1159" s="6">
        <v>50</v>
      </c>
      <c r="K1159">
        <v>15.5</v>
      </c>
      <c r="L1159">
        <v>100</v>
      </c>
      <c r="M1159" t="str">
        <f>IF(OR(I1159="",J1159="",L1159=""),"Incomplete","Complete")</f>
        <v>Complete</v>
      </c>
      <c r="N1159" t="str">
        <f>IF(M1159="Incomplete","Not checked",IF(ROUND(I1159*J1159,2)=ROUND(L1159,2),"Valid","Mismatch"))</f>
        <v>Valid</v>
      </c>
      <c r="O1159">
        <f t="shared" si="37"/>
        <v>84.5</v>
      </c>
    </row>
    <row r="1160" spans="1:15">
      <c r="A1160">
        <v>1087</v>
      </c>
      <c r="B1160" t="str">
        <f t="shared" si="36"/>
        <v>2022-11</v>
      </c>
      <c r="C1160" s="1">
        <v>44873</v>
      </c>
      <c r="D1160" s="5">
        <v>0.95833333333333337</v>
      </c>
      <c r="E1160">
        <v>81</v>
      </c>
      <c r="F1160" t="s">
        <v>14</v>
      </c>
      <c r="G1160">
        <v>28</v>
      </c>
      <c r="H1160" t="s">
        <v>13</v>
      </c>
      <c r="I1160">
        <v>2</v>
      </c>
      <c r="J1160" s="6">
        <v>50</v>
      </c>
      <c r="K1160">
        <v>15</v>
      </c>
      <c r="L1160">
        <v>100</v>
      </c>
      <c r="M1160" t="str">
        <f>IF(OR(I1160="",J1160="",L1160=""),"Incomplete","Complete")</f>
        <v>Complete</v>
      </c>
      <c r="N1160" t="str">
        <f>IF(M1160="Incomplete","Not checked",IF(ROUND(I1160*J1160,2)=ROUND(L1160,2),"Valid","Mismatch"))</f>
        <v>Valid</v>
      </c>
      <c r="O1160">
        <f t="shared" si="37"/>
        <v>85</v>
      </c>
    </row>
    <row r="1161" spans="1:15">
      <c r="A1161">
        <v>1</v>
      </c>
      <c r="B1161" t="str">
        <f t="shared" si="36"/>
        <v>2022-12</v>
      </c>
      <c r="C1161" s="1">
        <v>44911</v>
      </c>
      <c r="D1161" s="5">
        <v>0.79861111111111116</v>
      </c>
      <c r="E1161">
        <v>50</v>
      </c>
      <c r="F1161" t="s">
        <v>11</v>
      </c>
      <c r="G1161">
        <v>34</v>
      </c>
      <c r="H1161" t="s">
        <v>13</v>
      </c>
      <c r="I1161">
        <v>3</v>
      </c>
      <c r="J1161" s="6">
        <v>50</v>
      </c>
      <c r="K1161">
        <v>16</v>
      </c>
      <c r="L1161">
        <v>150</v>
      </c>
      <c r="M1161" t="str">
        <f>IF(OR(I1161="",J1161="",L1161=""),"Incomplete","Complete")</f>
        <v>Complete</v>
      </c>
      <c r="N1161" t="str">
        <f>IF(M1161="Incomplete","Not checked",IF(ROUND(I1161*J1161,2)=ROUND(L1161,2),"Valid","Mismatch"))</f>
        <v>Valid</v>
      </c>
      <c r="O1161">
        <f t="shared" si="37"/>
        <v>134</v>
      </c>
    </row>
    <row r="1162" spans="1:15">
      <c r="A1162">
        <v>1001</v>
      </c>
      <c r="B1162" t="str">
        <f t="shared" si="36"/>
        <v>2023-09</v>
      </c>
      <c r="C1162" s="1">
        <v>45170</v>
      </c>
      <c r="D1162" s="5">
        <v>0.84097222222222223</v>
      </c>
      <c r="E1162">
        <v>99</v>
      </c>
      <c r="F1162" t="s">
        <v>11</v>
      </c>
      <c r="G1162">
        <v>34</v>
      </c>
      <c r="H1162" t="s">
        <v>13</v>
      </c>
      <c r="I1162">
        <v>3</v>
      </c>
      <c r="J1162" s="6">
        <v>50</v>
      </c>
      <c r="K1162">
        <v>22</v>
      </c>
      <c r="L1162">
        <v>150</v>
      </c>
      <c r="M1162" t="str">
        <f>IF(OR(I1162="",J1162="",L1162=""),"Incomplete","Complete")</f>
        <v>Complete</v>
      </c>
      <c r="N1162" t="str">
        <f>IF(M1162="Incomplete","Not checked",IF(ROUND(I1162*J1162,2)=ROUND(L1162,2),"Valid","Mismatch"))</f>
        <v>Valid</v>
      </c>
      <c r="O1162">
        <f t="shared" si="37"/>
        <v>128</v>
      </c>
    </row>
    <row r="1163" spans="1:15">
      <c r="A1163">
        <v>258</v>
      </c>
      <c r="B1163" t="str">
        <f t="shared" si="36"/>
        <v>2023-12</v>
      </c>
      <c r="C1163" s="1">
        <v>45289</v>
      </c>
      <c r="D1163" s="5">
        <v>0.73611111111111116</v>
      </c>
      <c r="E1163">
        <v>109</v>
      </c>
      <c r="F1163" t="s">
        <v>14</v>
      </c>
      <c r="G1163">
        <v>37</v>
      </c>
      <c r="H1163" t="s">
        <v>12</v>
      </c>
      <c r="I1163">
        <v>1</v>
      </c>
      <c r="J1163" s="6">
        <v>50</v>
      </c>
      <c r="K1163">
        <v>22</v>
      </c>
      <c r="L1163">
        <v>50</v>
      </c>
      <c r="M1163" t="str">
        <f>IF(OR(I1163="",J1163="",L1163=""),"Incomplete","Complete")</f>
        <v>Complete</v>
      </c>
      <c r="N1163" t="str">
        <f>IF(M1163="Incomplete","Not checked",IF(ROUND(I1163*J1163,2)=ROUND(L1163,2),"Valid","Mismatch"))</f>
        <v>Valid</v>
      </c>
      <c r="O1163">
        <f t="shared" si="37"/>
        <v>28</v>
      </c>
    </row>
    <row r="1164" spans="1:15">
      <c r="A1164">
        <v>576</v>
      </c>
      <c r="B1164" t="str">
        <f t="shared" si="36"/>
        <v>2023-12</v>
      </c>
      <c r="C1164" s="1">
        <v>45285</v>
      </c>
      <c r="D1164" s="5">
        <v>0.72916666666666663</v>
      </c>
      <c r="E1164">
        <v>113</v>
      </c>
      <c r="F1164" t="s">
        <v>14</v>
      </c>
      <c r="G1164">
        <v>33</v>
      </c>
      <c r="H1164" t="s">
        <v>13</v>
      </c>
      <c r="I1164">
        <v>3</v>
      </c>
      <c r="J1164" s="6">
        <v>50</v>
      </c>
      <c r="K1164">
        <v>20</v>
      </c>
      <c r="L1164">
        <v>150</v>
      </c>
      <c r="M1164" t="str">
        <f>IF(OR(I1164="",J1164="",L1164=""),"Incomplete","Complete")</f>
        <v>Complete</v>
      </c>
      <c r="N1164" t="str">
        <f>IF(M1164="Incomplete","Not checked",IF(ROUND(I1164*J1164,2)=ROUND(L1164,2),"Valid","Mismatch"))</f>
        <v>Valid</v>
      </c>
      <c r="O1164">
        <f t="shared" si="37"/>
        <v>130</v>
      </c>
    </row>
    <row r="1165" spans="1:15">
      <c r="A1165">
        <v>1258</v>
      </c>
      <c r="B1165" t="str">
        <f t="shared" si="36"/>
        <v>2022-12</v>
      </c>
      <c r="C1165" s="1">
        <v>44898</v>
      </c>
      <c r="D1165" s="5">
        <v>0.8520833333333333</v>
      </c>
      <c r="E1165">
        <v>64</v>
      </c>
      <c r="F1165" t="s">
        <v>14</v>
      </c>
      <c r="G1165">
        <v>37</v>
      </c>
      <c r="H1165" t="s">
        <v>12</v>
      </c>
      <c r="I1165">
        <v>1</v>
      </c>
      <c r="J1165" s="6">
        <v>50</v>
      </c>
      <c r="K1165">
        <v>21.5</v>
      </c>
      <c r="L1165">
        <v>50</v>
      </c>
      <c r="M1165" t="str">
        <f>IF(OR(I1165="",J1165="",L1165=""),"Incomplete","Complete")</f>
        <v>Complete</v>
      </c>
      <c r="N1165" t="str">
        <f>IF(M1165="Incomplete","Not checked",IF(ROUND(I1165*J1165,2)=ROUND(L1165,2),"Valid","Mismatch"))</f>
        <v>Valid</v>
      </c>
      <c r="O1165">
        <f t="shared" si="37"/>
        <v>28.5</v>
      </c>
    </row>
    <row r="1166" spans="1:15">
      <c r="A1166">
        <v>1576</v>
      </c>
      <c r="B1166" t="str">
        <f t="shared" si="36"/>
        <v>2022-12</v>
      </c>
      <c r="C1166" s="1">
        <v>44909</v>
      </c>
      <c r="D1166" s="5">
        <v>0.77361111111111114</v>
      </c>
      <c r="E1166">
        <v>108</v>
      </c>
      <c r="F1166" t="s">
        <v>14</v>
      </c>
      <c r="G1166">
        <v>33</v>
      </c>
      <c r="H1166" t="s">
        <v>13</v>
      </c>
      <c r="I1166">
        <v>3</v>
      </c>
      <c r="J1166" s="6">
        <v>50</v>
      </c>
      <c r="K1166">
        <v>27.5</v>
      </c>
      <c r="L1166">
        <v>150</v>
      </c>
      <c r="M1166" t="str">
        <f>IF(OR(I1166="",J1166="",L1166=""),"Incomplete","Complete")</f>
        <v>Complete</v>
      </c>
      <c r="N1166" t="str">
        <f>IF(M1166="Incomplete","Not checked",IF(ROUND(I1166*J1166,2)=ROUND(L1166,2),"Valid","Mismatch"))</f>
        <v>Valid</v>
      </c>
      <c r="O1166">
        <f t="shared" si="37"/>
        <v>122.5</v>
      </c>
    </row>
    <row r="1167" spans="1:15">
      <c r="A1167">
        <v>971</v>
      </c>
      <c r="B1167" t="str">
        <f t="shared" si="36"/>
        <v>2023-12</v>
      </c>
      <c r="C1167" s="1">
        <v>45290</v>
      </c>
      <c r="D1167" s="5">
        <v>0.70138888888888884</v>
      </c>
      <c r="E1167">
        <v>64</v>
      </c>
      <c r="F1167" t="s">
        <v>14</v>
      </c>
      <c r="G1167">
        <v>27</v>
      </c>
      <c r="H1167" t="s">
        <v>15</v>
      </c>
      <c r="I1167">
        <v>4</v>
      </c>
      <c r="J1167" s="6">
        <v>50</v>
      </c>
      <c r="K1167">
        <v>26.5</v>
      </c>
      <c r="L1167">
        <v>200</v>
      </c>
      <c r="M1167" t="str">
        <f>IF(OR(I1167="",J1167="",L1167=""),"Incomplete","Complete")</f>
        <v>Complete</v>
      </c>
      <c r="N1167" t="str">
        <f>IF(M1167="Incomplete","Not checked",IF(ROUND(I1167*J1167,2)=ROUND(L1167,2),"Valid","Mismatch"))</f>
        <v>Valid</v>
      </c>
      <c r="O1167">
        <f t="shared" si="37"/>
        <v>173.5</v>
      </c>
    </row>
    <row r="1168" spans="1:15">
      <c r="A1168">
        <v>999</v>
      </c>
      <c r="B1168" t="str">
        <f t="shared" si="36"/>
        <v>2022-12</v>
      </c>
      <c r="C1168" s="1">
        <v>44909</v>
      </c>
      <c r="D1168" s="5">
        <v>0.69791666666666663</v>
      </c>
      <c r="E1168">
        <v>110</v>
      </c>
      <c r="F1168" t="s">
        <v>14</v>
      </c>
      <c r="G1168">
        <v>36</v>
      </c>
      <c r="H1168" t="s">
        <v>15</v>
      </c>
      <c r="I1168">
        <v>3</v>
      </c>
      <c r="J1168" s="6">
        <v>50</v>
      </c>
      <c r="K1168">
        <v>21.5</v>
      </c>
      <c r="L1168">
        <v>150</v>
      </c>
      <c r="M1168" t="str">
        <f>IF(OR(I1168="",J1168="",L1168=""),"Incomplete","Complete")</f>
        <v>Complete</v>
      </c>
      <c r="N1168" t="str">
        <f>IF(M1168="Incomplete","Not checked",IF(ROUND(I1168*J1168,2)=ROUND(L1168,2),"Valid","Mismatch"))</f>
        <v>Valid</v>
      </c>
      <c r="O1168">
        <f t="shared" si="37"/>
        <v>128.5</v>
      </c>
    </row>
    <row r="1169" spans="1:15">
      <c r="A1169">
        <v>1971</v>
      </c>
      <c r="B1169" t="str">
        <f t="shared" si="36"/>
        <v>2022-09</v>
      </c>
      <c r="C1169" s="1">
        <v>44816</v>
      </c>
      <c r="D1169" s="5">
        <v>0.67986111111111114</v>
      </c>
      <c r="E1169">
        <v>90</v>
      </c>
      <c r="F1169" t="s">
        <v>14</v>
      </c>
      <c r="G1169">
        <v>27</v>
      </c>
      <c r="H1169" t="s">
        <v>15</v>
      </c>
      <c r="I1169">
        <v>4</v>
      </c>
      <c r="J1169" s="6">
        <v>50</v>
      </c>
      <c r="K1169">
        <v>19</v>
      </c>
      <c r="L1169">
        <v>200</v>
      </c>
      <c r="M1169" t="str">
        <f>IF(OR(I1169="",J1169="",L1169=""),"Incomplete","Complete")</f>
        <v>Complete</v>
      </c>
      <c r="N1169" t="str">
        <f>IF(M1169="Incomplete","Not checked",IF(ROUND(I1169*J1169,2)=ROUND(L1169,2),"Valid","Mismatch"))</f>
        <v>Valid</v>
      </c>
      <c r="O1169">
        <f t="shared" si="37"/>
        <v>181</v>
      </c>
    </row>
    <row r="1170" spans="1:15">
      <c r="A1170">
        <v>1999</v>
      </c>
      <c r="B1170" t="str">
        <f t="shared" si="36"/>
        <v>2022-11</v>
      </c>
      <c r="C1170" s="1">
        <v>44877</v>
      </c>
      <c r="D1170" s="5">
        <v>0.54583333333333328</v>
      </c>
      <c r="E1170">
        <v>61</v>
      </c>
      <c r="F1170" t="s">
        <v>14</v>
      </c>
      <c r="G1170">
        <v>36</v>
      </c>
      <c r="H1170" t="s">
        <v>15</v>
      </c>
      <c r="I1170">
        <v>3</v>
      </c>
      <c r="J1170" s="6">
        <v>50</v>
      </c>
      <c r="K1170">
        <v>13</v>
      </c>
      <c r="L1170">
        <v>150</v>
      </c>
      <c r="M1170" t="str">
        <f>IF(OR(I1170="",J1170="",L1170=""),"Incomplete","Complete")</f>
        <v>Complete</v>
      </c>
      <c r="N1170" t="str">
        <f>IF(M1170="Incomplete","Not checked",IF(ROUND(I1170*J1170,2)=ROUND(L1170,2),"Valid","Mismatch"))</f>
        <v>Valid</v>
      </c>
      <c r="O1170">
        <f t="shared" si="37"/>
        <v>137</v>
      </c>
    </row>
    <row r="1171" spans="1:15">
      <c r="A1171">
        <v>244</v>
      </c>
      <c r="B1171" t="str">
        <f t="shared" si="36"/>
        <v>2023-09</v>
      </c>
      <c r="C1171" s="1">
        <v>45183</v>
      </c>
      <c r="D1171" s="5">
        <v>0.58125000000000004</v>
      </c>
      <c r="E1171">
        <v>101</v>
      </c>
      <c r="F1171" t="s">
        <v>11</v>
      </c>
      <c r="G1171">
        <v>28</v>
      </c>
      <c r="H1171" t="s">
        <v>13</v>
      </c>
      <c r="I1171">
        <v>2</v>
      </c>
      <c r="J1171" s="6">
        <v>50</v>
      </c>
      <c r="K1171">
        <v>20.5</v>
      </c>
      <c r="L1171">
        <v>100</v>
      </c>
      <c r="M1171" t="str">
        <f>IF(OR(I1171="",J1171="",L1171=""),"Incomplete","Complete")</f>
        <v>Complete</v>
      </c>
      <c r="N1171" t="str">
        <f>IF(M1171="Incomplete","Not checked",IF(ROUND(I1171*J1171,2)=ROUND(L1171,2),"Valid","Mismatch"))</f>
        <v>Valid</v>
      </c>
      <c r="O1171">
        <f t="shared" si="37"/>
        <v>79.5</v>
      </c>
    </row>
    <row r="1172" spans="1:15">
      <c r="A1172">
        <v>752</v>
      </c>
      <c r="B1172" t="str">
        <f t="shared" si="36"/>
        <v>2023-09</v>
      </c>
      <c r="C1172" s="1">
        <v>45189</v>
      </c>
      <c r="D1172" s="5">
        <v>0.67083333333333328</v>
      </c>
      <c r="E1172">
        <v>79</v>
      </c>
      <c r="F1172" t="s">
        <v>11</v>
      </c>
      <c r="G1172">
        <v>29</v>
      </c>
      <c r="H1172" t="s">
        <v>12</v>
      </c>
      <c r="I1172">
        <v>2</v>
      </c>
      <c r="J1172" s="6">
        <v>50</v>
      </c>
      <c r="K1172">
        <v>13</v>
      </c>
      <c r="L1172">
        <v>100</v>
      </c>
      <c r="M1172" t="str">
        <f>IF(OR(I1172="",J1172="",L1172=""),"Incomplete","Complete")</f>
        <v>Complete</v>
      </c>
      <c r="N1172" t="str">
        <f>IF(M1172="Incomplete","Not checked",IF(ROUND(I1172*J1172,2)=ROUND(L1172,2),"Valid","Mismatch"))</f>
        <v>Valid</v>
      </c>
      <c r="O1172">
        <f t="shared" si="37"/>
        <v>87</v>
      </c>
    </row>
    <row r="1173" spans="1:15">
      <c r="A1173">
        <v>1244</v>
      </c>
      <c r="B1173" t="str">
        <f t="shared" si="36"/>
        <v>2022-12</v>
      </c>
      <c r="C1173" s="1">
        <v>44906</v>
      </c>
      <c r="D1173" s="5">
        <v>0.69930555555555551</v>
      </c>
      <c r="E1173">
        <v>100</v>
      </c>
      <c r="F1173" t="s">
        <v>11</v>
      </c>
      <c r="G1173">
        <v>28</v>
      </c>
      <c r="H1173" t="s">
        <v>13</v>
      </c>
      <c r="I1173">
        <v>2</v>
      </c>
      <c r="J1173" s="6">
        <v>50</v>
      </c>
      <c r="K1173">
        <v>19.5</v>
      </c>
      <c r="L1173">
        <v>100</v>
      </c>
      <c r="M1173" t="str">
        <f>IF(OR(I1173="",J1173="",L1173=""),"Incomplete","Complete")</f>
        <v>Complete</v>
      </c>
      <c r="N1173" t="str">
        <f>IF(M1173="Incomplete","Not checked",IF(ROUND(I1173*J1173,2)=ROUND(L1173,2),"Valid","Mismatch"))</f>
        <v>Valid</v>
      </c>
      <c r="O1173">
        <f t="shared" si="37"/>
        <v>80.5</v>
      </c>
    </row>
    <row r="1174" spans="1:15">
      <c r="A1174">
        <v>1752</v>
      </c>
      <c r="B1174" t="str">
        <f t="shared" si="36"/>
        <v>2023-10</v>
      </c>
      <c r="C1174" s="1">
        <v>45220</v>
      </c>
      <c r="D1174" s="5">
        <v>0.54236111111111107</v>
      </c>
      <c r="E1174">
        <v>79</v>
      </c>
      <c r="F1174" t="s">
        <v>11</v>
      </c>
      <c r="G1174">
        <v>29</v>
      </c>
      <c r="H1174" t="s">
        <v>12</v>
      </c>
      <c r="I1174">
        <v>2</v>
      </c>
      <c r="J1174" s="6">
        <v>50</v>
      </c>
      <c r="K1174">
        <v>14.5</v>
      </c>
      <c r="L1174">
        <v>100</v>
      </c>
      <c r="M1174" t="str">
        <f>IF(OR(I1174="",J1174="",L1174=""),"Incomplete","Complete")</f>
        <v>Complete</v>
      </c>
      <c r="N1174" t="str">
        <f>IF(M1174="Incomplete","Not checked",IF(ROUND(I1174*J1174,2)=ROUND(L1174,2),"Valid","Mismatch"))</f>
        <v>Valid</v>
      </c>
      <c r="O1174">
        <f t="shared" si="37"/>
        <v>85.5</v>
      </c>
    </row>
    <row r="1175" spans="1:15">
      <c r="A1175">
        <v>526</v>
      </c>
      <c r="B1175" t="str">
        <f t="shared" si="36"/>
        <v>2022-11</v>
      </c>
      <c r="C1175" s="1">
        <v>44884</v>
      </c>
      <c r="D1175" s="5">
        <v>0.53263888888888888</v>
      </c>
      <c r="E1175">
        <v>65</v>
      </c>
      <c r="F1175" t="s">
        <v>11</v>
      </c>
      <c r="G1175">
        <v>33</v>
      </c>
      <c r="H1175" t="s">
        <v>12</v>
      </c>
      <c r="I1175">
        <v>2</v>
      </c>
      <c r="J1175" s="6">
        <v>50</v>
      </c>
      <c r="K1175">
        <v>19.5</v>
      </c>
      <c r="L1175">
        <v>100</v>
      </c>
      <c r="M1175" t="str">
        <f>IF(OR(I1175="",J1175="",L1175=""),"Incomplete","Complete")</f>
        <v>Complete</v>
      </c>
      <c r="N1175" t="str">
        <f>IF(M1175="Incomplete","Not checked",IF(ROUND(I1175*J1175,2)=ROUND(L1175,2),"Valid","Mismatch"))</f>
        <v>Valid</v>
      </c>
      <c r="O1175">
        <f t="shared" si="37"/>
        <v>80.5</v>
      </c>
    </row>
    <row r="1176" spans="1:15">
      <c r="A1176">
        <v>1526</v>
      </c>
      <c r="B1176" t="str">
        <f t="shared" si="36"/>
        <v>2022-09</v>
      </c>
      <c r="C1176" s="1">
        <v>44829</v>
      </c>
      <c r="D1176" s="5">
        <v>0.62916666666666665</v>
      </c>
      <c r="E1176">
        <v>84</v>
      </c>
      <c r="F1176" t="s">
        <v>11</v>
      </c>
      <c r="G1176">
        <v>33</v>
      </c>
      <c r="H1176" t="s">
        <v>12</v>
      </c>
      <c r="I1176">
        <v>2</v>
      </c>
      <c r="J1176" s="6">
        <v>50</v>
      </c>
      <c r="K1176">
        <v>26.5</v>
      </c>
      <c r="L1176">
        <v>100</v>
      </c>
      <c r="M1176" t="str">
        <f>IF(OR(I1176="",J1176="",L1176=""),"Incomplete","Complete")</f>
        <v>Complete</v>
      </c>
      <c r="N1176" t="str">
        <f>IF(M1176="Incomplete","Not checked",IF(ROUND(I1176*J1176,2)=ROUND(L1176,2),"Valid","Mismatch"))</f>
        <v>Valid</v>
      </c>
      <c r="O1176">
        <f t="shared" si="37"/>
        <v>73.5</v>
      </c>
    </row>
    <row r="1177" spans="1:15">
      <c r="A1177">
        <v>586</v>
      </c>
      <c r="B1177" t="str">
        <f t="shared" si="36"/>
        <v>2023-12</v>
      </c>
      <c r="C1177" s="1">
        <v>45280</v>
      </c>
      <c r="D1177" s="5">
        <v>0.62291666666666667</v>
      </c>
      <c r="E1177">
        <v>84</v>
      </c>
      <c r="F1177" t="s">
        <v>11</v>
      </c>
      <c r="G1177">
        <v>50</v>
      </c>
      <c r="H1177" t="s">
        <v>15</v>
      </c>
      <c r="I1177">
        <v>1</v>
      </c>
      <c r="J1177" s="6">
        <v>50</v>
      </c>
      <c r="K1177">
        <v>21.5</v>
      </c>
      <c r="L1177">
        <v>50</v>
      </c>
      <c r="M1177" t="str">
        <f>IF(OR(I1177="",J1177="",L1177=""),"Incomplete","Complete")</f>
        <v>Complete</v>
      </c>
      <c r="N1177" t="str">
        <f>IF(M1177="Incomplete","Not checked",IF(ROUND(I1177*J1177,2)=ROUND(L1177,2),"Valid","Mismatch"))</f>
        <v>Valid</v>
      </c>
      <c r="O1177">
        <f t="shared" si="37"/>
        <v>28.5</v>
      </c>
    </row>
    <row r="1178" spans="1:15">
      <c r="A1178">
        <v>1586</v>
      </c>
      <c r="B1178" t="str">
        <f t="shared" si="36"/>
        <v>2022-11</v>
      </c>
      <c r="C1178" s="1">
        <v>44869</v>
      </c>
      <c r="D1178" s="5">
        <v>0.68402777777777779</v>
      </c>
      <c r="E1178">
        <v>59</v>
      </c>
      <c r="F1178" t="s">
        <v>11</v>
      </c>
      <c r="G1178">
        <v>50</v>
      </c>
      <c r="H1178" t="s">
        <v>15</v>
      </c>
      <c r="I1178">
        <v>1</v>
      </c>
      <c r="J1178" s="6">
        <v>50</v>
      </c>
      <c r="K1178">
        <v>14</v>
      </c>
      <c r="L1178">
        <v>50</v>
      </c>
      <c r="M1178" t="str">
        <f>IF(OR(I1178="",J1178="",L1178=""),"Incomplete","Complete")</f>
        <v>Complete</v>
      </c>
      <c r="N1178" t="str">
        <f>IF(M1178="Incomplete","Not checked",IF(ROUND(I1178*J1178,2)=ROUND(L1178,2),"Valid","Mismatch"))</f>
        <v>Valid</v>
      </c>
      <c r="O1178">
        <f t="shared" si="37"/>
        <v>36</v>
      </c>
    </row>
    <row r="1179" spans="1:15">
      <c r="A1179">
        <v>336</v>
      </c>
      <c r="B1179" t="str">
        <f t="shared" si="36"/>
        <v>2023-11</v>
      </c>
      <c r="C1179" s="1">
        <v>45234</v>
      </c>
      <c r="D1179" s="5">
        <v>0.54513888888888884</v>
      </c>
      <c r="E1179">
        <v>67</v>
      </c>
      <c r="F1179" t="s">
        <v>14</v>
      </c>
      <c r="G1179">
        <v>52</v>
      </c>
      <c r="H1179" t="s">
        <v>13</v>
      </c>
      <c r="I1179">
        <v>3</v>
      </c>
      <c r="J1179" s="6">
        <v>50</v>
      </c>
      <c r="K1179">
        <v>25</v>
      </c>
      <c r="L1179">
        <v>150</v>
      </c>
      <c r="M1179" t="str">
        <f>IF(OR(I1179="",J1179="",L1179=""),"Incomplete","Complete")</f>
        <v>Complete</v>
      </c>
      <c r="N1179" t="str">
        <f>IF(M1179="Incomplete","Not checked",IF(ROUND(I1179*J1179,2)=ROUND(L1179,2),"Valid","Mismatch"))</f>
        <v>Valid</v>
      </c>
      <c r="O1179">
        <f t="shared" si="37"/>
        <v>125</v>
      </c>
    </row>
    <row r="1180" spans="1:15">
      <c r="A1180">
        <v>571</v>
      </c>
      <c r="B1180" t="str">
        <f t="shared" si="36"/>
        <v>2022-10</v>
      </c>
      <c r="C1180" s="1">
        <v>44854</v>
      </c>
      <c r="D1180" s="5">
        <v>0.53541666666666665</v>
      </c>
      <c r="E1180">
        <v>87</v>
      </c>
      <c r="F1180" t="s">
        <v>14</v>
      </c>
      <c r="G1180">
        <v>41</v>
      </c>
      <c r="H1180" t="s">
        <v>15</v>
      </c>
      <c r="I1180">
        <v>1</v>
      </c>
      <c r="J1180" s="6">
        <v>50</v>
      </c>
      <c r="K1180">
        <v>16</v>
      </c>
      <c r="L1180">
        <v>50</v>
      </c>
      <c r="M1180" t="str">
        <f>IF(OR(I1180="",J1180="",L1180=""),"Incomplete","Complete")</f>
        <v>Complete</v>
      </c>
      <c r="N1180" t="str">
        <f>IF(M1180="Incomplete","Not checked",IF(ROUND(I1180*J1180,2)=ROUND(L1180,2),"Valid","Mismatch"))</f>
        <v>Valid</v>
      </c>
      <c r="O1180">
        <f t="shared" si="37"/>
        <v>34</v>
      </c>
    </row>
    <row r="1181" spans="1:15">
      <c r="A1181">
        <v>1336</v>
      </c>
      <c r="B1181" t="str">
        <f t="shared" si="36"/>
        <v>2022-09</v>
      </c>
      <c r="C1181" s="1">
        <v>44827</v>
      </c>
      <c r="D1181" s="5">
        <v>0.56041666666666667</v>
      </c>
      <c r="E1181">
        <v>74</v>
      </c>
      <c r="F1181" t="s">
        <v>14</v>
      </c>
      <c r="G1181">
        <v>52</v>
      </c>
      <c r="H1181" t="s">
        <v>13</v>
      </c>
      <c r="I1181">
        <v>3</v>
      </c>
      <c r="J1181" s="6">
        <v>50</v>
      </c>
      <c r="K1181">
        <v>21.5</v>
      </c>
      <c r="L1181">
        <v>150</v>
      </c>
      <c r="M1181" t="str">
        <f>IF(OR(I1181="",J1181="",L1181=""),"Incomplete","Complete")</f>
        <v>Complete</v>
      </c>
      <c r="N1181" t="str">
        <f>IF(M1181="Incomplete","Not checked",IF(ROUND(I1181*J1181,2)=ROUND(L1181,2),"Valid","Mismatch"))</f>
        <v>Valid</v>
      </c>
      <c r="O1181">
        <f t="shared" si="37"/>
        <v>128.5</v>
      </c>
    </row>
    <row r="1182" spans="1:15">
      <c r="A1182">
        <v>1571</v>
      </c>
      <c r="B1182" t="str">
        <f t="shared" si="36"/>
        <v>2022-11</v>
      </c>
      <c r="C1182" s="1">
        <v>44873</v>
      </c>
      <c r="D1182" s="5">
        <v>0.62152777777777779</v>
      </c>
      <c r="E1182">
        <v>105</v>
      </c>
      <c r="F1182" t="s">
        <v>14</v>
      </c>
      <c r="G1182">
        <v>41</v>
      </c>
      <c r="H1182" t="s">
        <v>15</v>
      </c>
      <c r="I1182">
        <v>1</v>
      </c>
      <c r="J1182" s="6">
        <v>50</v>
      </c>
      <c r="K1182">
        <v>25</v>
      </c>
      <c r="L1182">
        <v>50</v>
      </c>
      <c r="M1182" t="str">
        <f>IF(OR(I1182="",J1182="",L1182=""),"Incomplete","Complete")</f>
        <v>Complete</v>
      </c>
      <c r="N1182" t="str">
        <f>IF(M1182="Incomplete","Not checked",IF(ROUND(I1182*J1182,2)=ROUND(L1182,2),"Valid","Mismatch"))</f>
        <v>Valid</v>
      </c>
      <c r="O1182">
        <f t="shared" si="37"/>
        <v>25</v>
      </c>
    </row>
    <row r="1183" spans="1:15">
      <c r="A1183">
        <v>151</v>
      </c>
      <c r="B1183" t="str">
        <f t="shared" si="36"/>
        <v>2023-10</v>
      </c>
      <c r="C1183" s="1">
        <v>45211</v>
      </c>
      <c r="D1183" s="5">
        <v>0.65902777777777777</v>
      </c>
      <c r="E1183">
        <v>108</v>
      </c>
      <c r="F1183" t="s">
        <v>11</v>
      </c>
      <c r="G1183">
        <v>29</v>
      </c>
      <c r="H1183" t="s">
        <v>12</v>
      </c>
      <c r="I1183">
        <v>1</v>
      </c>
      <c r="J1183" s="6">
        <v>50</v>
      </c>
      <c r="K1183">
        <v>18</v>
      </c>
      <c r="L1183">
        <v>50</v>
      </c>
      <c r="M1183" t="str">
        <f>IF(OR(I1183="",J1183="",L1183=""),"Incomplete","Complete")</f>
        <v>Complete</v>
      </c>
      <c r="N1183" t="str">
        <f>IF(M1183="Incomplete","Not checked",IF(ROUND(I1183*J1183,2)=ROUND(L1183,2),"Valid","Mismatch"))</f>
        <v>Valid</v>
      </c>
      <c r="O1183">
        <f t="shared" si="37"/>
        <v>32</v>
      </c>
    </row>
    <row r="1184" spans="1:15">
      <c r="A1184">
        <v>1151</v>
      </c>
      <c r="B1184" t="str">
        <f t="shared" si="36"/>
        <v>2022-12</v>
      </c>
      <c r="C1184" s="1">
        <v>44907</v>
      </c>
      <c r="D1184" s="5">
        <v>0.6166666666666667</v>
      </c>
      <c r="E1184">
        <v>99</v>
      </c>
      <c r="F1184" t="s">
        <v>11</v>
      </c>
      <c r="G1184">
        <v>29</v>
      </c>
      <c r="H1184" t="s">
        <v>12</v>
      </c>
      <c r="I1184">
        <v>1</v>
      </c>
      <c r="J1184" s="6">
        <v>50</v>
      </c>
      <c r="K1184">
        <v>26</v>
      </c>
      <c r="L1184">
        <v>50</v>
      </c>
      <c r="M1184" t="str">
        <f>IF(OR(I1184="",J1184="",L1184=""),"Incomplete","Complete")</f>
        <v>Complete</v>
      </c>
      <c r="N1184" t="str">
        <f>IF(M1184="Incomplete","Not checked",IF(ROUND(I1184*J1184,2)=ROUND(L1184,2),"Valid","Mismatch"))</f>
        <v>Valid</v>
      </c>
      <c r="O1184">
        <f t="shared" si="37"/>
        <v>24</v>
      </c>
    </row>
    <row r="1185" spans="1:15">
      <c r="A1185">
        <v>83</v>
      </c>
      <c r="B1185" t="str">
        <f t="shared" si="36"/>
        <v>2022-11</v>
      </c>
      <c r="C1185" s="1">
        <v>44892</v>
      </c>
      <c r="D1185" s="5">
        <v>0.6645833333333333</v>
      </c>
      <c r="E1185">
        <v>56</v>
      </c>
      <c r="F1185" t="s">
        <v>11</v>
      </c>
      <c r="G1185">
        <v>54</v>
      </c>
      <c r="H1185" t="s">
        <v>15</v>
      </c>
      <c r="I1185">
        <v>2</v>
      </c>
      <c r="J1185" s="6">
        <v>50</v>
      </c>
      <c r="K1185">
        <v>16.5</v>
      </c>
      <c r="L1185">
        <v>100</v>
      </c>
      <c r="M1185" t="str">
        <f>IF(OR(I1185="",J1185="",L1185=""),"Incomplete","Complete")</f>
        <v>Complete</v>
      </c>
      <c r="N1185" t="str">
        <f>IF(M1185="Incomplete","Not checked",IF(ROUND(I1185*J1185,2)=ROUND(L1185,2),"Valid","Mismatch"))</f>
        <v>Valid</v>
      </c>
      <c r="O1185">
        <f t="shared" si="37"/>
        <v>83.5</v>
      </c>
    </row>
    <row r="1186" spans="1:15">
      <c r="A1186">
        <v>1083</v>
      </c>
      <c r="B1186" t="str">
        <f t="shared" si="36"/>
        <v>2022-09</v>
      </c>
      <c r="C1186" s="1">
        <v>44834</v>
      </c>
      <c r="D1186" s="5">
        <v>0.65694444444444444</v>
      </c>
      <c r="E1186">
        <v>99</v>
      </c>
      <c r="F1186" t="s">
        <v>11</v>
      </c>
      <c r="G1186">
        <v>54</v>
      </c>
      <c r="H1186" t="s">
        <v>15</v>
      </c>
      <c r="I1186">
        <v>2</v>
      </c>
      <c r="J1186" s="6">
        <v>50</v>
      </c>
      <c r="K1186">
        <v>17.5</v>
      </c>
      <c r="L1186">
        <v>100</v>
      </c>
      <c r="M1186" t="str">
        <f>IF(OR(I1186="",J1186="",L1186=""),"Incomplete","Complete")</f>
        <v>Complete</v>
      </c>
      <c r="N1186" t="str">
        <f>IF(M1186="Incomplete","Not checked",IF(ROUND(I1186*J1186,2)=ROUND(L1186,2),"Valid","Mismatch"))</f>
        <v>Valid</v>
      </c>
      <c r="O1186">
        <f t="shared" si="37"/>
        <v>82.5</v>
      </c>
    </row>
    <row r="1187" spans="1:15">
      <c r="A1187">
        <v>609</v>
      </c>
      <c r="B1187" t="str">
        <f t="shared" si="36"/>
        <v>2023-11</v>
      </c>
      <c r="C1187" s="1">
        <v>45249</v>
      </c>
      <c r="D1187" s="5">
        <v>0.54305555555555551</v>
      </c>
      <c r="E1187">
        <v>59</v>
      </c>
      <c r="F1187" t="s">
        <v>14</v>
      </c>
      <c r="G1187">
        <v>47</v>
      </c>
      <c r="H1187" t="s">
        <v>12</v>
      </c>
      <c r="I1187">
        <v>2</v>
      </c>
      <c r="J1187" s="6">
        <v>50</v>
      </c>
      <c r="K1187">
        <v>13</v>
      </c>
      <c r="L1187">
        <v>100</v>
      </c>
      <c r="M1187" t="str">
        <f>IF(OR(I1187="",J1187="",L1187=""),"Incomplete","Complete")</f>
        <v>Complete</v>
      </c>
      <c r="N1187" t="str">
        <f>IF(M1187="Incomplete","Not checked",IF(ROUND(I1187*J1187,2)=ROUND(L1187,2),"Valid","Mismatch"))</f>
        <v>Valid</v>
      </c>
      <c r="O1187">
        <f t="shared" si="37"/>
        <v>87</v>
      </c>
    </row>
    <row r="1188" spans="1:15">
      <c r="A1188">
        <v>1609</v>
      </c>
      <c r="B1188" t="str">
        <f t="shared" si="36"/>
        <v>2023-10</v>
      </c>
      <c r="C1188" s="1">
        <v>45204</v>
      </c>
      <c r="D1188" s="5">
        <v>0.58194444444444449</v>
      </c>
      <c r="E1188">
        <v>81</v>
      </c>
      <c r="F1188" t="s">
        <v>14</v>
      </c>
      <c r="G1188">
        <v>47</v>
      </c>
      <c r="H1188" t="s">
        <v>12</v>
      </c>
      <c r="I1188">
        <v>2</v>
      </c>
      <c r="J1188" s="6">
        <v>50</v>
      </c>
      <c r="K1188">
        <v>22.5</v>
      </c>
      <c r="L1188">
        <v>100</v>
      </c>
      <c r="M1188" t="str">
        <f>IF(OR(I1188="",J1188="",L1188=""),"Incomplete","Complete")</f>
        <v>Complete</v>
      </c>
      <c r="N1188" t="str">
        <f>IF(M1188="Incomplete","Not checked",IF(ROUND(I1188*J1188,2)=ROUND(L1188,2),"Valid","Mismatch"))</f>
        <v>Valid</v>
      </c>
      <c r="O1188">
        <f t="shared" si="37"/>
        <v>77.5</v>
      </c>
    </row>
    <row r="1189" spans="1:15">
      <c r="A1189">
        <v>209</v>
      </c>
      <c r="B1189" t="str">
        <f t="shared" si="36"/>
        <v>2022-09</v>
      </c>
      <c r="C1189" s="1">
        <v>44807</v>
      </c>
      <c r="D1189" s="5">
        <v>0.51527777777777772</v>
      </c>
      <c r="E1189">
        <v>61</v>
      </c>
      <c r="F1189" t="s">
        <v>14</v>
      </c>
      <c r="G1189">
        <v>30</v>
      </c>
      <c r="H1189" t="s">
        <v>15</v>
      </c>
      <c r="I1189">
        <v>4</v>
      </c>
      <c r="J1189" s="6">
        <v>50</v>
      </c>
      <c r="K1189">
        <v>14</v>
      </c>
      <c r="L1189">
        <v>200</v>
      </c>
      <c r="M1189" t="str">
        <f>IF(OR(I1189="",J1189="",L1189=""),"Incomplete","Complete")</f>
        <v>Complete</v>
      </c>
      <c r="N1189" t="str">
        <f>IF(M1189="Incomplete","Not checked",IF(ROUND(I1189*J1189,2)=ROUND(L1189,2),"Valid","Mismatch"))</f>
        <v>Valid</v>
      </c>
      <c r="O1189">
        <f t="shared" si="37"/>
        <v>186</v>
      </c>
    </row>
    <row r="1190" spans="1:15">
      <c r="A1190">
        <v>777</v>
      </c>
      <c r="B1190" t="str">
        <f t="shared" si="36"/>
        <v>2022-09</v>
      </c>
      <c r="C1190" s="1">
        <v>44814</v>
      </c>
      <c r="D1190" s="5">
        <v>0.62986111111111109</v>
      </c>
      <c r="E1190">
        <v>54</v>
      </c>
      <c r="F1190" t="s">
        <v>11</v>
      </c>
      <c r="G1190">
        <v>48</v>
      </c>
      <c r="H1190" t="s">
        <v>15</v>
      </c>
      <c r="I1190">
        <v>3</v>
      </c>
      <c r="J1190" s="6">
        <v>50</v>
      </c>
      <c r="K1190">
        <v>17</v>
      </c>
      <c r="L1190">
        <v>150</v>
      </c>
      <c r="M1190" t="str">
        <f>IF(OR(I1190="",J1190="",L1190=""),"Incomplete","Complete")</f>
        <v>Complete</v>
      </c>
      <c r="N1190" t="str">
        <f>IF(M1190="Incomplete","Not checked",IF(ROUND(I1190*J1190,2)=ROUND(L1190,2),"Valid","Mismatch"))</f>
        <v>Valid</v>
      </c>
      <c r="O1190">
        <f t="shared" si="37"/>
        <v>133</v>
      </c>
    </row>
    <row r="1191" spans="1:15">
      <c r="A1191">
        <v>854</v>
      </c>
      <c r="B1191" t="str">
        <f t="shared" si="36"/>
        <v>2022-10</v>
      </c>
      <c r="C1191" s="1">
        <v>44835</v>
      </c>
      <c r="D1191" s="5">
        <v>0.65416666666666667</v>
      </c>
      <c r="E1191">
        <v>84</v>
      </c>
      <c r="F1191" t="s">
        <v>11</v>
      </c>
      <c r="G1191">
        <v>29</v>
      </c>
      <c r="H1191" t="s">
        <v>12</v>
      </c>
      <c r="I1191">
        <v>1</v>
      </c>
      <c r="J1191" s="6">
        <v>50</v>
      </c>
      <c r="K1191">
        <v>22</v>
      </c>
      <c r="L1191">
        <v>50</v>
      </c>
      <c r="M1191" t="str">
        <f>IF(OR(I1191="",J1191="",L1191=""),"Incomplete","Complete")</f>
        <v>Complete</v>
      </c>
      <c r="N1191" t="str">
        <f>IF(M1191="Incomplete","Not checked",IF(ROUND(I1191*J1191,2)=ROUND(L1191,2),"Valid","Mismatch"))</f>
        <v>Valid</v>
      </c>
      <c r="O1191">
        <f t="shared" si="37"/>
        <v>28</v>
      </c>
    </row>
    <row r="1192" spans="1:15">
      <c r="A1192">
        <v>1209</v>
      </c>
      <c r="B1192" t="str">
        <f t="shared" si="36"/>
        <v>2022-12</v>
      </c>
      <c r="C1192" s="1">
        <v>44901</v>
      </c>
      <c r="D1192" s="5">
        <v>0.52569444444444446</v>
      </c>
      <c r="E1192">
        <v>55</v>
      </c>
      <c r="F1192" t="s">
        <v>14</v>
      </c>
      <c r="G1192">
        <v>30</v>
      </c>
      <c r="H1192" t="s">
        <v>15</v>
      </c>
      <c r="I1192">
        <v>4</v>
      </c>
      <c r="J1192" s="6">
        <v>50</v>
      </c>
      <c r="K1192">
        <v>23</v>
      </c>
      <c r="L1192">
        <v>200</v>
      </c>
      <c r="M1192" t="str">
        <f>IF(OR(I1192="",J1192="",L1192=""),"Incomplete","Complete")</f>
        <v>Complete</v>
      </c>
      <c r="N1192" t="str">
        <f>IF(M1192="Incomplete","Not checked",IF(ROUND(I1192*J1192,2)=ROUND(L1192,2),"Valid","Mismatch"))</f>
        <v>Valid</v>
      </c>
      <c r="O1192">
        <f t="shared" si="37"/>
        <v>177</v>
      </c>
    </row>
    <row r="1193" spans="1:15">
      <c r="A1193">
        <v>1777</v>
      </c>
      <c r="B1193" t="str">
        <f t="shared" si="36"/>
        <v>2023-11</v>
      </c>
      <c r="C1193" s="1">
        <v>45245</v>
      </c>
      <c r="D1193" s="5">
        <v>0.50416666666666665</v>
      </c>
      <c r="E1193">
        <v>74</v>
      </c>
      <c r="F1193" t="s">
        <v>11</v>
      </c>
      <c r="G1193">
        <v>48</v>
      </c>
      <c r="H1193" t="s">
        <v>15</v>
      </c>
      <c r="I1193">
        <v>3</v>
      </c>
      <c r="J1193" s="6">
        <v>50</v>
      </c>
      <c r="K1193">
        <v>19.5</v>
      </c>
      <c r="L1193">
        <v>150</v>
      </c>
      <c r="M1193" t="str">
        <f>IF(OR(I1193="",J1193="",L1193=""),"Incomplete","Complete")</f>
        <v>Complete</v>
      </c>
      <c r="N1193" t="str">
        <f>IF(M1193="Incomplete","Not checked",IF(ROUND(I1193*J1193,2)=ROUND(L1193,2),"Valid","Mismatch"))</f>
        <v>Valid</v>
      </c>
      <c r="O1193">
        <f t="shared" si="37"/>
        <v>130.5</v>
      </c>
    </row>
    <row r="1194" spans="1:15">
      <c r="A1194">
        <v>1854</v>
      </c>
      <c r="B1194" t="str">
        <f t="shared" si="36"/>
        <v>2023-11</v>
      </c>
      <c r="C1194" s="1">
        <v>45255</v>
      </c>
      <c r="D1194" s="5">
        <v>0.70347222222222228</v>
      </c>
      <c r="E1194">
        <v>109</v>
      </c>
      <c r="F1194" t="s">
        <v>11</v>
      </c>
      <c r="G1194">
        <v>29</v>
      </c>
      <c r="H1194" t="s">
        <v>12</v>
      </c>
      <c r="I1194">
        <v>1</v>
      </c>
      <c r="J1194" s="6">
        <v>50</v>
      </c>
      <c r="K1194">
        <v>22.5</v>
      </c>
      <c r="L1194">
        <v>50</v>
      </c>
      <c r="M1194" t="str">
        <f>IF(OR(I1194="",J1194="",L1194=""),"Incomplete","Complete")</f>
        <v>Complete</v>
      </c>
      <c r="N1194" t="str">
        <f>IF(M1194="Incomplete","Not checked",IF(ROUND(I1194*J1194,2)=ROUND(L1194,2),"Valid","Mismatch"))</f>
        <v>Valid</v>
      </c>
      <c r="O1194">
        <f t="shared" si="37"/>
        <v>27.5</v>
      </c>
    </row>
    <row r="1195" spans="1:15">
      <c r="A1195">
        <v>34</v>
      </c>
      <c r="B1195" t="str">
        <f t="shared" si="36"/>
        <v>2023-09</v>
      </c>
      <c r="C1195" s="1">
        <v>45193</v>
      </c>
      <c r="D1195" s="5">
        <v>0.55972222222222223</v>
      </c>
      <c r="E1195">
        <v>87</v>
      </c>
      <c r="F1195" t="s">
        <v>14</v>
      </c>
      <c r="G1195">
        <v>51</v>
      </c>
      <c r="H1195" t="s">
        <v>12</v>
      </c>
      <c r="I1195">
        <v>3</v>
      </c>
      <c r="J1195" s="6">
        <v>50</v>
      </c>
      <c r="K1195">
        <v>17</v>
      </c>
      <c r="L1195">
        <v>150</v>
      </c>
      <c r="M1195" t="str">
        <f>IF(OR(I1195="",J1195="",L1195=""),"Incomplete","Complete")</f>
        <v>Complete</v>
      </c>
      <c r="N1195" t="str">
        <f>IF(M1195="Incomplete","Not checked",IF(ROUND(I1195*J1195,2)=ROUND(L1195,2),"Valid","Mismatch"))</f>
        <v>Valid</v>
      </c>
      <c r="O1195">
        <f t="shared" si="37"/>
        <v>133</v>
      </c>
    </row>
    <row r="1196" spans="1:15">
      <c r="A1196">
        <v>916</v>
      </c>
      <c r="B1196" t="str">
        <f t="shared" si="36"/>
        <v>2023-12</v>
      </c>
      <c r="C1196" s="1">
        <v>45265</v>
      </c>
      <c r="D1196" s="5">
        <v>0.53888888888888886</v>
      </c>
      <c r="E1196">
        <v>68</v>
      </c>
      <c r="F1196" t="s">
        <v>14</v>
      </c>
      <c r="G1196">
        <v>32</v>
      </c>
      <c r="H1196" t="s">
        <v>15</v>
      </c>
      <c r="I1196">
        <v>1</v>
      </c>
      <c r="J1196" s="6">
        <v>50</v>
      </c>
      <c r="K1196">
        <v>26</v>
      </c>
      <c r="L1196">
        <v>50</v>
      </c>
      <c r="M1196" t="str">
        <f>IF(OR(I1196="",J1196="",L1196=""),"Incomplete","Complete")</f>
        <v>Complete</v>
      </c>
      <c r="N1196" t="str">
        <f>IF(M1196="Incomplete","Not checked",IF(ROUND(I1196*J1196,2)=ROUND(L1196,2),"Valid","Mismatch"))</f>
        <v>Valid</v>
      </c>
      <c r="O1196">
        <f t="shared" si="37"/>
        <v>24</v>
      </c>
    </row>
    <row r="1197" spans="1:15">
      <c r="A1197">
        <v>1034</v>
      </c>
      <c r="B1197" t="str">
        <f t="shared" si="36"/>
        <v>2022-11</v>
      </c>
      <c r="C1197" s="1">
        <v>44878</v>
      </c>
      <c r="D1197" s="5">
        <v>0.6166666666666667</v>
      </c>
      <c r="E1197">
        <v>52</v>
      </c>
      <c r="F1197" t="s">
        <v>14</v>
      </c>
      <c r="G1197">
        <v>51</v>
      </c>
      <c r="H1197" t="s">
        <v>12</v>
      </c>
      <c r="I1197">
        <v>3</v>
      </c>
      <c r="J1197" s="6">
        <v>50</v>
      </c>
      <c r="K1197">
        <v>24.5</v>
      </c>
      <c r="L1197">
        <v>150</v>
      </c>
      <c r="M1197" t="str">
        <f>IF(OR(I1197="",J1197="",L1197=""),"Incomplete","Complete")</f>
        <v>Complete</v>
      </c>
      <c r="N1197" t="str">
        <f>IF(M1197="Incomplete","Not checked",IF(ROUND(I1197*J1197,2)=ROUND(L1197,2),"Valid","Mismatch"))</f>
        <v>Valid</v>
      </c>
      <c r="O1197">
        <f t="shared" si="37"/>
        <v>125.5</v>
      </c>
    </row>
    <row r="1198" spans="1:15">
      <c r="A1198">
        <v>1916</v>
      </c>
      <c r="B1198" t="str">
        <f t="shared" si="36"/>
        <v>2022-11</v>
      </c>
      <c r="C1198" s="1">
        <v>44873</v>
      </c>
      <c r="D1198" s="5">
        <v>0.52777777777777779</v>
      </c>
      <c r="E1198">
        <v>102</v>
      </c>
      <c r="F1198" t="s">
        <v>14</v>
      </c>
      <c r="G1198">
        <v>32</v>
      </c>
      <c r="H1198" t="s">
        <v>15</v>
      </c>
      <c r="I1198">
        <v>1</v>
      </c>
      <c r="J1198" s="6">
        <v>50</v>
      </c>
      <c r="K1198">
        <v>16.5</v>
      </c>
      <c r="L1198">
        <v>50</v>
      </c>
      <c r="M1198" t="str">
        <f>IF(OR(I1198="",J1198="",L1198=""),"Incomplete","Complete")</f>
        <v>Complete</v>
      </c>
      <c r="N1198" t="str">
        <f>IF(M1198="Incomplete","Not checked",IF(ROUND(I1198*J1198,2)=ROUND(L1198,2),"Valid","Mismatch"))</f>
        <v>Valid</v>
      </c>
      <c r="O1198">
        <f t="shared" si="37"/>
        <v>33.5</v>
      </c>
    </row>
    <row r="1199" spans="1:15">
      <c r="A1199">
        <v>25</v>
      </c>
      <c r="B1199" t="str">
        <f t="shared" si="36"/>
        <v>2022-11</v>
      </c>
      <c r="C1199" s="1">
        <v>44885</v>
      </c>
      <c r="D1199" s="5">
        <v>0.60555555555555551</v>
      </c>
      <c r="E1199">
        <v>61</v>
      </c>
      <c r="F1199" t="s">
        <v>14</v>
      </c>
      <c r="G1199">
        <v>64</v>
      </c>
      <c r="H1199" t="s">
        <v>13</v>
      </c>
      <c r="I1199">
        <v>1</v>
      </c>
      <c r="J1199" s="6">
        <v>50</v>
      </c>
      <c r="K1199">
        <v>19</v>
      </c>
      <c r="L1199">
        <v>50</v>
      </c>
      <c r="M1199" t="str">
        <f>IF(OR(I1199="",J1199="",L1199=""),"Incomplete","Complete")</f>
        <v>Complete</v>
      </c>
      <c r="N1199" t="str">
        <f>IF(M1199="Incomplete","Not checked",IF(ROUND(I1199*J1199,2)=ROUND(L1199,2),"Valid","Mismatch"))</f>
        <v>Valid</v>
      </c>
      <c r="O1199">
        <f t="shared" si="37"/>
        <v>31</v>
      </c>
    </row>
    <row r="1200" spans="1:15">
      <c r="A1200">
        <v>82</v>
      </c>
      <c r="B1200" t="str">
        <f t="shared" si="36"/>
        <v>2022-09</v>
      </c>
      <c r="C1200" s="1">
        <v>44812</v>
      </c>
      <c r="D1200" s="5">
        <v>0.53819444444444442</v>
      </c>
      <c r="E1200">
        <v>85</v>
      </c>
      <c r="F1200" t="s">
        <v>14</v>
      </c>
      <c r="G1200">
        <v>32</v>
      </c>
      <c r="H1200" t="s">
        <v>13</v>
      </c>
      <c r="I1200">
        <v>4</v>
      </c>
      <c r="J1200" s="6">
        <v>50</v>
      </c>
      <c r="K1200">
        <v>15</v>
      </c>
      <c r="L1200">
        <v>200</v>
      </c>
      <c r="M1200" t="str">
        <f>IF(OR(I1200="",J1200="",L1200=""),"Incomplete","Complete")</f>
        <v>Complete</v>
      </c>
      <c r="N1200" t="str">
        <f>IF(M1200="Incomplete","Not checked",IF(ROUND(I1200*J1200,2)=ROUND(L1200,2),"Valid","Mismatch"))</f>
        <v>Valid</v>
      </c>
      <c r="O1200">
        <f t="shared" si="37"/>
        <v>185</v>
      </c>
    </row>
    <row r="1201" spans="1:15">
      <c r="A1201">
        <v>991</v>
      </c>
      <c r="B1201" t="str">
        <f t="shared" si="36"/>
        <v>2023-09</v>
      </c>
      <c r="C1201" s="1">
        <v>45183</v>
      </c>
      <c r="D1201" s="5">
        <v>0.60277777777777775</v>
      </c>
      <c r="E1201">
        <v>110</v>
      </c>
      <c r="F1201" t="s">
        <v>14</v>
      </c>
      <c r="G1201">
        <v>34</v>
      </c>
      <c r="H1201" t="s">
        <v>12</v>
      </c>
      <c r="I1201">
        <v>2</v>
      </c>
      <c r="J1201" s="6">
        <v>50</v>
      </c>
      <c r="K1201">
        <v>19.5</v>
      </c>
      <c r="L1201">
        <v>100</v>
      </c>
      <c r="M1201" t="str">
        <f>IF(OR(I1201="",J1201="",L1201=""),"Incomplete","Complete")</f>
        <v>Complete</v>
      </c>
      <c r="N1201" t="str">
        <f>IF(M1201="Incomplete","Not checked",IF(ROUND(I1201*J1201,2)=ROUND(L1201,2),"Valid","Mismatch"))</f>
        <v>Valid</v>
      </c>
      <c r="O1201">
        <f t="shared" si="37"/>
        <v>80.5</v>
      </c>
    </row>
    <row r="1202" spans="1:15">
      <c r="A1202">
        <v>1025</v>
      </c>
      <c r="B1202" t="str">
        <f t="shared" si="36"/>
        <v>2022-11</v>
      </c>
      <c r="C1202" s="1">
        <v>44877</v>
      </c>
      <c r="D1202" s="5">
        <v>0.69513888888888886</v>
      </c>
      <c r="E1202">
        <v>103</v>
      </c>
      <c r="F1202" t="s">
        <v>14</v>
      </c>
      <c r="G1202">
        <v>64</v>
      </c>
      <c r="H1202" t="s">
        <v>13</v>
      </c>
      <c r="I1202">
        <v>1</v>
      </c>
      <c r="J1202" s="6">
        <v>50</v>
      </c>
      <c r="K1202">
        <v>16.5</v>
      </c>
      <c r="L1202">
        <v>50</v>
      </c>
      <c r="M1202" t="str">
        <f>IF(OR(I1202="",J1202="",L1202=""),"Incomplete","Complete")</f>
        <v>Complete</v>
      </c>
      <c r="N1202" t="str">
        <f>IF(M1202="Incomplete","Not checked",IF(ROUND(I1202*J1202,2)=ROUND(L1202,2),"Valid","Mismatch"))</f>
        <v>Valid</v>
      </c>
      <c r="O1202">
        <f t="shared" si="37"/>
        <v>33.5</v>
      </c>
    </row>
    <row r="1203" spans="1:15">
      <c r="A1203">
        <v>1082</v>
      </c>
      <c r="B1203" t="str">
        <f t="shared" si="36"/>
        <v>2022-10</v>
      </c>
      <c r="C1203" s="1">
        <v>44856</v>
      </c>
      <c r="D1203" s="5">
        <v>0.66388888888888886</v>
      </c>
      <c r="E1203">
        <v>111</v>
      </c>
      <c r="F1203" t="s">
        <v>14</v>
      </c>
      <c r="G1203">
        <v>32</v>
      </c>
      <c r="H1203" t="s">
        <v>13</v>
      </c>
      <c r="I1203">
        <v>4</v>
      </c>
      <c r="J1203" s="6">
        <v>50</v>
      </c>
      <c r="K1203">
        <v>27.5</v>
      </c>
      <c r="L1203">
        <v>200</v>
      </c>
      <c r="M1203" t="str">
        <f>IF(OR(I1203="",J1203="",L1203=""),"Incomplete","Complete")</f>
        <v>Complete</v>
      </c>
      <c r="N1203" t="str">
        <f>IF(M1203="Incomplete","Not checked",IF(ROUND(I1203*J1203,2)=ROUND(L1203,2),"Valid","Mismatch"))</f>
        <v>Valid</v>
      </c>
      <c r="O1203">
        <f t="shared" si="37"/>
        <v>172.5</v>
      </c>
    </row>
    <row r="1204" spans="1:15">
      <c r="A1204">
        <v>1991</v>
      </c>
      <c r="B1204" t="str">
        <f t="shared" si="36"/>
        <v>2022-12</v>
      </c>
      <c r="C1204" s="1">
        <v>44899</v>
      </c>
      <c r="D1204" s="5">
        <v>0.5493055555555556</v>
      </c>
      <c r="E1204">
        <v>96</v>
      </c>
      <c r="F1204" t="s">
        <v>14</v>
      </c>
      <c r="G1204">
        <v>34</v>
      </c>
      <c r="H1204" t="s">
        <v>12</v>
      </c>
      <c r="I1204">
        <v>2</v>
      </c>
      <c r="J1204" s="6">
        <v>50</v>
      </c>
      <c r="K1204">
        <v>14.5</v>
      </c>
      <c r="L1204">
        <v>100</v>
      </c>
      <c r="M1204" t="str">
        <f>IF(OR(I1204="",J1204="",L1204=""),"Incomplete","Complete")</f>
        <v>Complete</v>
      </c>
      <c r="N1204" t="str">
        <f>IF(M1204="Incomplete","Not checked",IF(ROUND(I1204*J1204,2)=ROUND(L1204,2),"Valid","Mismatch"))</f>
        <v>Valid</v>
      </c>
      <c r="O1204">
        <f t="shared" si="37"/>
        <v>85.5</v>
      </c>
    </row>
    <row r="1205" spans="1:15">
      <c r="A1205">
        <v>62</v>
      </c>
      <c r="B1205" t="str">
        <f t="shared" si="36"/>
        <v>2023-09</v>
      </c>
      <c r="C1205" s="1">
        <v>45185</v>
      </c>
      <c r="D1205" s="5">
        <v>0.53749999999999998</v>
      </c>
      <c r="E1205">
        <v>50</v>
      </c>
      <c r="F1205" t="s">
        <v>11</v>
      </c>
      <c r="G1205">
        <v>18</v>
      </c>
      <c r="H1205" t="s">
        <v>13</v>
      </c>
      <c r="I1205">
        <v>2</v>
      </c>
      <c r="J1205" s="6">
        <v>50</v>
      </c>
      <c r="K1205">
        <v>26.5</v>
      </c>
      <c r="L1205">
        <v>100</v>
      </c>
      <c r="M1205" t="str">
        <f>IF(OR(I1205="",J1205="",L1205=""),"Incomplete","Complete")</f>
        <v>Complete</v>
      </c>
      <c r="N1205" t="str">
        <f>IF(M1205="Incomplete","Not checked",IF(ROUND(I1205*J1205,2)=ROUND(L1205,2),"Valid","Mismatch"))</f>
        <v>Valid</v>
      </c>
      <c r="O1205">
        <f t="shared" si="37"/>
        <v>73.5</v>
      </c>
    </row>
    <row r="1206" spans="1:15">
      <c r="A1206">
        <v>1062</v>
      </c>
      <c r="B1206" t="str">
        <f t="shared" si="36"/>
        <v>2022-12</v>
      </c>
      <c r="C1206" s="1">
        <v>44915</v>
      </c>
      <c r="D1206" s="5">
        <v>0.67013888888888884</v>
      </c>
      <c r="E1206">
        <v>69</v>
      </c>
      <c r="F1206" t="s">
        <v>11</v>
      </c>
      <c r="G1206">
        <v>18</v>
      </c>
      <c r="H1206" t="s">
        <v>13</v>
      </c>
      <c r="I1206">
        <v>2</v>
      </c>
      <c r="J1206" s="6">
        <v>50</v>
      </c>
      <c r="K1206">
        <v>21.5</v>
      </c>
      <c r="L1206">
        <v>100</v>
      </c>
      <c r="M1206" t="str">
        <f>IF(OR(I1206="",J1206="",L1206=""),"Incomplete","Complete")</f>
        <v>Complete</v>
      </c>
      <c r="N1206" t="str">
        <f>IF(M1206="Incomplete","Not checked",IF(ROUND(I1206*J1206,2)=ROUND(L1206,2),"Valid","Mismatch"))</f>
        <v>Valid</v>
      </c>
      <c r="O1206">
        <f t="shared" si="37"/>
        <v>78.5</v>
      </c>
    </row>
    <row r="1207" spans="1:15">
      <c r="A1207">
        <v>180</v>
      </c>
      <c r="B1207" t="str">
        <f t="shared" si="36"/>
        <v>2022-11</v>
      </c>
      <c r="C1207" s="1">
        <v>44870</v>
      </c>
      <c r="D1207" s="5">
        <v>0.44930555555555557</v>
      </c>
      <c r="E1207">
        <v>117</v>
      </c>
      <c r="F1207" t="s">
        <v>11</v>
      </c>
      <c r="G1207">
        <v>41</v>
      </c>
      <c r="H1207" t="s">
        <v>12</v>
      </c>
      <c r="I1207">
        <v>3</v>
      </c>
      <c r="J1207" s="6">
        <v>300</v>
      </c>
      <c r="K1207">
        <v>129</v>
      </c>
      <c r="L1207">
        <v>900</v>
      </c>
      <c r="M1207" t="str">
        <f>IF(OR(I1207="",J1207="",L1207=""),"Incomplete","Complete")</f>
        <v>Complete</v>
      </c>
      <c r="N1207" t="str">
        <f>IF(M1207="Incomplete","Not checked",IF(ROUND(I1207*J1207,2)=ROUND(L1207,2),"Valid","Mismatch"))</f>
        <v>Valid</v>
      </c>
      <c r="O1207">
        <f t="shared" si="37"/>
        <v>771</v>
      </c>
    </row>
    <row r="1208" spans="1:15">
      <c r="A1208">
        <v>559</v>
      </c>
      <c r="B1208" t="str">
        <f t="shared" si="36"/>
        <v>2022-12</v>
      </c>
      <c r="C1208" s="1">
        <v>44907</v>
      </c>
      <c r="D1208" s="5">
        <v>0.45</v>
      </c>
      <c r="E1208">
        <v>5</v>
      </c>
      <c r="F1208" t="s">
        <v>14</v>
      </c>
      <c r="G1208">
        <v>40</v>
      </c>
      <c r="H1208" t="s">
        <v>12</v>
      </c>
      <c r="I1208">
        <v>4</v>
      </c>
      <c r="J1208" s="6">
        <v>300</v>
      </c>
      <c r="K1208">
        <v>84</v>
      </c>
      <c r="L1208">
        <v>1200</v>
      </c>
      <c r="M1208" t="str">
        <f>IF(OR(I1208="",J1208="",L1208=""),"Incomplete","Complete")</f>
        <v>Complete</v>
      </c>
      <c r="N1208" t="str">
        <f>IF(M1208="Incomplete","Not checked",IF(ROUND(I1208*J1208,2)=ROUND(L1208,2),"Valid","Mismatch"))</f>
        <v>Valid</v>
      </c>
      <c r="O1208">
        <f t="shared" si="37"/>
        <v>1116</v>
      </c>
    </row>
    <row r="1209" spans="1:15">
      <c r="A1209">
        <v>1180</v>
      </c>
      <c r="B1209" t="str">
        <f t="shared" si="36"/>
        <v>2022-01</v>
      </c>
      <c r="C1209" s="1">
        <v>44567</v>
      </c>
      <c r="D1209" s="5">
        <v>0.37013888888888891</v>
      </c>
      <c r="E1209">
        <v>85</v>
      </c>
      <c r="F1209" t="s">
        <v>11</v>
      </c>
      <c r="G1209">
        <v>41</v>
      </c>
      <c r="H1209" t="s">
        <v>12</v>
      </c>
      <c r="I1209">
        <v>3</v>
      </c>
      <c r="J1209" s="6">
        <v>300</v>
      </c>
      <c r="K1209">
        <v>129</v>
      </c>
      <c r="L1209">
        <v>900</v>
      </c>
      <c r="M1209" t="str">
        <f>IF(OR(I1209="",J1209="",L1209=""),"Incomplete","Complete")</f>
        <v>Complete</v>
      </c>
      <c r="N1209" t="str">
        <f>IF(M1209="Incomplete","Not checked",IF(ROUND(I1209*J1209,2)=ROUND(L1209,2),"Valid","Mismatch"))</f>
        <v>Valid</v>
      </c>
      <c r="O1209">
        <f t="shared" si="37"/>
        <v>771</v>
      </c>
    </row>
    <row r="1210" spans="1:15">
      <c r="A1210">
        <v>1559</v>
      </c>
      <c r="B1210" t="str">
        <f t="shared" si="36"/>
        <v>2022-08</v>
      </c>
      <c r="C1210" s="1">
        <v>44793</v>
      </c>
      <c r="D1210" s="5">
        <v>0.31944444444444442</v>
      </c>
      <c r="E1210">
        <v>49</v>
      </c>
      <c r="F1210" t="s">
        <v>14</v>
      </c>
      <c r="G1210">
        <v>40</v>
      </c>
      <c r="H1210" t="s">
        <v>12</v>
      </c>
      <c r="I1210">
        <v>4</v>
      </c>
      <c r="J1210" s="6">
        <v>300</v>
      </c>
      <c r="K1210">
        <v>144</v>
      </c>
      <c r="L1210">
        <v>1200</v>
      </c>
      <c r="M1210" t="str">
        <f>IF(OR(I1210="",J1210="",L1210=""),"Incomplete","Complete")</f>
        <v>Complete</v>
      </c>
      <c r="N1210" t="str">
        <f>IF(M1210="Incomplete","Not checked",IF(ROUND(I1210*J1210,2)=ROUND(L1210,2),"Valid","Mismatch"))</f>
        <v>Valid</v>
      </c>
      <c r="O1210">
        <f t="shared" si="37"/>
        <v>1056</v>
      </c>
    </row>
    <row r="1211" spans="1:15">
      <c r="A1211">
        <v>610</v>
      </c>
      <c r="B1211" t="str">
        <f t="shared" si="36"/>
        <v>2022-12</v>
      </c>
      <c r="C1211" s="1">
        <v>44913</v>
      </c>
      <c r="D1211" s="5">
        <v>0.28888888888888886</v>
      </c>
      <c r="E1211">
        <v>137</v>
      </c>
      <c r="F1211" t="s">
        <v>14</v>
      </c>
      <c r="G1211">
        <v>26</v>
      </c>
      <c r="H1211" t="s">
        <v>13</v>
      </c>
      <c r="I1211">
        <v>2</v>
      </c>
      <c r="J1211" s="6">
        <v>300</v>
      </c>
      <c r="K1211">
        <v>93</v>
      </c>
      <c r="L1211">
        <v>600</v>
      </c>
      <c r="M1211" t="str">
        <f>IF(OR(I1211="",J1211="",L1211=""),"Incomplete","Complete")</f>
        <v>Complete</v>
      </c>
      <c r="N1211" t="str">
        <f>IF(M1211="Incomplete","Not checked",IF(ROUND(I1211*J1211,2)=ROUND(L1211,2),"Valid","Mismatch"))</f>
        <v>Valid</v>
      </c>
      <c r="O1211">
        <f t="shared" si="37"/>
        <v>507</v>
      </c>
    </row>
    <row r="1212" spans="1:15">
      <c r="A1212">
        <v>1610</v>
      </c>
      <c r="B1212" t="str">
        <f t="shared" si="36"/>
        <v>2022-11</v>
      </c>
      <c r="C1212" s="1">
        <v>44888</v>
      </c>
      <c r="D1212" s="5">
        <v>0.42916666666666664</v>
      </c>
      <c r="E1212">
        <v>1</v>
      </c>
      <c r="F1212" t="s">
        <v>14</v>
      </c>
      <c r="G1212">
        <v>26</v>
      </c>
      <c r="H1212" t="s">
        <v>13</v>
      </c>
      <c r="I1212">
        <v>2</v>
      </c>
      <c r="J1212" s="6">
        <v>300</v>
      </c>
      <c r="K1212">
        <v>102</v>
      </c>
      <c r="L1212">
        <v>600</v>
      </c>
      <c r="M1212" t="str">
        <f>IF(OR(I1212="",J1212="",L1212=""),"Incomplete","Complete")</f>
        <v>Complete</v>
      </c>
      <c r="N1212" t="str">
        <f>IF(M1212="Incomplete","Not checked",IF(ROUND(I1212*J1212,2)=ROUND(L1212,2),"Valid","Mismatch"))</f>
        <v>Valid</v>
      </c>
      <c r="O1212">
        <f t="shared" si="37"/>
        <v>498</v>
      </c>
    </row>
    <row r="1213" spans="1:15">
      <c r="A1213">
        <v>291</v>
      </c>
      <c r="B1213" t="str">
        <f t="shared" si="36"/>
        <v>2022-11</v>
      </c>
      <c r="C1213" s="1">
        <v>44887</v>
      </c>
      <c r="D1213" s="5">
        <v>0.35347222222222224</v>
      </c>
      <c r="E1213">
        <v>15</v>
      </c>
      <c r="F1213" t="s">
        <v>11</v>
      </c>
      <c r="G1213">
        <v>60</v>
      </c>
      <c r="H1213" t="s">
        <v>12</v>
      </c>
      <c r="I1213">
        <v>2</v>
      </c>
      <c r="J1213" s="6">
        <v>300</v>
      </c>
      <c r="K1213">
        <v>126</v>
      </c>
      <c r="L1213">
        <v>600</v>
      </c>
      <c r="M1213" t="str">
        <f>IF(OR(I1213="",J1213="",L1213=""),"Incomplete","Complete")</f>
        <v>Complete</v>
      </c>
      <c r="N1213" t="str">
        <f>IF(M1213="Incomplete","Not checked",IF(ROUND(I1213*J1213,2)=ROUND(L1213,2),"Valid","Mismatch"))</f>
        <v>Valid</v>
      </c>
      <c r="O1213">
        <f t="shared" si="37"/>
        <v>474</v>
      </c>
    </row>
    <row r="1214" spans="1:15">
      <c r="A1214">
        <v>1291</v>
      </c>
      <c r="B1214" t="str">
        <f t="shared" si="36"/>
        <v>2022-04</v>
      </c>
      <c r="C1214" s="1">
        <v>44655</v>
      </c>
      <c r="D1214" s="5">
        <v>0.47152777777777777</v>
      </c>
      <c r="E1214">
        <v>72</v>
      </c>
      <c r="F1214" t="s">
        <v>11</v>
      </c>
      <c r="G1214">
        <v>60</v>
      </c>
      <c r="H1214" t="s">
        <v>12</v>
      </c>
      <c r="I1214">
        <v>2</v>
      </c>
      <c r="J1214" s="6">
        <v>300</v>
      </c>
      <c r="K1214">
        <v>153</v>
      </c>
      <c r="L1214">
        <v>600</v>
      </c>
      <c r="M1214" t="str">
        <f>IF(OR(I1214="",J1214="",L1214=""),"Incomplete","Complete")</f>
        <v>Complete</v>
      </c>
      <c r="N1214" t="str">
        <f>IF(M1214="Incomplete","Not checked",IF(ROUND(I1214*J1214,2)=ROUND(L1214,2),"Valid","Mismatch"))</f>
        <v>Valid</v>
      </c>
      <c r="O1214">
        <f t="shared" si="37"/>
        <v>447</v>
      </c>
    </row>
    <row r="1215" spans="1:15">
      <c r="A1215">
        <v>464</v>
      </c>
      <c r="B1215" t="str">
        <f t="shared" si="36"/>
        <v>2022-03</v>
      </c>
      <c r="C1215" s="1">
        <v>44626</v>
      </c>
      <c r="D1215" s="5">
        <v>0.46736111111111112</v>
      </c>
      <c r="E1215">
        <v>24</v>
      </c>
      <c r="F1215" t="s">
        <v>11</v>
      </c>
      <c r="G1215">
        <v>38</v>
      </c>
      <c r="H1215" t="s">
        <v>15</v>
      </c>
      <c r="I1215">
        <v>2</v>
      </c>
      <c r="J1215" s="6">
        <v>300</v>
      </c>
      <c r="K1215">
        <v>75</v>
      </c>
      <c r="L1215">
        <v>600</v>
      </c>
      <c r="M1215" t="str">
        <f>IF(OR(I1215="",J1215="",L1215=""),"Incomplete","Complete")</f>
        <v>Complete</v>
      </c>
      <c r="N1215" t="str">
        <f>IF(M1215="Incomplete","Not checked",IF(ROUND(I1215*J1215,2)=ROUND(L1215,2),"Valid","Mismatch"))</f>
        <v>Valid</v>
      </c>
      <c r="O1215">
        <f t="shared" si="37"/>
        <v>525</v>
      </c>
    </row>
    <row r="1216" spans="1:15">
      <c r="A1216">
        <v>484</v>
      </c>
      <c r="B1216" t="str">
        <f t="shared" si="36"/>
        <v>2022-03</v>
      </c>
      <c r="C1216" s="1">
        <v>44633</v>
      </c>
      <c r="D1216" s="5">
        <v>0.32777777777777778</v>
      </c>
      <c r="E1216">
        <v>135</v>
      </c>
      <c r="F1216" t="s">
        <v>14</v>
      </c>
      <c r="G1216">
        <v>19</v>
      </c>
      <c r="H1216" t="s">
        <v>12</v>
      </c>
      <c r="I1216">
        <v>4</v>
      </c>
      <c r="J1216" s="6">
        <v>300</v>
      </c>
      <c r="K1216">
        <v>75</v>
      </c>
      <c r="L1216">
        <v>1200</v>
      </c>
      <c r="M1216" t="str">
        <f>IF(OR(I1216="",J1216="",L1216=""),"Incomplete","Complete")</f>
        <v>Complete</v>
      </c>
      <c r="N1216" t="str">
        <f>IF(M1216="Incomplete","Not checked",IF(ROUND(I1216*J1216,2)=ROUND(L1216,2),"Valid","Mismatch"))</f>
        <v>Valid</v>
      </c>
      <c r="O1216">
        <f t="shared" si="37"/>
        <v>1125</v>
      </c>
    </row>
    <row r="1217" spans="1:15">
      <c r="A1217">
        <v>1464</v>
      </c>
      <c r="B1217" t="str">
        <f t="shared" si="36"/>
        <v>2022-11</v>
      </c>
      <c r="C1217" s="1">
        <v>44878</v>
      </c>
      <c r="D1217" s="5">
        <v>0.42083333333333334</v>
      </c>
      <c r="E1217">
        <v>80</v>
      </c>
      <c r="F1217" t="s">
        <v>11</v>
      </c>
      <c r="G1217">
        <v>38</v>
      </c>
      <c r="H1217" t="s">
        <v>15</v>
      </c>
      <c r="I1217">
        <v>2</v>
      </c>
      <c r="J1217" s="6">
        <v>300</v>
      </c>
      <c r="K1217">
        <v>126</v>
      </c>
      <c r="L1217">
        <v>600</v>
      </c>
      <c r="M1217" t="str">
        <f>IF(OR(I1217="",J1217="",L1217=""),"Incomplete","Complete")</f>
        <v>Complete</v>
      </c>
      <c r="N1217" t="str">
        <f>IF(M1217="Incomplete","Not checked",IF(ROUND(I1217*J1217,2)=ROUND(L1217,2),"Valid","Mismatch"))</f>
        <v>Valid</v>
      </c>
      <c r="O1217">
        <f t="shared" si="37"/>
        <v>474</v>
      </c>
    </row>
    <row r="1218" spans="1:15">
      <c r="A1218">
        <v>1484</v>
      </c>
      <c r="B1218" t="str">
        <f t="shared" ref="B1218:B1281" si="38">TEXT(C1218,"yyyy-mm")</f>
        <v>2022-11</v>
      </c>
      <c r="C1218" s="1">
        <v>44888</v>
      </c>
      <c r="D1218" s="5">
        <v>0.39513888888888887</v>
      </c>
      <c r="E1218">
        <v>22</v>
      </c>
      <c r="F1218" t="s">
        <v>14</v>
      </c>
      <c r="G1218">
        <v>19</v>
      </c>
      <c r="H1218" t="s">
        <v>12</v>
      </c>
      <c r="I1218">
        <v>4</v>
      </c>
      <c r="J1218" s="6">
        <v>300</v>
      </c>
      <c r="K1218">
        <v>147</v>
      </c>
      <c r="L1218">
        <v>1200</v>
      </c>
      <c r="M1218" t="str">
        <f>IF(OR(I1218="",J1218="",L1218=""),"Incomplete","Complete")</f>
        <v>Complete</v>
      </c>
      <c r="N1218" t="str">
        <f>IF(M1218="Incomplete","Not checked",IF(ROUND(I1218*J1218,2)=ROUND(L1218,2),"Valid","Mismatch"))</f>
        <v>Valid</v>
      </c>
      <c r="O1218">
        <f t="shared" ref="O1218:O1281" si="39">IF(M1218="Incomplete","",L1218-K1218)</f>
        <v>1053</v>
      </c>
    </row>
    <row r="1219" spans="1:15">
      <c r="A1219">
        <v>708</v>
      </c>
      <c r="B1219" t="str">
        <f t="shared" si="38"/>
        <v>2022-04</v>
      </c>
      <c r="C1219" s="1">
        <v>44657</v>
      </c>
      <c r="D1219" s="5">
        <v>0.35972222222222222</v>
      </c>
      <c r="E1219">
        <v>62</v>
      </c>
      <c r="F1219" t="s">
        <v>14</v>
      </c>
      <c r="G1219">
        <v>43</v>
      </c>
      <c r="H1219" t="s">
        <v>13</v>
      </c>
      <c r="I1219">
        <v>3</v>
      </c>
      <c r="J1219" s="6">
        <v>300</v>
      </c>
      <c r="K1219">
        <v>87</v>
      </c>
      <c r="L1219">
        <v>900</v>
      </c>
      <c r="M1219" t="str">
        <f>IF(OR(I1219="",J1219="",L1219=""),"Incomplete","Complete")</f>
        <v>Complete</v>
      </c>
      <c r="N1219" t="str">
        <f>IF(M1219="Incomplete","Not checked",IF(ROUND(I1219*J1219,2)=ROUND(L1219,2),"Valid","Mismatch"))</f>
        <v>Valid</v>
      </c>
      <c r="O1219">
        <f t="shared" si="39"/>
        <v>813</v>
      </c>
    </row>
    <row r="1220" spans="1:15">
      <c r="A1220">
        <v>1708</v>
      </c>
      <c r="B1220" t="str">
        <f t="shared" si="38"/>
        <v>2022-02</v>
      </c>
      <c r="C1220" s="1">
        <v>44600</v>
      </c>
      <c r="D1220" s="5">
        <v>0.32430555555555557</v>
      </c>
      <c r="E1220">
        <v>41</v>
      </c>
      <c r="F1220" t="s">
        <v>14</v>
      </c>
      <c r="G1220">
        <v>43</v>
      </c>
      <c r="H1220" t="s">
        <v>13</v>
      </c>
      <c r="I1220">
        <v>3</v>
      </c>
      <c r="J1220" s="6">
        <v>300</v>
      </c>
      <c r="K1220">
        <v>162</v>
      </c>
      <c r="L1220">
        <v>900</v>
      </c>
      <c r="M1220" t="str">
        <f>IF(OR(I1220="",J1220="",L1220=""),"Incomplete","Complete")</f>
        <v>Complete</v>
      </c>
      <c r="N1220" t="str">
        <f>IF(M1220="Incomplete","Not checked",IF(ROUND(I1220*J1220,2)=ROUND(L1220,2),"Valid","Mismatch"))</f>
        <v>Valid</v>
      </c>
      <c r="O1220">
        <f t="shared" si="39"/>
        <v>738</v>
      </c>
    </row>
    <row r="1221" spans="1:15">
      <c r="A1221">
        <v>445</v>
      </c>
      <c r="B1221" t="str">
        <f t="shared" si="38"/>
        <v>2022-04</v>
      </c>
      <c r="C1221" s="1">
        <v>44665</v>
      </c>
      <c r="D1221" s="5">
        <v>0.45</v>
      </c>
      <c r="E1221">
        <v>132</v>
      </c>
      <c r="F1221" t="s">
        <v>14</v>
      </c>
      <c r="G1221">
        <v>53</v>
      </c>
      <c r="H1221" t="s">
        <v>15</v>
      </c>
      <c r="I1221">
        <v>1</v>
      </c>
      <c r="J1221" s="6">
        <v>300</v>
      </c>
      <c r="K1221">
        <v>138</v>
      </c>
      <c r="L1221">
        <v>300</v>
      </c>
      <c r="M1221" t="str">
        <f>IF(OR(I1221="",J1221="",L1221=""),"Incomplete","Complete")</f>
        <v>Complete</v>
      </c>
      <c r="N1221" t="str">
        <f>IF(M1221="Incomplete","Not checked",IF(ROUND(I1221*J1221,2)=ROUND(L1221,2),"Valid","Mismatch"))</f>
        <v>Valid</v>
      </c>
      <c r="O1221">
        <f t="shared" si="39"/>
        <v>162</v>
      </c>
    </row>
    <row r="1222" spans="1:15">
      <c r="A1222">
        <v>1445</v>
      </c>
      <c r="B1222" t="str">
        <f t="shared" si="38"/>
        <v>2022-04</v>
      </c>
      <c r="C1222" s="1">
        <v>44670</v>
      </c>
      <c r="D1222" s="5">
        <v>0.26111111111111113</v>
      </c>
      <c r="E1222">
        <v>31</v>
      </c>
      <c r="F1222" t="s">
        <v>14</v>
      </c>
      <c r="G1222">
        <v>53</v>
      </c>
      <c r="H1222" t="s">
        <v>15</v>
      </c>
      <c r="I1222">
        <v>1</v>
      </c>
      <c r="J1222" s="6">
        <v>300</v>
      </c>
      <c r="K1222">
        <v>129</v>
      </c>
      <c r="L1222">
        <v>300</v>
      </c>
      <c r="M1222" t="str">
        <f>IF(OR(I1222="",J1222="",L1222=""),"Incomplete","Complete")</f>
        <v>Complete</v>
      </c>
      <c r="N1222" t="str">
        <f>IF(M1222="Incomplete","Not checked",IF(ROUND(I1222*J1222,2)=ROUND(L1222,2),"Valid","Mismatch"))</f>
        <v>Valid</v>
      </c>
      <c r="O1222">
        <f t="shared" si="39"/>
        <v>171</v>
      </c>
    </row>
    <row r="1223" spans="1:15">
      <c r="A1223">
        <v>323</v>
      </c>
      <c r="B1223" t="str">
        <f t="shared" si="38"/>
        <v>2022-01</v>
      </c>
      <c r="C1223" s="1">
        <v>44582</v>
      </c>
      <c r="D1223" s="5">
        <v>0.34861111111111109</v>
      </c>
      <c r="E1223">
        <v>97</v>
      </c>
      <c r="F1223" t="s">
        <v>14</v>
      </c>
      <c r="G1223">
        <v>29</v>
      </c>
      <c r="H1223" t="s">
        <v>13</v>
      </c>
      <c r="I1223">
        <v>3</v>
      </c>
      <c r="J1223" s="6">
        <v>300</v>
      </c>
      <c r="K1223">
        <v>150</v>
      </c>
      <c r="L1223">
        <v>900</v>
      </c>
      <c r="M1223" t="str">
        <f>IF(OR(I1223="",J1223="",L1223=""),"Incomplete","Complete")</f>
        <v>Complete</v>
      </c>
      <c r="N1223" t="str">
        <f>IF(M1223="Incomplete","Not checked",IF(ROUND(I1223*J1223,2)=ROUND(L1223,2),"Valid","Mismatch"))</f>
        <v>Valid</v>
      </c>
      <c r="O1223">
        <f t="shared" si="39"/>
        <v>750</v>
      </c>
    </row>
    <row r="1224" spans="1:15">
      <c r="A1224">
        <v>1323</v>
      </c>
      <c r="B1224" t="str">
        <f t="shared" si="38"/>
        <v>2022-08</v>
      </c>
      <c r="C1224" s="1">
        <v>44788</v>
      </c>
      <c r="D1224" s="5">
        <v>0.45069444444444445</v>
      </c>
      <c r="E1224">
        <v>136</v>
      </c>
      <c r="F1224" t="s">
        <v>14</v>
      </c>
      <c r="G1224">
        <v>29</v>
      </c>
      <c r="H1224" t="s">
        <v>13</v>
      </c>
      <c r="I1224">
        <v>3</v>
      </c>
      <c r="J1224" s="6">
        <v>300</v>
      </c>
      <c r="K1224">
        <v>114</v>
      </c>
      <c r="L1224">
        <v>900</v>
      </c>
      <c r="M1224" t="str">
        <f>IF(OR(I1224="",J1224="",L1224=""),"Incomplete","Complete")</f>
        <v>Complete</v>
      </c>
      <c r="N1224" t="str">
        <f>IF(M1224="Incomplete","Not checked",IF(ROUND(I1224*J1224,2)=ROUND(L1224,2),"Valid","Mismatch"))</f>
        <v>Valid</v>
      </c>
      <c r="O1224">
        <f t="shared" si="39"/>
        <v>786</v>
      </c>
    </row>
    <row r="1225" spans="1:15">
      <c r="A1225">
        <v>264</v>
      </c>
      <c r="B1225" t="str">
        <f t="shared" si="38"/>
        <v>2022-12</v>
      </c>
      <c r="C1225" s="1">
        <v>44921</v>
      </c>
      <c r="D1225" s="5">
        <v>0.46041666666666664</v>
      </c>
      <c r="E1225">
        <v>111</v>
      </c>
      <c r="F1225" t="s">
        <v>11</v>
      </c>
      <c r="G1225">
        <v>47</v>
      </c>
      <c r="H1225" t="s">
        <v>12</v>
      </c>
      <c r="I1225">
        <v>3</v>
      </c>
      <c r="J1225" s="6">
        <v>300</v>
      </c>
      <c r="K1225">
        <v>150</v>
      </c>
      <c r="L1225">
        <v>900</v>
      </c>
      <c r="M1225" t="str">
        <f>IF(OR(I1225="",J1225="",L1225=""),"Incomplete","Complete")</f>
        <v>Complete</v>
      </c>
      <c r="N1225" t="str">
        <f>IF(M1225="Incomplete","Not checked",IF(ROUND(I1225*J1225,2)=ROUND(L1225,2),"Valid","Mismatch"))</f>
        <v>Valid</v>
      </c>
      <c r="O1225">
        <f t="shared" si="39"/>
        <v>750</v>
      </c>
    </row>
    <row r="1226" spans="1:15">
      <c r="A1226">
        <v>1264</v>
      </c>
      <c r="B1226" t="str">
        <f t="shared" si="38"/>
        <v>2022-05</v>
      </c>
      <c r="C1226" s="1">
        <v>44708</v>
      </c>
      <c r="D1226" s="5">
        <v>0.39097222222222222</v>
      </c>
      <c r="E1226">
        <v>82</v>
      </c>
      <c r="F1226" t="s">
        <v>11</v>
      </c>
      <c r="G1226">
        <v>47</v>
      </c>
      <c r="H1226" t="s">
        <v>12</v>
      </c>
      <c r="I1226">
        <v>3</v>
      </c>
      <c r="J1226" s="6">
        <v>300</v>
      </c>
      <c r="K1226">
        <v>123</v>
      </c>
      <c r="L1226">
        <v>900</v>
      </c>
      <c r="M1226" t="str">
        <f>IF(OR(I1226="",J1226="",L1226=""),"Incomplete","Complete")</f>
        <v>Complete</v>
      </c>
      <c r="N1226" t="str">
        <f>IF(M1226="Incomplete","Not checked",IF(ROUND(I1226*J1226,2)=ROUND(L1226,2),"Valid","Mismatch"))</f>
        <v>Valid</v>
      </c>
      <c r="O1226">
        <f t="shared" si="39"/>
        <v>777</v>
      </c>
    </row>
    <row r="1227" spans="1:15">
      <c r="A1227">
        <v>101</v>
      </c>
      <c r="B1227" t="str">
        <f t="shared" si="38"/>
        <v>2022-01</v>
      </c>
      <c r="C1227" s="1">
        <v>44569</v>
      </c>
      <c r="D1227" s="5">
        <v>0.36527777777777776</v>
      </c>
      <c r="E1227">
        <v>24</v>
      </c>
      <c r="F1227" t="s">
        <v>11</v>
      </c>
      <c r="G1227">
        <v>32</v>
      </c>
      <c r="H1227" t="s">
        <v>12</v>
      </c>
      <c r="I1227">
        <v>2</v>
      </c>
      <c r="J1227" s="6">
        <v>300</v>
      </c>
      <c r="K1227">
        <v>135</v>
      </c>
      <c r="L1227">
        <v>600</v>
      </c>
      <c r="M1227" t="str">
        <f>IF(OR(I1227="",J1227="",L1227=""),"Incomplete","Complete")</f>
        <v>Complete</v>
      </c>
      <c r="N1227" t="str">
        <f>IF(M1227="Incomplete","Not checked",IF(ROUND(I1227*J1227,2)=ROUND(L1227,2),"Valid","Mismatch"))</f>
        <v>Valid</v>
      </c>
      <c r="O1227">
        <f t="shared" si="39"/>
        <v>465</v>
      </c>
    </row>
    <row r="1228" spans="1:15">
      <c r="A1228">
        <v>1101</v>
      </c>
      <c r="B1228" t="str">
        <f t="shared" si="38"/>
        <v>2022-05</v>
      </c>
      <c r="C1228" s="1">
        <v>44698</v>
      </c>
      <c r="D1228" s="5">
        <v>0.32430555555555557</v>
      </c>
      <c r="E1228">
        <v>15</v>
      </c>
      <c r="F1228" t="s">
        <v>11</v>
      </c>
      <c r="G1228">
        <v>32</v>
      </c>
      <c r="H1228" t="s">
        <v>12</v>
      </c>
      <c r="I1228">
        <v>2</v>
      </c>
      <c r="J1228" s="6">
        <v>300</v>
      </c>
      <c r="K1228">
        <v>132</v>
      </c>
      <c r="L1228">
        <v>600</v>
      </c>
      <c r="M1228" t="str">
        <f>IF(OR(I1228="",J1228="",L1228=""),"Incomplete","Complete")</f>
        <v>Complete</v>
      </c>
      <c r="N1228" t="str">
        <f>IF(M1228="Incomplete","Not checked",IF(ROUND(I1228*J1228,2)=ROUND(L1228,2),"Valid","Mismatch"))</f>
        <v>Valid</v>
      </c>
      <c r="O1228">
        <f t="shared" si="39"/>
        <v>468</v>
      </c>
    </row>
    <row r="1229" spans="1:15">
      <c r="A1229">
        <v>964</v>
      </c>
      <c r="B1229" t="str">
        <f t="shared" si="38"/>
        <v>2022-08</v>
      </c>
      <c r="C1229" s="1">
        <v>44799</v>
      </c>
      <c r="D1229" s="5">
        <v>0.34583333333333333</v>
      </c>
      <c r="E1229">
        <v>15</v>
      </c>
      <c r="F1229" t="s">
        <v>11</v>
      </c>
      <c r="G1229">
        <v>24</v>
      </c>
      <c r="H1229" t="s">
        <v>12</v>
      </c>
      <c r="I1229">
        <v>3</v>
      </c>
      <c r="J1229" s="6">
        <v>300</v>
      </c>
      <c r="K1229">
        <v>156</v>
      </c>
      <c r="L1229">
        <v>900</v>
      </c>
      <c r="M1229" t="str">
        <f>IF(OR(I1229="",J1229="",L1229=""),"Incomplete","Complete")</f>
        <v>Complete</v>
      </c>
      <c r="N1229" t="str">
        <f>IF(M1229="Incomplete","Not checked",IF(ROUND(I1229*J1229,2)=ROUND(L1229,2),"Valid","Mismatch"))</f>
        <v>Valid</v>
      </c>
      <c r="O1229">
        <f t="shared" si="39"/>
        <v>744</v>
      </c>
    </row>
    <row r="1230" spans="1:15">
      <c r="A1230">
        <v>1964</v>
      </c>
      <c r="B1230" t="str">
        <f t="shared" si="38"/>
        <v>2022-08</v>
      </c>
      <c r="C1230" s="1">
        <v>44775</v>
      </c>
      <c r="D1230" s="5">
        <v>0.35208333333333336</v>
      </c>
      <c r="E1230">
        <v>115</v>
      </c>
      <c r="F1230" t="s">
        <v>11</v>
      </c>
      <c r="G1230">
        <v>24</v>
      </c>
      <c r="H1230" t="s">
        <v>12</v>
      </c>
      <c r="I1230">
        <v>3</v>
      </c>
      <c r="J1230" s="6">
        <v>300</v>
      </c>
      <c r="K1230">
        <v>111</v>
      </c>
      <c r="L1230">
        <v>900</v>
      </c>
      <c r="M1230" t="str">
        <f>IF(OR(I1230="",J1230="",L1230=""),"Incomplete","Complete")</f>
        <v>Complete</v>
      </c>
      <c r="N1230" t="str">
        <f>IF(M1230="Incomplete","Not checked",IF(ROUND(I1230*J1230,2)=ROUND(L1230,2),"Valid","Mismatch"))</f>
        <v>Valid</v>
      </c>
      <c r="O1230">
        <f t="shared" si="39"/>
        <v>789</v>
      </c>
    </row>
    <row r="1231" spans="1:15">
      <c r="A1231">
        <v>320</v>
      </c>
      <c r="B1231" t="str">
        <f t="shared" si="38"/>
        <v>2022-04</v>
      </c>
      <c r="C1231" s="1">
        <v>44671</v>
      </c>
      <c r="D1231" s="5">
        <v>0.3576388888888889</v>
      </c>
      <c r="E1231">
        <v>57</v>
      </c>
      <c r="F1231" t="s">
        <v>14</v>
      </c>
      <c r="G1231">
        <v>28</v>
      </c>
      <c r="H1231" t="s">
        <v>15</v>
      </c>
      <c r="I1231">
        <v>4</v>
      </c>
      <c r="J1231" s="6">
        <v>300</v>
      </c>
      <c r="K1231">
        <v>159</v>
      </c>
      <c r="L1231">
        <v>1200</v>
      </c>
      <c r="M1231" t="str">
        <f>IF(OR(I1231="",J1231="",L1231=""),"Incomplete","Complete")</f>
        <v>Complete</v>
      </c>
      <c r="N1231" t="str">
        <f>IF(M1231="Incomplete","Not checked",IF(ROUND(I1231*J1231,2)=ROUND(L1231,2),"Valid","Mismatch"))</f>
        <v>Valid</v>
      </c>
      <c r="O1231">
        <f t="shared" si="39"/>
        <v>1041</v>
      </c>
    </row>
    <row r="1232" spans="1:15">
      <c r="A1232">
        <v>1320</v>
      </c>
      <c r="B1232" t="str">
        <f t="shared" si="38"/>
        <v>2022-11</v>
      </c>
      <c r="C1232" s="1">
        <v>44867</v>
      </c>
      <c r="D1232" s="5">
        <v>0.49652777777777779</v>
      </c>
      <c r="E1232">
        <v>102</v>
      </c>
      <c r="F1232" t="s">
        <v>14</v>
      </c>
      <c r="G1232">
        <v>28</v>
      </c>
      <c r="H1232" t="s">
        <v>15</v>
      </c>
      <c r="I1232">
        <v>4</v>
      </c>
      <c r="J1232" s="6">
        <v>300</v>
      </c>
      <c r="K1232">
        <v>84</v>
      </c>
      <c r="L1232">
        <v>1200</v>
      </c>
      <c r="M1232" t="str">
        <f>IF(OR(I1232="",J1232="",L1232=""),"Incomplete","Complete")</f>
        <v>Complete</v>
      </c>
      <c r="N1232" t="str">
        <f>IF(M1232="Incomplete","Not checked",IF(ROUND(I1232*J1232,2)=ROUND(L1232,2),"Valid","Mismatch"))</f>
        <v>Valid</v>
      </c>
      <c r="O1232">
        <f t="shared" si="39"/>
        <v>1116</v>
      </c>
    </row>
    <row r="1233" spans="1:15">
      <c r="A1233">
        <v>142</v>
      </c>
      <c r="B1233" t="str">
        <f t="shared" si="38"/>
        <v>2022-04</v>
      </c>
      <c r="C1233" s="1">
        <v>44659</v>
      </c>
      <c r="D1233" s="5">
        <v>0.4201388888888889</v>
      </c>
      <c r="E1233">
        <v>61</v>
      </c>
      <c r="F1233" t="s">
        <v>11</v>
      </c>
      <c r="G1233">
        <v>35</v>
      </c>
      <c r="H1233" t="s">
        <v>15</v>
      </c>
      <c r="I1233">
        <v>4</v>
      </c>
      <c r="J1233" s="6">
        <v>300</v>
      </c>
      <c r="K1233">
        <v>138</v>
      </c>
      <c r="L1233">
        <v>1200</v>
      </c>
      <c r="M1233" t="str">
        <f>IF(OR(I1233="",J1233="",L1233=""),"Incomplete","Complete")</f>
        <v>Complete</v>
      </c>
      <c r="N1233" t="str">
        <f>IF(M1233="Incomplete","Not checked",IF(ROUND(I1233*J1233,2)=ROUND(L1233,2),"Valid","Mismatch"))</f>
        <v>Valid</v>
      </c>
      <c r="O1233">
        <f t="shared" si="39"/>
        <v>1062</v>
      </c>
    </row>
    <row r="1234" spans="1:15">
      <c r="A1234">
        <v>1142</v>
      </c>
      <c r="B1234" t="str">
        <f t="shared" si="38"/>
        <v>2022-11</v>
      </c>
      <c r="C1234" s="1">
        <v>44874</v>
      </c>
      <c r="D1234" s="5">
        <v>0.40902777777777777</v>
      </c>
      <c r="E1234">
        <v>2</v>
      </c>
      <c r="F1234" t="s">
        <v>11</v>
      </c>
      <c r="G1234">
        <v>35</v>
      </c>
      <c r="H1234" t="s">
        <v>15</v>
      </c>
      <c r="I1234">
        <v>4</v>
      </c>
      <c r="J1234" s="6">
        <v>300</v>
      </c>
      <c r="K1234">
        <v>114</v>
      </c>
      <c r="L1234">
        <v>1200</v>
      </c>
      <c r="M1234" t="str">
        <f>IF(OR(I1234="",J1234="",L1234=""),"Incomplete","Complete")</f>
        <v>Complete</v>
      </c>
      <c r="N1234" t="str">
        <f>IF(M1234="Incomplete","Not checked",IF(ROUND(I1234*J1234,2)=ROUND(L1234,2),"Valid","Mismatch"))</f>
        <v>Valid</v>
      </c>
      <c r="O1234">
        <f t="shared" si="39"/>
        <v>1086</v>
      </c>
    </row>
    <row r="1235" spans="1:15">
      <c r="A1235">
        <v>107</v>
      </c>
      <c r="B1235" t="str">
        <f t="shared" si="38"/>
        <v>2022-10</v>
      </c>
      <c r="C1235" s="1">
        <v>44840</v>
      </c>
      <c r="D1235" s="5">
        <v>0.38750000000000001</v>
      </c>
      <c r="E1235">
        <v>75</v>
      </c>
      <c r="F1235" t="s">
        <v>14</v>
      </c>
      <c r="G1235">
        <v>21</v>
      </c>
      <c r="H1235" t="s">
        <v>12</v>
      </c>
      <c r="I1235">
        <v>4</v>
      </c>
      <c r="J1235" s="6">
        <v>300</v>
      </c>
      <c r="K1235">
        <v>78</v>
      </c>
      <c r="L1235">
        <v>1200</v>
      </c>
      <c r="M1235" t="str">
        <f>IF(OR(I1235="",J1235="",L1235=""),"Incomplete","Complete")</f>
        <v>Complete</v>
      </c>
      <c r="N1235" t="str">
        <f>IF(M1235="Incomplete","Not checked",IF(ROUND(I1235*J1235,2)=ROUND(L1235,2),"Valid","Mismatch"))</f>
        <v>Valid</v>
      </c>
      <c r="O1235">
        <f t="shared" si="39"/>
        <v>1122</v>
      </c>
    </row>
    <row r="1236" spans="1:15">
      <c r="A1236">
        <v>1107</v>
      </c>
      <c r="B1236" t="str">
        <f t="shared" si="38"/>
        <v>2022-12</v>
      </c>
      <c r="C1236" s="1">
        <v>44926</v>
      </c>
      <c r="D1236" s="5">
        <v>0.46805555555555556</v>
      </c>
      <c r="E1236">
        <v>62</v>
      </c>
      <c r="F1236" t="s">
        <v>14</v>
      </c>
      <c r="G1236">
        <v>21</v>
      </c>
      <c r="H1236" t="s">
        <v>12</v>
      </c>
      <c r="I1236">
        <v>4</v>
      </c>
      <c r="J1236" s="6">
        <v>300</v>
      </c>
      <c r="K1236">
        <v>102</v>
      </c>
      <c r="L1236">
        <v>1200</v>
      </c>
      <c r="M1236" t="str">
        <f>IF(OR(I1236="",J1236="",L1236=""),"Incomplete","Complete")</f>
        <v>Complete</v>
      </c>
      <c r="N1236" t="str">
        <f>IF(M1236="Incomplete","Not checked",IF(ROUND(I1236*J1236,2)=ROUND(L1236,2),"Valid","Mismatch"))</f>
        <v>Valid</v>
      </c>
      <c r="O1236">
        <f t="shared" si="39"/>
        <v>1098</v>
      </c>
    </row>
    <row r="1237" spans="1:15">
      <c r="A1237">
        <v>333</v>
      </c>
      <c r="B1237" t="str">
        <f t="shared" si="38"/>
        <v>2022-10</v>
      </c>
      <c r="C1237" s="1">
        <v>44840</v>
      </c>
      <c r="D1237" s="5">
        <v>0.34375</v>
      </c>
      <c r="E1237">
        <v>21</v>
      </c>
      <c r="F1237" t="s">
        <v>14</v>
      </c>
      <c r="G1237">
        <v>54</v>
      </c>
      <c r="H1237" t="s">
        <v>15</v>
      </c>
      <c r="I1237">
        <v>4</v>
      </c>
      <c r="J1237" s="6">
        <v>300</v>
      </c>
      <c r="K1237">
        <v>99</v>
      </c>
      <c r="L1237">
        <v>1200</v>
      </c>
      <c r="M1237" t="str">
        <f>IF(OR(I1237="",J1237="",L1237=""),"Incomplete","Complete")</f>
        <v>Complete</v>
      </c>
      <c r="N1237" t="str">
        <f>IF(M1237="Incomplete","Not checked",IF(ROUND(I1237*J1237,2)=ROUND(L1237,2),"Valid","Mismatch"))</f>
        <v>Valid</v>
      </c>
      <c r="O1237">
        <f t="shared" si="39"/>
        <v>1101</v>
      </c>
    </row>
    <row r="1238" spans="1:15">
      <c r="A1238">
        <v>1333</v>
      </c>
      <c r="B1238" t="str">
        <f t="shared" si="38"/>
        <v>2022-11</v>
      </c>
      <c r="C1238" s="1">
        <v>44866</v>
      </c>
      <c r="D1238" s="5">
        <v>0.48472222222222222</v>
      </c>
      <c r="E1238">
        <v>151</v>
      </c>
      <c r="F1238" t="s">
        <v>14</v>
      </c>
      <c r="G1238">
        <v>54</v>
      </c>
      <c r="H1238" t="s">
        <v>15</v>
      </c>
      <c r="I1238">
        <v>4</v>
      </c>
      <c r="J1238" s="6">
        <v>300</v>
      </c>
      <c r="K1238">
        <v>165</v>
      </c>
      <c r="L1238">
        <v>1200</v>
      </c>
      <c r="M1238" t="str">
        <f>IF(OR(I1238="",J1238="",L1238=""),"Incomplete","Complete")</f>
        <v>Complete</v>
      </c>
      <c r="N1238" t="str">
        <f>IF(M1238="Incomplete","Not checked",IF(ROUND(I1238*J1238,2)=ROUND(L1238,2),"Valid","Mismatch"))</f>
        <v>Valid</v>
      </c>
      <c r="O1238">
        <f t="shared" si="39"/>
        <v>1035</v>
      </c>
    </row>
    <row r="1239" spans="1:15">
      <c r="A1239">
        <v>240</v>
      </c>
      <c r="B1239" t="str">
        <f t="shared" si="38"/>
        <v>2022-11</v>
      </c>
      <c r="C1239" s="1">
        <v>44870</v>
      </c>
      <c r="D1239" s="5">
        <v>0.49236111111111114</v>
      </c>
      <c r="E1239">
        <v>95</v>
      </c>
      <c r="F1239" t="s">
        <v>14</v>
      </c>
      <c r="G1239">
        <v>23</v>
      </c>
      <c r="H1239" t="s">
        <v>13</v>
      </c>
      <c r="I1239">
        <v>1</v>
      </c>
      <c r="J1239" s="6">
        <v>300</v>
      </c>
      <c r="K1239">
        <v>123</v>
      </c>
      <c r="L1239">
        <v>300</v>
      </c>
      <c r="M1239" t="str">
        <f>IF(OR(I1239="",J1239="",L1239=""),"Incomplete","Complete")</f>
        <v>Complete</v>
      </c>
      <c r="N1239" t="str">
        <f>IF(M1239="Incomplete","Not checked",IF(ROUND(I1239*J1239,2)=ROUND(L1239,2),"Valid","Mismatch"))</f>
        <v>Valid</v>
      </c>
      <c r="O1239">
        <f t="shared" si="39"/>
        <v>177</v>
      </c>
    </row>
    <row r="1240" spans="1:15">
      <c r="A1240">
        <v>1240</v>
      </c>
      <c r="B1240" t="str">
        <f t="shared" si="38"/>
        <v>2022-08</v>
      </c>
      <c r="C1240" s="1">
        <v>44780</v>
      </c>
      <c r="D1240" s="5">
        <v>0.32083333333333336</v>
      </c>
      <c r="E1240">
        <v>144</v>
      </c>
      <c r="F1240" t="s">
        <v>14</v>
      </c>
      <c r="G1240">
        <v>23</v>
      </c>
      <c r="H1240" t="s">
        <v>13</v>
      </c>
      <c r="I1240">
        <v>1</v>
      </c>
      <c r="J1240" s="6">
        <v>300</v>
      </c>
      <c r="K1240">
        <v>90</v>
      </c>
      <c r="L1240">
        <v>300</v>
      </c>
      <c r="M1240" t="str">
        <f>IF(OR(I1240="",J1240="",L1240=""),"Incomplete","Complete")</f>
        <v>Complete</v>
      </c>
      <c r="N1240" t="str">
        <f>IF(M1240="Incomplete","Not checked",IF(ROUND(I1240*J1240,2)=ROUND(L1240,2),"Valid","Mismatch"))</f>
        <v>Valid</v>
      </c>
      <c r="O1240">
        <f t="shared" si="39"/>
        <v>210</v>
      </c>
    </row>
    <row r="1241" spans="1:15">
      <c r="A1241">
        <v>596</v>
      </c>
      <c r="B1241" t="str">
        <f t="shared" si="38"/>
        <v>2022-02</v>
      </c>
      <c r="C1241" s="1">
        <v>44604</v>
      </c>
      <c r="D1241" s="5">
        <v>0.36388888888888887</v>
      </c>
      <c r="E1241">
        <v>87</v>
      </c>
      <c r="F1241" t="s">
        <v>14</v>
      </c>
      <c r="G1241">
        <v>64</v>
      </c>
      <c r="H1241" t="s">
        <v>15</v>
      </c>
      <c r="I1241">
        <v>1</v>
      </c>
      <c r="J1241" s="6">
        <v>300</v>
      </c>
      <c r="K1241">
        <v>93</v>
      </c>
      <c r="L1241">
        <v>300</v>
      </c>
      <c r="M1241" t="str">
        <f>IF(OR(I1241="",J1241="",L1241=""),"Incomplete","Complete")</f>
        <v>Complete</v>
      </c>
      <c r="N1241" t="str">
        <f>IF(M1241="Incomplete","Not checked",IF(ROUND(I1241*J1241,2)=ROUND(L1241,2),"Valid","Mismatch"))</f>
        <v>Valid</v>
      </c>
      <c r="O1241">
        <f t="shared" si="39"/>
        <v>207</v>
      </c>
    </row>
    <row r="1242" spans="1:15">
      <c r="A1242">
        <v>1596</v>
      </c>
      <c r="B1242" t="str">
        <f t="shared" si="38"/>
        <v>2022-03</v>
      </c>
      <c r="C1242" s="1">
        <v>44648</v>
      </c>
      <c r="D1242" s="5">
        <v>0.26527777777777778</v>
      </c>
      <c r="E1242">
        <v>7</v>
      </c>
      <c r="F1242" t="s">
        <v>14</v>
      </c>
      <c r="G1242">
        <v>64</v>
      </c>
      <c r="H1242" t="s">
        <v>15</v>
      </c>
      <c r="I1242">
        <v>1</v>
      </c>
      <c r="J1242" s="6">
        <v>300</v>
      </c>
      <c r="K1242">
        <v>141</v>
      </c>
      <c r="L1242">
        <v>300</v>
      </c>
      <c r="M1242" t="str">
        <f>IF(OR(I1242="",J1242="",L1242=""),"Incomplete","Complete")</f>
        <v>Complete</v>
      </c>
      <c r="N1242" t="str">
        <f>IF(M1242="Incomplete","Not checked",IF(ROUND(I1242*J1242,2)=ROUND(L1242,2),"Valid","Mismatch"))</f>
        <v>Valid</v>
      </c>
      <c r="O1242">
        <f t="shared" si="39"/>
        <v>159</v>
      </c>
    </row>
    <row r="1243" spans="1:15">
      <c r="A1243">
        <v>649</v>
      </c>
      <c r="B1243" t="str">
        <f t="shared" si="38"/>
        <v>2022-06</v>
      </c>
      <c r="C1243" s="1">
        <v>44733</v>
      </c>
      <c r="D1243" s="5">
        <v>0.34513888888888888</v>
      </c>
      <c r="E1243">
        <v>44</v>
      </c>
      <c r="F1243" t="s">
        <v>14</v>
      </c>
      <c r="G1243">
        <v>58</v>
      </c>
      <c r="H1243" t="s">
        <v>12</v>
      </c>
      <c r="I1243">
        <v>2</v>
      </c>
      <c r="J1243" s="6">
        <v>300</v>
      </c>
      <c r="K1243">
        <v>135</v>
      </c>
      <c r="L1243">
        <v>600</v>
      </c>
      <c r="M1243" t="str">
        <f>IF(OR(I1243="",J1243="",L1243=""),"Incomplete","Complete")</f>
        <v>Complete</v>
      </c>
      <c r="N1243" t="str">
        <f>IF(M1243="Incomplete","Not checked",IF(ROUND(I1243*J1243,2)=ROUND(L1243,2),"Valid","Mismatch"))</f>
        <v>Valid</v>
      </c>
      <c r="O1243">
        <f t="shared" si="39"/>
        <v>465</v>
      </c>
    </row>
    <row r="1244" spans="1:15">
      <c r="A1244">
        <v>1649</v>
      </c>
      <c r="B1244" t="str">
        <f t="shared" si="38"/>
        <v>2022-10</v>
      </c>
      <c r="C1244" s="1">
        <v>44855</v>
      </c>
      <c r="D1244" s="5">
        <v>0.32222222222222224</v>
      </c>
      <c r="E1244">
        <v>72</v>
      </c>
      <c r="F1244" t="s">
        <v>14</v>
      </c>
      <c r="G1244">
        <v>58</v>
      </c>
      <c r="H1244" t="s">
        <v>12</v>
      </c>
      <c r="I1244">
        <v>2</v>
      </c>
      <c r="J1244" s="6">
        <v>300</v>
      </c>
      <c r="K1244">
        <v>75</v>
      </c>
      <c r="L1244">
        <v>600</v>
      </c>
      <c r="M1244" t="str">
        <f>IF(OR(I1244="",J1244="",L1244=""),"Incomplete","Complete")</f>
        <v>Complete</v>
      </c>
      <c r="N1244" t="str">
        <f>IF(M1244="Incomplete","Not checked",IF(ROUND(I1244*J1244,2)=ROUND(L1244,2),"Valid","Mismatch"))</f>
        <v>Valid</v>
      </c>
      <c r="O1244">
        <f t="shared" si="39"/>
        <v>525</v>
      </c>
    </row>
    <row r="1245" spans="1:15">
      <c r="A1245">
        <v>68</v>
      </c>
      <c r="B1245" t="str">
        <f t="shared" si="38"/>
        <v>2022-12</v>
      </c>
      <c r="C1245" s="1">
        <v>44910</v>
      </c>
      <c r="D1245" s="5">
        <v>0.37916666666666665</v>
      </c>
      <c r="E1245">
        <v>146</v>
      </c>
      <c r="F1245" t="s">
        <v>11</v>
      </c>
      <c r="G1245">
        <v>25</v>
      </c>
      <c r="H1245" t="s">
        <v>15</v>
      </c>
      <c r="I1245">
        <v>1</v>
      </c>
      <c r="J1245" s="6">
        <v>300</v>
      </c>
      <c r="K1245">
        <v>84</v>
      </c>
      <c r="L1245">
        <v>300</v>
      </c>
      <c r="M1245" t="str">
        <f>IF(OR(I1245="",J1245="",L1245=""),"Incomplete","Complete")</f>
        <v>Complete</v>
      </c>
      <c r="N1245" t="str">
        <f>IF(M1245="Incomplete","Not checked",IF(ROUND(I1245*J1245,2)=ROUND(L1245,2),"Valid","Mismatch"))</f>
        <v>Valid</v>
      </c>
      <c r="O1245">
        <f t="shared" si="39"/>
        <v>216</v>
      </c>
    </row>
    <row r="1246" spans="1:15">
      <c r="A1246">
        <v>1068</v>
      </c>
      <c r="B1246" t="str">
        <f t="shared" si="38"/>
        <v>2022-09</v>
      </c>
      <c r="C1246" s="1">
        <v>44818</v>
      </c>
      <c r="D1246" s="5">
        <v>0.42430555555555555</v>
      </c>
      <c r="E1246">
        <v>136</v>
      </c>
      <c r="F1246" t="s">
        <v>11</v>
      </c>
      <c r="G1246">
        <v>25</v>
      </c>
      <c r="H1246" t="s">
        <v>15</v>
      </c>
      <c r="I1246">
        <v>1</v>
      </c>
      <c r="J1246" s="6">
        <v>300</v>
      </c>
      <c r="K1246">
        <v>111</v>
      </c>
      <c r="L1246">
        <v>300</v>
      </c>
      <c r="M1246" t="str">
        <f>IF(OR(I1246="",J1246="",L1246=""),"Incomplete","Complete")</f>
        <v>Complete</v>
      </c>
      <c r="N1246" t="str">
        <f>IF(M1246="Incomplete","Not checked",IF(ROUND(I1246*J1246,2)=ROUND(L1246,2),"Valid","Mismatch"))</f>
        <v>Valid</v>
      </c>
      <c r="O1246">
        <f t="shared" si="39"/>
        <v>189</v>
      </c>
    </row>
    <row r="1247" spans="1:15">
      <c r="A1247">
        <v>821</v>
      </c>
      <c r="B1247" t="str">
        <f t="shared" si="38"/>
        <v>2022-11</v>
      </c>
      <c r="C1247" s="1">
        <v>44888</v>
      </c>
      <c r="D1247" s="5">
        <v>0.47708333333333336</v>
      </c>
      <c r="E1247">
        <v>40</v>
      </c>
      <c r="F1247" t="s">
        <v>11</v>
      </c>
      <c r="G1247">
        <v>49</v>
      </c>
      <c r="H1247" t="s">
        <v>15</v>
      </c>
      <c r="I1247">
        <v>1</v>
      </c>
      <c r="J1247" s="6">
        <v>300</v>
      </c>
      <c r="K1247">
        <v>129</v>
      </c>
      <c r="L1247">
        <v>300</v>
      </c>
      <c r="M1247" t="str">
        <f>IF(OR(I1247="",J1247="",L1247=""),"Incomplete","Complete")</f>
        <v>Complete</v>
      </c>
      <c r="N1247" t="str">
        <f>IF(M1247="Incomplete","Not checked",IF(ROUND(I1247*J1247,2)=ROUND(L1247,2),"Valid","Mismatch"))</f>
        <v>Valid</v>
      </c>
      <c r="O1247">
        <f t="shared" si="39"/>
        <v>171</v>
      </c>
    </row>
    <row r="1248" spans="1:15">
      <c r="A1248">
        <v>1821</v>
      </c>
      <c r="B1248" t="str">
        <f t="shared" si="38"/>
        <v>2022-10</v>
      </c>
      <c r="C1248" s="1">
        <v>44837</v>
      </c>
      <c r="D1248" s="5">
        <v>0.3034722222222222</v>
      </c>
      <c r="E1248">
        <v>42</v>
      </c>
      <c r="F1248" t="s">
        <v>11</v>
      </c>
      <c r="G1248">
        <v>49</v>
      </c>
      <c r="H1248" t="s">
        <v>15</v>
      </c>
      <c r="I1248">
        <v>1</v>
      </c>
      <c r="J1248" s="6">
        <v>300</v>
      </c>
      <c r="K1248">
        <v>108</v>
      </c>
      <c r="L1248">
        <v>300</v>
      </c>
      <c r="M1248" t="str">
        <f>IF(OR(I1248="",J1248="",L1248=""),"Incomplete","Complete")</f>
        <v>Complete</v>
      </c>
      <c r="N1248" t="str">
        <f>IF(M1248="Incomplete","Not checked",IF(ROUND(I1248*J1248,2)=ROUND(L1248,2),"Valid","Mismatch"))</f>
        <v>Valid</v>
      </c>
      <c r="O1248">
        <f t="shared" si="39"/>
        <v>192</v>
      </c>
    </row>
    <row r="1249" spans="1:15">
      <c r="A1249">
        <v>133</v>
      </c>
      <c r="B1249" t="str">
        <f t="shared" si="38"/>
        <v>2022-06</v>
      </c>
      <c r="C1249" s="1">
        <v>44735</v>
      </c>
      <c r="D1249" s="5">
        <v>0.37569444444444444</v>
      </c>
      <c r="E1249">
        <v>70</v>
      </c>
      <c r="F1249" t="s">
        <v>11</v>
      </c>
      <c r="G1249">
        <v>20</v>
      </c>
      <c r="H1249" t="s">
        <v>15</v>
      </c>
      <c r="I1249">
        <v>3</v>
      </c>
      <c r="J1249" s="6">
        <v>300</v>
      </c>
      <c r="K1249">
        <v>87</v>
      </c>
      <c r="L1249">
        <v>900</v>
      </c>
      <c r="M1249" t="str">
        <f>IF(OR(I1249="",J1249="",L1249=""),"Incomplete","Complete")</f>
        <v>Complete</v>
      </c>
      <c r="N1249" t="str">
        <f>IF(M1249="Incomplete","Not checked",IF(ROUND(I1249*J1249,2)=ROUND(L1249,2),"Valid","Mismatch"))</f>
        <v>Valid</v>
      </c>
      <c r="O1249">
        <f t="shared" si="39"/>
        <v>813</v>
      </c>
    </row>
    <row r="1250" spans="1:15">
      <c r="A1250">
        <v>1133</v>
      </c>
      <c r="B1250" t="str">
        <f t="shared" si="38"/>
        <v>2022-03</v>
      </c>
      <c r="C1250" s="1">
        <v>44625</v>
      </c>
      <c r="D1250" s="5">
        <v>0.27916666666666667</v>
      </c>
      <c r="E1250">
        <v>58</v>
      </c>
      <c r="F1250" t="s">
        <v>11</v>
      </c>
      <c r="G1250">
        <v>20</v>
      </c>
      <c r="H1250" t="s">
        <v>15</v>
      </c>
      <c r="I1250">
        <v>3</v>
      </c>
      <c r="J1250" s="6">
        <v>300</v>
      </c>
      <c r="K1250">
        <v>159</v>
      </c>
      <c r="L1250">
        <v>900</v>
      </c>
      <c r="M1250" t="str">
        <f>IF(OR(I1250="",J1250="",L1250=""),"Incomplete","Complete")</f>
        <v>Complete</v>
      </c>
      <c r="N1250" t="str">
        <f>IF(M1250="Incomplete","Not checked",IF(ROUND(I1250*J1250,2)=ROUND(L1250,2),"Valid","Mismatch"))</f>
        <v>Valid</v>
      </c>
      <c r="O1250">
        <f t="shared" si="39"/>
        <v>741</v>
      </c>
    </row>
    <row r="1251" spans="1:15">
      <c r="A1251">
        <v>42</v>
      </c>
      <c r="B1251" t="str">
        <f t="shared" si="38"/>
        <v>2022-12</v>
      </c>
      <c r="C1251" s="1">
        <v>44903</v>
      </c>
      <c r="D1251" s="5">
        <v>0.35347222222222224</v>
      </c>
      <c r="E1251">
        <v>63</v>
      </c>
      <c r="F1251" t="s">
        <v>11</v>
      </c>
      <c r="G1251">
        <v>22</v>
      </c>
      <c r="H1251" t="s">
        <v>12</v>
      </c>
      <c r="I1251">
        <v>3</v>
      </c>
      <c r="J1251" s="6">
        <v>300</v>
      </c>
      <c r="K1251">
        <v>147</v>
      </c>
      <c r="L1251">
        <v>900</v>
      </c>
      <c r="M1251" t="str">
        <f>IF(OR(I1251="",J1251="",L1251=""),"Incomplete","Complete")</f>
        <v>Complete</v>
      </c>
      <c r="N1251" t="str">
        <f>IF(M1251="Incomplete","Not checked",IF(ROUND(I1251*J1251,2)=ROUND(L1251,2),"Valid","Mismatch"))</f>
        <v>Valid</v>
      </c>
      <c r="O1251">
        <f t="shared" si="39"/>
        <v>753</v>
      </c>
    </row>
    <row r="1252" spans="1:15">
      <c r="A1252">
        <v>292</v>
      </c>
      <c r="B1252" t="str">
        <f t="shared" si="38"/>
        <v>2022-10</v>
      </c>
      <c r="C1252" s="1">
        <v>44844</v>
      </c>
      <c r="D1252" s="5">
        <v>0.27291666666666664</v>
      </c>
      <c r="E1252">
        <v>111</v>
      </c>
      <c r="F1252" t="s">
        <v>11</v>
      </c>
      <c r="G1252">
        <v>20</v>
      </c>
      <c r="H1252" t="s">
        <v>13</v>
      </c>
      <c r="I1252">
        <v>4</v>
      </c>
      <c r="J1252" s="6">
        <v>300</v>
      </c>
      <c r="K1252">
        <v>141</v>
      </c>
      <c r="L1252">
        <v>1200</v>
      </c>
      <c r="M1252" t="str">
        <f>IF(OR(I1252="",J1252="",L1252=""),"Incomplete","Complete")</f>
        <v>Complete</v>
      </c>
      <c r="N1252" t="str">
        <f>IF(M1252="Incomplete","Not checked",IF(ROUND(I1252*J1252,2)=ROUND(L1252,2),"Valid","Mismatch"))</f>
        <v>Valid</v>
      </c>
      <c r="O1252">
        <f t="shared" si="39"/>
        <v>1059</v>
      </c>
    </row>
    <row r="1253" spans="1:15">
      <c r="A1253">
        <v>1042</v>
      </c>
      <c r="B1253" t="str">
        <f t="shared" si="38"/>
        <v>2022-02</v>
      </c>
      <c r="C1253" s="1">
        <v>44603</v>
      </c>
      <c r="D1253" s="5">
        <v>0.26458333333333334</v>
      </c>
      <c r="E1253">
        <v>7</v>
      </c>
      <c r="F1253" t="s">
        <v>11</v>
      </c>
      <c r="G1253">
        <v>22</v>
      </c>
      <c r="H1253" t="s">
        <v>12</v>
      </c>
      <c r="I1253">
        <v>3</v>
      </c>
      <c r="J1253" s="6">
        <v>300</v>
      </c>
      <c r="K1253">
        <v>150</v>
      </c>
      <c r="L1253">
        <v>900</v>
      </c>
      <c r="M1253" t="str">
        <f>IF(OR(I1253="",J1253="",L1253=""),"Incomplete","Complete")</f>
        <v>Complete</v>
      </c>
      <c r="N1253" t="str">
        <f>IF(M1253="Incomplete","Not checked",IF(ROUND(I1253*J1253,2)=ROUND(L1253,2),"Valid","Mismatch"))</f>
        <v>Valid</v>
      </c>
      <c r="O1253">
        <f t="shared" si="39"/>
        <v>750</v>
      </c>
    </row>
    <row r="1254" spans="1:15">
      <c r="A1254">
        <v>1292</v>
      </c>
      <c r="B1254" t="str">
        <f t="shared" si="38"/>
        <v>2022-05</v>
      </c>
      <c r="C1254" s="1">
        <v>44696</v>
      </c>
      <c r="D1254" s="5">
        <v>0.34722222222222221</v>
      </c>
      <c r="E1254">
        <v>88</v>
      </c>
      <c r="F1254" t="s">
        <v>11</v>
      </c>
      <c r="G1254">
        <v>20</v>
      </c>
      <c r="H1254" t="s">
        <v>13</v>
      </c>
      <c r="I1254">
        <v>4</v>
      </c>
      <c r="J1254" s="6">
        <v>300</v>
      </c>
      <c r="K1254">
        <v>90</v>
      </c>
      <c r="L1254">
        <v>1200</v>
      </c>
      <c r="M1254" t="str">
        <f>IF(OR(I1254="",J1254="",L1254=""),"Incomplete","Complete")</f>
        <v>Complete</v>
      </c>
      <c r="N1254" t="str">
        <f>IF(M1254="Incomplete","Not checked",IF(ROUND(I1254*J1254,2)=ROUND(L1254,2),"Valid","Mismatch"))</f>
        <v>Valid</v>
      </c>
      <c r="O1254">
        <f t="shared" si="39"/>
        <v>1110</v>
      </c>
    </row>
    <row r="1255" spans="1:15">
      <c r="A1255">
        <v>70</v>
      </c>
      <c r="B1255" t="str">
        <f t="shared" si="38"/>
        <v>2022-12</v>
      </c>
      <c r="C1255" s="1">
        <v>44922</v>
      </c>
      <c r="D1255" s="5">
        <v>0.45</v>
      </c>
      <c r="E1255">
        <v>147</v>
      </c>
      <c r="F1255" t="s">
        <v>14</v>
      </c>
      <c r="G1255">
        <v>43</v>
      </c>
      <c r="H1255" t="s">
        <v>12</v>
      </c>
      <c r="I1255">
        <v>1</v>
      </c>
      <c r="J1255" s="6">
        <v>300</v>
      </c>
      <c r="K1255">
        <v>84</v>
      </c>
      <c r="L1255">
        <v>300</v>
      </c>
      <c r="M1255" t="str">
        <f>IF(OR(I1255="",J1255="",L1255=""),"Incomplete","Complete")</f>
        <v>Complete</v>
      </c>
      <c r="N1255" t="str">
        <f>IF(M1255="Incomplete","Not checked",IF(ROUND(I1255*J1255,2)=ROUND(L1255,2),"Valid","Mismatch"))</f>
        <v>Valid</v>
      </c>
      <c r="O1255">
        <f t="shared" si="39"/>
        <v>216</v>
      </c>
    </row>
    <row r="1256" spans="1:15">
      <c r="A1256">
        <v>1070</v>
      </c>
      <c r="B1256" t="str">
        <f t="shared" si="38"/>
        <v>2022-07</v>
      </c>
      <c r="C1256" s="1">
        <v>44756</v>
      </c>
      <c r="D1256" s="5">
        <v>0.46666666666666667</v>
      </c>
      <c r="E1256">
        <v>102</v>
      </c>
      <c r="F1256" t="s">
        <v>14</v>
      </c>
      <c r="G1256">
        <v>43</v>
      </c>
      <c r="H1256" t="s">
        <v>12</v>
      </c>
      <c r="I1256">
        <v>1</v>
      </c>
      <c r="J1256" s="6">
        <v>300</v>
      </c>
      <c r="K1256">
        <v>120</v>
      </c>
      <c r="L1256">
        <v>300</v>
      </c>
      <c r="M1256" t="str">
        <f>IF(OR(I1256="",J1256="",L1256=""),"Incomplete","Complete")</f>
        <v>Complete</v>
      </c>
      <c r="N1256" t="str">
        <f>IF(M1256="Incomplete","Not checked",IF(ROUND(I1256*J1256,2)=ROUND(L1256,2),"Valid","Mismatch"))</f>
        <v>Valid</v>
      </c>
      <c r="O1256">
        <f t="shared" si="39"/>
        <v>180</v>
      </c>
    </row>
    <row r="1257" spans="1:15">
      <c r="A1257">
        <v>168</v>
      </c>
      <c r="B1257" t="str">
        <f t="shared" si="38"/>
        <v>2022-04</v>
      </c>
      <c r="C1257" s="1">
        <v>44680</v>
      </c>
      <c r="D1257" s="5">
        <v>0.3888888888888889</v>
      </c>
      <c r="E1257">
        <v>138</v>
      </c>
      <c r="F1257" t="s">
        <v>11</v>
      </c>
      <c r="G1257">
        <v>53</v>
      </c>
      <c r="H1257" t="s">
        <v>12</v>
      </c>
      <c r="I1257">
        <v>1</v>
      </c>
      <c r="J1257" s="6">
        <v>300</v>
      </c>
      <c r="K1257">
        <v>102</v>
      </c>
      <c r="L1257">
        <v>300</v>
      </c>
      <c r="M1257" t="str">
        <f>IF(OR(I1257="",J1257="",L1257=""),"Incomplete","Complete")</f>
        <v>Complete</v>
      </c>
      <c r="N1257" t="str">
        <f>IF(M1257="Incomplete","Not checked",IF(ROUND(I1257*J1257,2)=ROUND(L1257,2),"Valid","Mismatch"))</f>
        <v>Valid</v>
      </c>
      <c r="O1257">
        <f t="shared" si="39"/>
        <v>198</v>
      </c>
    </row>
    <row r="1258" spans="1:15">
      <c r="A1258">
        <v>800</v>
      </c>
      <c r="B1258" t="str">
        <f t="shared" si="38"/>
        <v>2022-09</v>
      </c>
      <c r="C1258" s="1">
        <v>44823</v>
      </c>
      <c r="D1258" s="5">
        <v>0.31458333333333333</v>
      </c>
      <c r="E1258">
        <v>111</v>
      </c>
      <c r="F1258" t="s">
        <v>11</v>
      </c>
      <c r="G1258">
        <v>32</v>
      </c>
      <c r="H1258" t="s">
        <v>12</v>
      </c>
      <c r="I1258">
        <v>4</v>
      </c>
      <c r="J1258" s="6">
        <v>300</v>
      </c>
      <c r="K1258">
        <v>87</v>
      </c>
      <c r="L1258">
        <v>1200</v>
      </c>
      <c r="M1258" t="str">
        <f>IF(OR(I1258="",J1258="",L1258=""),"Incomplete","Complete")</f>
        <v>Complete</v>
      </c>
      <c r="N1258" t="str">
        <f>IF(M1258="Incomplete","Not checked",IF(ROUND(I1258*J1258,2)=ROUND(L1258,2),"Valid","Mismatch"))</f>
        <v>Valid</v>
      </c>
      <c r="O1258">
        <f t="shared" si="39"/>
        <v>1113</v>
      </c>
    </row>
    <row r="1259" spans="1:15">
      <c r="A1259">
        <v>1168</v>
      </c>
      <c r="B1259" t="str">
        <f t="shared" si="38"/>
        <v>2022-07</v>
      </c>
      <c r="C1259" s="1">
        <v>44752</v>
      </c>
      <c r="D1259" s="5">
        <v>0.33055555555555555</v>
      </c>
      <c r="E1259">
        <v>68</v>
      </c>
      <c r="F1259" t="s">
        <v>11</v>
      </c>
      <c r="G1259">
        <v>53</v>
      </c>
      <c r="H1259" t="s">
        <v>12</v>
      </c>
      <c r="I1259">
        <v>1</v>
      </c>
      <c r="J1259" s="6">
        <v>300</v>
      </c>
      <c r="K1259">
        <v>150</v>
      </c>
      <c r="L1259">
        <v>300</v>
      </c>
      <c r="M1259" t="str">
        <f>IF(OR(I1259="",J1259="",L1259=""),"Incomplete","Complete")</f>
        <v>Complete</v>
      </c>
      <c r="N1259" t="str">
        <f>IF(M1259="Incomplete","Not checked",IF(ROUND(I1259*J1259,2)=ROUND(L1259,2),"Valid","Mismatch"))</f>
        <v>Valid</v>
      </c>
      <c r="O1259">
        <f t="shared" si="39"/>
        <v>150</v>
      </c>
    </row>
    <row r="1260" spans="1:15">
      <c r="A1260">
        <v>1800</v>
      </c>
      <c r="B1260" t="str">
        <f t="shared" si="38"/>
        <v>2022-08</v>
      </c>
      <c r="C1260" s="1">
        <v>44794</v>
      </c>
      <c r="D1260" s="5">
        <v>0.45347222222222222</v>
      </c>
      <c r="E1260">
        <v>1</v>
      </c>
      <c r="F1260" t="s">
        <v>11</v>
      </c>
      <c r="G1260">
        <v>32</v>
      </c>
      <c r="H1260" t="s">
        <v>12</v>
      </c>
      <c r="I1260">
        <v>4</v>
      </c>
      <c r="J1260" s="6">
        <v>300</v>
      </c>
      <c r="K1260">
        <v>111</v>
      </c>
      <c r="L1260">
        <v>1200</v>
      </c>
      <c r="M1260" t="str">
        <f>IF(OR(I1260="",J1260="",L1260=""),"Incomplete","Complete")</f>
        <v>Complete</v>
      </c>
      <c r="N1260" t="str">
        <f>IF(M1260="Incomplete","Not checked",IF(ROUND(I1260*J1260,2)=ROUND(L1260,2),"Valid","Mismatch"))</f>
        <v>Valid</v>
      </c>
      <c r="O1260">
        <f t="shared" si="39"/>
        <v>1089</v>
      </c>
    </row>
    <row r="1261" spans="1:15">
      <c r="A1261">
        <v>766</v>
      </c>
      <c r="B1261" t="str">
        <f t="shared" si="38"/>
        <v>2022-01</v>
      </c>
      <c r="C1261" s="1">
        <v>44565</v>
      </c>
      <c r="D1261" s="5">
        <v>0.3347222222222222</v>
      </c>
      <c r="E1261">
        <v>128</v>
      </c>
      <c r="F1261" t="s">
        <v>11</v>
      </c>
      <c r="G1261">
        <v>38</v>
      </c>
      <c r="H1261" t="s">
        <v>15</v>
      </c>
      <c r="I1261">
        <v>3</v>
      </c>
      <c r="J1261" s="6">
        <v>300</v>
      </c>
      <c r="K1261">
        <v>165</v>
      </c>
      <c r="L1261">
        <v>900</v>
      </c>
      <c r="M1261" t="str">
        <f>IF(OR(I1261="",J1261="",L1261=""),"Incomplete","Complete")</f>
        <v>Complete</v>
      </c>
      <c r="N1261" t="str">
        <f>IF(M1261="Incomplete","Not checked",IF(ROUND(I1261*J1261,2)=ROUND(L1261,2),"Valid","Mismatch"))</f>
        <v>Valid</v>
      </c>
      <c r="O1261">
        <f t="shared" si="39"/>
        <v>735</v>
      </c>
    </row>
    <row r="1262" spans="1:15">
      <c r="A1262">
        <v>1766</v>
      </c>
      <c r="B1262" t="str">
        <f t="shared" si="38"/>
        <v>2022-11</v>
      </c>
      <c r="C1262" s="1">
        <v>44887</v>
      </c>
      <c r="D1262" s="5">
        <v>0.25555555555555554</v>
      </c>
      <c r="E1262">
        <v>6</v>
      </c>
      <c r="F1262" t="s">
        <v>11</v>
      </c>
      <c r="G1262">
        <v>38</v>
      </c>
      <c r="H1262" t="s">
        <v>15</v>
      </c>
      <c r="I1262">
        <v>3</v>
      </c>
      <c r="J1262" s="6">
        <v>300</v>
      </c>
      <c r="K1262">
        <v>129</v>
      </c>
      <c r="L1262">
        <v>900</v>
      </c>
      <c r="M1262" t="str">
        <f>IF(OR(I1262="",J1262="",L1262=""),"Incomplete","Complete")</f>
        <v>Complete</v>
      </c>
      <c r="N1262" t="str">
        <f>IF(M1262="Incomplete","Not checked",IF(ROUND(I1262*J1262,2)=ROUND(L1262,2),"Valid","Mismatch"))</f>
        <v>Valid</v>
      </c>
      <c r="O1262">
        <f t="shared" si="39"/>
        <v>771</v>
      </c>
    </row>
    <row r="1263" spans="1:15">
      <c r="A1263">
        <v>158</v>
      </c>
      <c r="B1263" t="str">
        <f t="shared" si="38"/>
        <v>2022-01</v>
      </c>
      <c r="C1263" s="1">
        <v>44582</v>
      </c>
      <c r="D1263" s="5">
        <v>0.48472222222222222</v>
      </c>
      <c r="E1263">
        <v>141</v>
      </c>
      <c r="F1263" t="s">
        <v>14</v>
      </c>
      <c r="G1263">
        <v>44</v>
      </c>
      <c r="H1263" t="s">
        <v>15</v>
      </c>
      <c r="I1263">
        <v>2</v>
      </c>
      <c r="J1263" s="6">
        <v>300</v>
      </c>
      <c r="K1263">
        <v>132</v>
      </c>
      <c r="L1263">
        <v>600</v>
      </c>
      <c r="M1263" t="str">
        <f>IF(OR(I1263="",J1263="",L1263=""),"Incomplete","Complete")</f>
        <v>Complete</v>
      </c>
      <c r="N1263" t="str">
        <f>IF(M1263="Incomplete","Not checked",IF(ROUND(I1263*J1263,2)=ROUND(L1263,2),"Valid","Mismatch"))</f>
        <v>Valid</v>
      </c>
      <c r="O1263">
        <f t="shared" si="39"/>
        <v>468</v>
      </c>
    </row>
    <row r="1264" spans="1:15">
      <c r="A1264">
        <v>1158</v>
      </c>
      <c r="B1264" t="str">
        <f t="shared" si="38"/>
        <v>2022-02</v>
      </c>
      <c r="C1264" s="1">
        <v>44616</v>
      </c>
      <c r="D1264" s="5">
        <v>0.39513888888888887</v>
      </c>
      <c r="E1264">
        <v>77</v>
      </c>
      <c r="F1264" t="s">
        <v>14</v>
      </c>
      <c r="G1264">
        <v>44</v>
      </c>
      <c r="H1264" t="s">
        <v>15</v>
      </c>
      <c r="I1264">
        <v>2</v>
      </c>
      <c r="J1264" s="6">
        <v>300</v>
      </c>
      <c r="K1264">
        <v>138</v>
      </c>
      <c r="L1264">
        <v>600</v>
      </c>
      <c r="M1264" t="str">
        <f>IF(OR(I1264="",J1264="",L1264=""),"Incomplete","Complete")</f>
        <v>Complete</v>
      </c>
      <c r="N1264" t="str">
        <f>IF(M1264="Incomplete","Not checked",IF(ROUND(I1264*J1264,2)=ROUND(L1264,2),"Valid","Mismatch"))</f>
        <v>Valid</v>
      </c>
      <c r="O1264">
        <f t="shared" si="39"/>
        <v>462</v>
      </c>
    </row>
    <row r="1265" spans="1:15">
      <c r="A1265">
        <v>514</v>
      </c>
      <c r="B1265" t="str">
        <f t="shared" si="38"/>
        <v>2022-11</v>
      </c>
      <c r="C1265" s="1">
        <v>44869</v>
      </c>
      <c r="D1265" s="5">
        <v>0.3576388888888889</v>
      </c>
      <c r="E1265">
        <v>139</v>
      </c>
      <c r="F1265" t="s">
        <v>14</v>
      </c>
      <c r="G1265">
        <v>18</v>
      </c>
      <c r="H1265" t="s">
        <v>15</v>
      </c>
      <c r="I1265">
        <v>1</v>
      </c>
      <c r="J1265" s="6">
        <v>300</v>
      </c>
      <c r="K1265">
        <v>96</v>
      </c>
      <c r="L1265">
        <v>300</v>
      </c>
      <c r="M1265" t="str">
        <f>IF(OR(I1265="",J1265="",L1265=""),"Incomplete","Complete")</f>
        <v>Complete</v>
      </c>
      <c r="N1265" t="str">
        <f>IF(M1265="Incomplete","Not checked",IF(ROUND(I1265*J1265,2)=ROUND(L1265,2),"Valid","Mismatch"))</f>
        <v>Valid</v>
      </c>
      <c r="O1265">
        <f t="shared" si="39"/>
        <v>204</v>
      </c>
    </row>
    <row r="1266" spans="1:15">
      <c r="A1266">
        <v>1514</v>
      </c>
      <c r="B1266" t="str">
        <f t="shared" si="38"/>
        <v>2022-07</v>
      </c>
      <c r="C1266" s="1">
        <v>44754</v>
      </c>
      <c r="D1266" s="5">
        <v>0.4548611111111111</v>
      </c>
      <c r="E1266">
        <v>59</v>
      </c>
      <c r="F1266" t="s">
        <v>14</v>
      </c>
      <c r="G1266">
        <v>18</v>
      </c>
      <c r="H1266" t="s">
        <v>15</v>
      </c>
      <c r="I1266">
        <v>1</v>
      </c>
      <c r="J1266" s="6">
        <v>300</v>
      </c>
      <c r="K1266">
        <v>75</v>
      </c>
      <c r="L1266">
        <v>300</v>
      </c>
      <c r="M1266" t="str">
        <f>IF(OR(I1266="",J1266="",L1266=""),"Incomplete","Complete")</f>
        <v>Complete</v>
      </c>
      <c r="N1266" t="str">
        <f>IF(M1266="Incomplete","Not checked",IF(ROUND(I1266*J1266,2)=ROUND(L1266,2),"Valid","Mismatch"))</f>
        <v>Valid</v>
      </c>
      <c r="O1266">
        <f t="shared" si="39"/>
        <v>225</v>
      </c>
    </row>
    <row r="1267" spans="1:15">
      <c r="A1267">
        <v>947</v>
      </c>
      <c r="B1267" t="str">
        <f t="shared" si="38"/>
        <v>2022-07</v>
      </c>
      <c r="C1267" s="1">
        <v>44773</v>
      </c>
      <c r="D1267" s="5">
        <v>0.29791666666666666</v>
      </c>
      <c r="E1267">
        <v>4</v>
      </c>
      <c r="F1267" t="s">
        <v>11</v>
      </c>
      <c r="G1267">
        <v>50</v>
      </c>
      <c r="H1267" t="s">
        <v>13</v>
      </c>
      <c r="I1267">
        <v>1</v>
      </c>
      <c r="J1267" s="6">
        <v>300</v>
      </c>
      <c r="K1267">
        <v>129</v>
      </c>
      <c r="L1267">
        <v>300</v>
      </c>
      <c r="M1267" t="str">
        <f>IF(OR(I1267="",J1267="",L1267=""),"Incomplete","Complete")</f>
        <v>Complete</v>
      </c>
      <c r="N1267" t="str">
        <f>IF(M1267="Incomplete","Not checked",IF(ROUND(I1267*J1267,2)=ROUND(L1267,2),"Valid","Mismatch"))</f>
        <v>Valid</v>
      </c>
      <c r="O1267">
        <f t="shared" si="39"/>
        <v>171</v>
      </c>
    </row>
    <row r="1268" spans="1:15">
      <c r="A1268">
        <v>1947</v>
      </c>
      <c r="B1268" t="str">
        <f t="shared" si="38"/>
        <v>2022-03</v>
      </c>
      <c r="C1268" s="1">
        <v>44625</v>
      </c>
      <c r="D1268" s="5">
        <v>0.26874999999999999</v>
      </c>
      <c r="E1268">
        <v>134</v>
      </c>
      <c r="F1268" t="s">
        <v>11</v>
      </c>
      <c r="G1268">
        <v>50</v>
      </c>
      <c r="H1268" t="s">
        <v>13</v>
      </c>
      <c r="I1268">
        <v>1</v>
      </c>
      <c r="J1268" s="6">
        <v>300</v>
      </c>
      <c r="K1268">
        <v>75</v>
      </c>
      <c r="L1268">
        <v>300</v>
      </c>
      <c r="M1268" t="str">
        <f>IF(OR(I1268="",J1268="",L1268=""),"Incomplete","Complete")</f>
        <v>Complete</v>
      </c>
      <c r="N1268" t="str">
        <f>IF(M1268="Incomplete","Not checked",IF(ROUND(I1268*J1268,2)=ROUND(L1268,2),"Valid","Mismatch"))</f>
        <v>Valid</v>
      </c>
      <c r="O1268">
        <f t="shared" si="39"/>
        <v>225</v>
      </c>
    </row>
    <row r="1269" spans="1:15">
      <c r="A1269">
        <v>52</v>
      </c>
      <c r="B1269" t="str">
        <f t="shared" si="38"/>
        <v>2022-09</v>
      </c>
      <c r="C1269" s="1">
        <v>44823</v>
      </c>
      <c r="D1269" s="5">
        <v>0.40416666666666667</v>
      </c>
      <c r="E1269">
        <v>55</v>
      </c>
      <c r="F1269" t="s">
        <v>14</v>
      </c>
      <c r="G1269">
        <v>36</v>
      </c>
      <c r="H1269" t="s">
        <v>13</v>
      </c>
      <c r="I1269">
        <v>1</v>
      </c>
      <c r="J1269" s="6">
        <v>300</v>
      </c>
      <c r="K1269">
        <v>111</v>
      </c>
      <c r="L1269">
        <v>300</v>
      </c>
      <c r="M1269" t="str">
        <f>IF(OR(I1269="",J1269="",L1269=""),"Incomplete","Complete")</f>
        <v>Complete</v>
      </c>
      <c r="N1269" t="str">
        <f>IF(M1269="Incomplete","Not checked",IF(ROUND(I1269*J1269,2)=ROUND(L1269,2),"Valid","Mismatch"))</f>
        <v>Valid</v>
      </c>
      <c r="O1269">
        <f t="shared" si="39"/>
        <v>189</v>
      </c>
    </row>
    <row r="1270" spans="1:15">
      <c r="A1270">
        <v>1052</v>
      </c>
      <c r="B1270" t="str">
        <f t="shared" si="38"/>
        <v>2022-02</v>
      </c>
      <c r="C1270" s="1">
        <v>44604</v>
      </c>
      <c r="D1270" s="5">
        <v>0.25833333333333336</v>
      </c>
      <c r="E1270">
        <v>94</v>
      </c>
      <c r="F1270" t="s">
        <v>14</v>
      </c>
      <c r="G1270">
        <v>36</v>
      </c>
      <c r="H1270" t="s">
        <v>13</v>
      </c>
      <c r="I1270">
        <v>1</v>
      </c>
      <c r="J1270" s="6">
        <v>300</v>
      </c>
      <c r="K1270">
        <v>120</v>
      </c>
      <c r="L1270">
        <v>300</v>
      </c>
      <c r="M1270" t="str">
        <f>IF(OR(I1270="",J1270="",L1270=""),"Incomplete","Complete")</f>
        <v>Complete</v>
      </c>
      <c r="N1270" t="str">
        <f>IF(M1270="Incomplete","Not checked",IF(ROUND(I1270*J1270,2)=ROUND(L1270,2),"Valid","Mismatch"))</f>
        <v>Valid</v>
      </c>
      <c r="O1270">
        <f t="shared" si="39"/>
        <v>180</v>
      </c>
    </row>
    <row r="1271" spans="1:15">
      <c r="A1271">
        <v>198</v>
      </c>
      <c r="B1271" t="str">
        <f t="shared" si="38"/>
        <v>2022-05</v>
      </c>
      <c r="C1271" s="1">
        <v>44702</v>
      </c>
      <c r="D1271" s="5">
        <v>0.48749999999999999</v>
      </c>
      <c r="E1271">
        <v>30</v>
      </c>
      <c r="F1271" t="s">
        <v>14</v>
      </c>
      <c r="G1271">
        <v>54</v>
      </c>
      <c r="H1271" t="s">
        <v>13</v>
      </c>
      <c r="I1271">
        <v>3</v>
      </c>
      <c r="J1271" s="6">
        <v>300</v>
      </c>
      <c r="K1271">
        <v>114</v>
      </c>
      <c r="L1271">
        <v>900</v>
      </c>
      <c r="M1271" t="str">
        <f>IF(OR(I1271="",J1271="",L1271=""),"Incomplete","Complete")</f>
        <v>Complete</v>
      </c>
      <c r="N1271" t="str">
        <f>IF(M1271="Incomplete","Not checked",IF(ROUND(I1271*J1271,2)=ROUND(L1271,2),"Valid","Mismatch"))</f>
        <v>Valid</v>
      </c>
      <c r="O1271">
        <f t="shared" si="39"/>
        <v>786</v>
      </c>
    </row>
    <row r="1272" spans="1:15">
      <c r="A1272">
        <v>1198</v>
      </c>
      <c r="B1272" t="str">
        <f t="shared" si="38"/>
        <v>2022-08</v>
      </c>
      <c r="C1272" s="1">
        <v>44780</v>
      </c>
      <c r="D1272" s="5">
        <v>0.4465277777777778</v>
      </c>
      <c r="E1272">
        <v>147</v>
      </c>
      <c r="F1272" t="s">
        <v>14</v>
      </c>
      <c r="G1272">
        <v>54</v>
      </c>
      <c r="H1272" t="s">
        <v>13</v>
      </c>
      <c r="I1272">
        <v>3</v>
      </c>
      <c r="J1272" s="6">
        <v>300</v>
      </c>
      <c r="K1272">
        <v>159</v>
      </c>
      <c r="L1272">
        <v>900</v>
      </c>
      <c r="M1272" t="str">
        <f>IF(OR(I1272="",J1272="",L1272=""),"Incomplete","Complete")</f>
        <v>Complete</v>
      </c>
      <c r="N1272" t="str">
        <f>IF(M1272="Incomplete","Not checked",IF(ROUND(I1272*J1272,2)=ROUND(L1272,2),"Valid","Mismatch"))</f>
        <v>Valid</v>
      </c>
      <c r="O1272">
        <f t="shared" si="39"/>
        <v>741</v>
      </c>
    </row>
    <row r="1273" spans="1:15">
      <c r="A1273">
        <v>248</v>
      </c>
      <c r="B1273" t="str">
        <f t="shared" si="38"/>
        <v>2022-07</v>
      </c>
      <c r="C1273" s="1">
        <v>44744</v>
      </c>
      <c r="D1273" s="5">
        <v>0.29930555555555555</v>
      </c>
      <c r="E1273">
        <v>5</v>
      </c>
      <c r="F1273" t="s">
        <v>11</v>
      </c>
      <c r="G1273">
        <v>26</v>
      </c>
      <c r="H1273" t="s">
        <v>12</v>
      </c>
      <c r="I1273">
        <v>3</v>
      </c>
      <c r="J1273" s="6">
        <v>300</v>
      </c>
      <c r="K1273">
        <v>126</v>
      </c>
      <c r="L1273">
        <v>900</v>
      </c>
      <c r="M1273" t="str">
        <f>IF(OR(I1273="",J1273="",L1273=""),"Incomplete","Complete")</f>
        <v>Complete</v>
      </c>
      <c r="N1273" t="str">
        <f>IF(M1273="Incomplete","Not checked",IF(ROUND(I1273*J1273,2)=ROUND(L1273,2),"Valid","Mismatch"))</f>
        <v>Valid</v>
      </c>
      <c r="O1273">
        <f t="shared" si="39"/>
        <v>774</v>
      </c>
    </row>
    <row r="1274" spans="1:15">
      <c r="A1274">
        <v>1248</v>
      </c>
      <c r="B1274" t="str">
        <f t="shared" si="38"/>
        <v>2022-09</v>
      </c>
      <c r="C1274" s="1">
        <v>44812</v>
      </c>
      <c r="D1274" s="5">
        <v>0.34722222222222221</v>
      </c>
      <c r="E1274">
        <v>68</v>
      </c>
      <c r="F1274" t="s">
        <v>11</v>
      </c>
      <c r="G1274">
        <v>26</v>
      </c>
      <c r="H1274" t="s">
        <v>12</v>
      </c>
      <c r="I1274">
        <v>3</v>
      </c>
      <c r="J1274" s="6">
        <v>300</v>
      </c>
      <c r="K1274">
        <v>111</v>
      </c>
      <c r="L1274">
        <v>900</v>
      </c>
      <c r="M1274" t="str">
        <f>IF(OR(I1274="",J1274="",L1274=""),"Incomplete","Complete")</f>
        <v>Complete</v>
      </c>
      <c r="N1274" t="str">
        <f>IF(M1274="Incomplete","Not checked",IF(ROUND(I1274*J1274,2)=ROUND(L1274,2),"Valid","Mismatch"))</f>
        <v>Valid</v>
      </c>
      <c r="O1274">
        <f t="shared" si="39"/>
        <v>789</v>
      </c>
    </row>
    <row r="1275" spans="1:15">
      <c r="A1275">
        <v>590</v>
      </c>
      <c r="B1275" t="str">
        <f t="shared" si="38"/>
        <v>2023-05</v>
      </c>
      <c r="C1275" s="1">
        <v>45050</v>
      </c>
      <c r="D1275" s="5">
        <v>0.49444444444444446</v>
      </c>
      <c r="E1275">
        <v>151</v>
      </c>
      <c r="F1275" t="s">
        <v>11</v>
      </c>
      <c r="G1275">
        <v>36</v>
      </c>
      <c r="H1275" t="s">
        <v>12</v>
      </c>
      <c r="I1275">
        <v>3</v>
      </c>
      <c r="J1275" s="6">
        <v>300</v>
      </c>
      <c r="K1275">
        <v>135</v>
      </c>
      <c r="L1275">
        <v>900</v>
      </c>
      <c r="M1275" t="str">
        <f>IF(OR(I1275="",J1275="",L1275=""),"Incomplete","Complete")</f>
        <v>Complete</v>
      </c>
      <c r="N1275" t="str">
        <f>IF(M1275="Incomplete","Not checked",IF(ROUND(I1275*J1275,2)=ROUND(L1275,2),"Valid","Mismatch"))</f>
        <v>Valid</v>
      </c>
      <c r="O1275">
        <f t="shared" si="39"/>
        <v>765</v>
      </c>
    </row>
    <row r="1276" spans="1:15">
      <c r="A1276">
        <v>1590</v>
      </c>
      <c r="B1276" t="str">
        <f t="shared" si="38"/>
        <v>2023-08</v>
      </c>
      <c r="C1276" s="1">
        <v>45148</v>
      </c>
      <c r="D1276" s="5">
        <v>0.40208333333333335</v>
      </c>
      <c r="E1276">
        <v>142</v>
      </c>
      <c r="F1276" t="s">
        <v>11</v>
      </c>
      <c r="G1276">
        <v>36</v>
      </c>
      <c r="H1276" t="s">
        <v>12</v>
      </c>
      <c r="I1276">
        <v>3</v>
      </c>
      <c r="J1276" s="6">
        <v>300</v>
      </c>
      <c r="K1276">
        <v>147</v>
      </c>
      <c r="L1276">
        <v>900</v>
      </c>
      <c r="M1276" t="str">
        <f>IF(OR(I1276="",J1276="",L1276=""),"Incomplete","Complete")</f>
        <v>Complete</v>
      </c>
      <c r="N1276" t="str">
        <f>IF(M1276="Incomplete","Not checked",IF(ROUND(I1276*J1276,2)=ROUND(L1276,2),"Valid","Mismatch"))</f>
        <v>Valid</v>
      </c>
      <c r="O1276">
        <f t="shared" si="39"/>
        <v>753</v>
      </c>
    </row>
    <row r="1277" spans="1:15">
      <c r="A1277">
        <v>136</v>
      </c>
      <c r="B1277" t="str">
        <f t="shared" si="38"/>
        <v>2023-12</v>
      </c>
      <c r="C1277" s="1">
        <v>45286</v>
      </c>
      <c r="D1277" s="5">
        <v>0.37430555555555556</v>
      </c>
      <c r="E1277">
        <v>25</v>
      </c>
      <c r="F1277" t="s">
        <v>11</v>
      </c>
      <c r="G1277">
        <v>44</v>
      </c>
      <c r="H1277" t="s">
        <v>15</v>
      </c>
      <c r="I1277">
        <v>2</v>
      </c>
      <c r="J1277" s="6">
        <v>300</v>
      </c>
      <c r="K1277">
        <v>141</v>
      </c>
      <c r="L1277">
        <v>600</v>
      </c>
      <c r="M1277" t="str">
        <f>IF(OR(I1277="",J1277="",L1277=""),"Incomplete","Complete")</f>
        <v>Complete</v>
      </c>
      <c r="N1277" t="str">
        <f>IF(M1277="Incomplete","Not checked",IF(ROUND(I1277*J1277,2)=ROUND(L1277,2),"Valid","Mismatch"))</f>
        <v>Valid</v>
      </c>
      <c r="O1277">
        <f t="shared" si="39"/>
        <v>459</v>
      </c>
    </row>
    <row r="1278" spans="1:15">
      <c r="A1278">
        <v>663</v>
      </c>
      <c r="B1278" t="str">
        <f t="shared" si="38"/>
        <v>2023-08</v>
      </c>
      <c r="C1278" s="1">
        <v>45154</v>
      </c>
      <c r="D1278" s="5">
        <v>0.2722222222222222</v>
      </c>
      <c r="E1278">
        <v>133</v>
      </c>
      <c r="F1278" t="s">
        <v>11</v>
      </c>
      <c r="G1278">
        <v>23</v>
      </c>
      <c r="H1278" t="s">
        <v>12</v>
      </c>
      <c r="I1278">
        <v>4</v>
      </c>
      <c r="J1278" s="6">
        <v>300</v>
      </c>
      <c r="K1278">
        <v>87</v>
      </c>
      <c r="L1278">
        <v>1200</v>
      </c>
      <c r="M1278" t="str">
        <f>IF(OR(I1278="",J1278="",L1278=""),"Incomplete","Complete")</f>
        <v>Complete</v>
      </c>
      <c r="N1278" t="str">
        <f>IF(M1278="Incomplete","Not checked",IF(ROUND(I1278*J1278,2)=ROUND(L1278,2),"Valid","Mismatch"))</f>
        <v>Valid</v>
      </c>
      <c r="O1278">
        <f t="shared" si="39"/>
        <v>1113</v>
      </c>
    </row>
    <row r="1279" spans="1:15">
      <c r="A1279">
        <v>806</v>
      </c>
      <c r="B1279" t="str">
        <f t="shared" si="38"/>
        <v>2023-01</v>
      </c>
      <c r="C1279" s="1">
        <v>44948</v>
      </c>
      <c r="D1279" s="5">
        <v>0.33888888888888891</v>
      </c>
      <c r="E1279">
        <v>14</v>
      </c>
      <c r="F1279" t="s">
        <v>14</v>
      </c>
      <c r="G1279">
        <v>35</v>
      </c>
      <c r="H1279" t="s">
        <v>13</v>
      </c>
      <c r="I1279">
        <v>3</v>
      </c>
      <c r="J1279" s="6">
        <v>300</v>
      </c>
      <c r="K1279">
        <v>165</v>
      </c>
      <c r="L1279">
        <v>900</v>
      </c>
      <c r="M1279" t="str">
        <f>IF(OR(I1279="",J1279="",L1279=""),"Incomplete","Complete")</f>
        <v>Complete</v>
      </c>
      <c r="N1279" t="str">
        <f>IF(M1279="Incomplete","Not checked",IF(ROUND(I1279*J1279,2)=ROUND(L1279,2),"Valid","Mismatch"))</f>
        <v>Valid</v>
      </c>
      <c r="O1279">
        <f t="shared" si="39"/>
        <v>735</v>
      </c>
    </row>
    <row r="1280" spans="1:15">
      <c r="A1280">
        <v>1136</v>
      </c>
      <c r="B1280" t="str">
        <f t="shared" si="38"/>
        <v>2023-07</v>
      </c>
      <c r="C1280" s="1">
        <v>45109</v>
      </c>
      <c r="D1280" s="5">
        <v>0.36180555555555555</v>
      </c>
      <c r="E1280">
        <v>93</v>
      </c>
      <c r="F1280" t="s">
        <v>11</v>
      </c>
      <c r="G1280">
        <v>44</v>
      </c>
      <c r="H1280" t="s">
        <v>15</v>
      </c>
      <c r="I1280">
        <v>2</v>
      </c>
      <c r="J1280" s="6">
        <v>300</v>
      </c>
      <c r="K1280">
        <v>81</v>
      </c>
      <c r="L1280">
        <v>600</v>
      </c>
      <c r="M1280" t="str">
        <f>IF(OR(I1280="",J1280="",L1280=""),"Incomplete","Complete")</f>
        <v>Complete</v>
      </c>
      <c r="N1280" t="str">
        <f>IF(M1280="Incomplete","Not checked",IF(ROUND(I1280*J1280,2)=ROUND(L1280,2),"Valid","Mismatch"))</f>
        <v>Valid</v>
      </c>
      <c r="O1280">
        <f t="shared" si="39"/>
        <v>519</v>
      </c>
    </row>
    <row r="1281" spans="1:15">
      <c r="A1281">
        <v>1663</v>
      </c>
      <c r="B1281" t="str">
        <f t="shared" si="38"/>
        <v>2023-12</v>
      </c>
      <c r="C1281" s="1">
        <v>45267</v>
      </c>
      <c r="D1281" s="5">
        <v>0.29444444444444445</v>
      </c>
      <c r="E1281">
        <v>33</v>
      </c>
      <c r="F1281" t="s">
        <v>11</v>
      </c>
      <c r="G1281">
        <v>23</v>
      </c>
      <c r="H1281" t="s">
        <v>12</v>
      </c>
      <c r="I1281">
        <v>4</v>
      </c>
      <c r="J1281" s="6">
        <v>300</v>
      </c>
      <c r="K1281">
        <v>81</v>
      </c>
      <c r="L1281">
        <v>1200</v>
      </c>
      <c r="M1281" t="str">
        <f>IF(OR(I1281="",J1281="",L1281=""),"Incomplete","Complete")</f>
        <v>Complete</v>
      </c>
      <c r="N1281" t="str">
        <f>IF(M1281="Incomplete","Not checked",IF(ROUND(I1281*J1281,2)=ROUND(L1281,2),"Valid","Mismatch"))</f>
        <v>Valid</v>
      </c>
      <c r="O1281">
        <f t="shared" si="39"/>
        <v>1119</v>
      </c>
    </row>
    <row r="1282" spans="1:15">
      <c r="A1282">
        <v>1806</v>
      </c>
      <c r="B1282" t="str">
        <f t="shared" ref="B1282:B1345" si="40">TEXT(C1282,"yyyy-mm")</f>
        <v>2023-06</v>
      </c>
      <c r="C1282" s="1">
        <v>45091</v>
      </c>
      <c r="D1282" s="5">
        <v>0.42569444444444443</v>
      </c>
      <c r="E1282">
        <v>61</v>
      </c>
      <c r="F1282" t="s">
        <v>14</v>
      </c>
      <c r="G1282">
        <v>35</v>
      </c>
      <c r="H1282" t="s">
        <v>13</v>
      </c>
      <c r="I1282">
        <v>3</v>
      </c>
      <c r="J1282" s="6">
        <v>300</v>
      </c>
      <c r="K1282">
        <v>102</v>
      </c>
      <c r="L1282">
        <v>900</v>
      </c>
      <c r="M1282" t="str">
        <f>IF(OR(I1282="",J1282="",L1282=""),"Incomplete","Complete")</f>
        <v>Complete</v>
      </c>
      <c r="N1282" t="str">
        <f>IF(M1282="Incomplete","Not checked",IF(ROUND(I1282*J1282,2)=ROUND(L1282,2),"Valid","Mismatch"))</f>
        <v>Valid</v>
      </c>
      <c r="O1282">
        <f t="shared" ref="O1282:O1345" si="41">IF(M1282="Incomplete","",L1282-K1282)</f>
        <v>798</v>
      </c>
    </row>
    <row r="1283" spans="1:15">
      <c r="A1283">
        <v>402</v>
      </c>
      <c r="B1283" t="str">
        <f t="shared" si="40"/>
        <v>2023-07</v>
      </c>
      <c r="C1283" s="1">
        <v>45119</v>
      </c>
      <c r="D1283" s="5">
        <v>0.36458333333333331</v>
      </c>
      <c r="E1283">
        <v>63</v>
      </c>
      <c r="F1283" t="s">
        <v>14</v>
      </c>
      <c r="G1283">
        <v>41</v>
      </c>
      <c r="H1283" t="s">
        <v>12</v>
      </c>
      <c r="I1283">
        <v>2</v>
      </c>
      <c r="J1283" s="6">
        <v>300</v>
      </c>
      <c r="K1283">
        <v>135</v>
      </c>
      <c r="L1283">
        <v>600</v>
      </c>
      <c r="M1283" t="str">
        <f>IF(OR(I1283="",J1283="",L1283=""),"Incomplete","Complete")</f>
        <v>Complete</v>
      </c>
      <c r="N1283" t="str">
        <f>IF(M1283="Incomplete","Not checked",IF(ROUND(I1283*J1283,2)=ROUND(L1283,2),"Valid","Mismatch"))</f>
        <v>Valid</v>
      </c>
      <c r="O1283">
        <f t="shared" si="41"/>
        <v>465</v>
      </c>
    </row>
    <row r="1284" spans="1:15">
      <c r="A1284">
        <v>459</v>
      </c>
      <c r="B1284" t="str">
        <f t="shared" si="40"/>
        <v>2023-05</v>
      </c>
      <c r="C1284" s="1">
        <v>45069</v>
      </c>
      <c r="D1284" s="5">
        <v>0.3</v>
      </c>
      <c r="E1284">
        <v>122</v>
      </c>
      <c r="F1284" t="s">
        <v>11</v>
      </c>
      <c r="G1284">
        <v>28</v>
      </c>
      <c r="H1284" t="s">
        <v>12</v>
      </c>
      <c r="I1284">
        <v>4</v>
      </c>
      <c r="J1284" s="6">
        <v>300</v>
      </c>
      <c r="K1284">
        <v>75</v>
      </c>
      <c r="L1284">
        <v>1200</v>
      </c>
      <c r="M1284" t="str">
        <f>IF(OR(I1284="",J1284="",L1284=""),"Incomplete","Complete")</f>
        <v>Complete</v>
      </c>
      <c r="N1284" t="str">
        <f>IF(M1284="Incomplete","Not checked",IF(ROUND(I1284*J1284,2)=ROUND(L1284,2),"Valid","Mismatch"))</f>
        <v>Valid</v>
      </c>
      <c r="O1284">
        <f t="shared" si="41"/>
        <v>1125</v>
      </c>
    </row>
    <row r="1285" spans="1:15">
      <c r="A1285">
        <v>1402</v>
      </c>
      <c r="B1285" t="str">
        <f t="shared" si="40"/>
        <v>2023-06</v>
      </c>
      <c r="C1285" s="1">
        <v>45101</v>
      </c>
      <c r="D1285" s="5">
        <v>0.28263888888888888</v>
      </c>
      <c r="E1285">
        <v>110</v>
      </c>
      <c r="F1285" t="s">
        <v>14</v>
      </c>
      <c r="G1285">
        <v>41</v>
      </c>
      <c r="H1285" t="s">
        <v>12</v>
      </c>
      <c r="I1285">
        <v>2</v>
      </c>
      <c r="J1285" s="6">
        <v>300</v>
      </c>
      <c r="K1285">
        <v>156</v>
      </c>
      <c r="L1285">
        <v>600</v>
      </c>
      <c r="M1285" t="str">
        <f>IF(OR(I1285="",J1285="",L1285=""),"Incomplete","Complete")</f>
        <v>Complete</v>
      </c>
      <c r="N1285" t="str">
        <f>IF(M1285="Incomplete","Not checked",IF(ROUND(I1285*J1285,2)=ROUND(L1285,2),"Valid","Mismatch"))</f>
        <v>Valid</v>
      </c>
      <c r="O1285">
        <f t="shared" si="41"/>
        <v>444</v>
      </c>
    </row>
    <row r="1286" spans="1:15">
      <c r="A1286">
        <v>1459</v>
      </c>
      <c r="B1286" t="str">
        <f t="shared" si="40"/>
        <v>2023-11</v>
      </c>
      <c r="C1286" s="1">
        <v>45240</v>
      </c>
      <c r="D1286" s="5">
        <v>0.28194444444444444</v>
      </c>
      <c r="E1286">
        <v>13</v>
      </c>
      <c r="F1286" t="s">
        <v>11</v>
      </c>
      <c r="G1286">
        <v>28</v>
      </c>
      <c r="H1286" t="s">
        <v>12</v>
      </c>
      <c r="I1286">
        <v>4</v>
      </c>
      <c r="J1286" s="6">
        <v>300</v>
      </c>
      <c r="K1286">
        <v>144</v>
      </c>
      <c r="L1286">
        <v>1200</v>
      </c>
      <c r="M1286" t="str">
        <f>IF(OR(I1286="",J1286="",L1286=""),"Incomplete","Complete")</f>
        <v>Complete</v>
      </c>
      <c r="N1286" t="str">
        <f>IF(M1286="Incomplete","Not checked",IF(ROUND(I1286*J1286,2)=ROUND(L1286,2),"Valid","Mismatch"))</f>
        <v>Valid</v>
      </c>
      <c r="O1286">
        <f t="shared" si="41"/>
        <v>1056</v>
      </c>
    </row>
    <row r="1287" spans="1:15">
      <c r="A1287">
        <v>202</v>
      </c>
      <c r="B1287" t="str">
        <f t="shared" si="40"/>
        <v>2023-01</v>
      </c>
      <c r="C1287" s="1">
        <v>44951</v>
      </c>
      <c r="D1287" s="5">
        <v>0.26666666666666666</v>
      </c>
      <c r="E1287">
        <v>61</v>
      </c>
      <c r="F1287" t="s">
        <v>14</v>
      </c>
      <c r="G1287">
        <v>34</v>
      </c>
      <c r="H1287" t="s">
        <v>12</v>
      </c>
      <c r="I1287">
        <v>4</v>
      </c>
      <c r="J1287" s="6">
        <v>300</v>
      </c>
      <c r="K1287">
        <v>120</v>
      </c>
      <c r="L1287">
        <v>1200</v>
      </c>
      <c r="M1287" t="str">
        <f>IF(OR(I1287="",J1287="",L1287=""),"Incomplete","Complete")</f>
        <v>Complete</v>
      </c>
      <c r="N1287" t="str">
        <f>IF(M1287="Incomplete","Not checked",IF(ROUND(I1287*J1287,2)=ROUND(L1287,2),"Valid","Mismatch"))</f>
        <v>Valid</v>
      </c>
      <c r="O1287">
        <f t="shared" si="41"/>
        <v>1080</v>
      </c>
    </row>
    <row r="1288" spans="1:15">
      <c r="A1288">
        <v>1202</v>
      </c>
      <c r="B1288" t="str">
        <f t="shared" si="40"/>
        <v>2023-11</v>
      </c>
      <c r="C1288" s="1">
        <v>45243</v>
      </c>
      <c r="D1288" s="5">
        <v>0.28888888888888886</v>
      </c>
      <c r="E1288">
        <v>89</v>
      </c>
      <c r="F1288" t="s">
        <v>14</v>
      </c>
      <c r="G1288">
        <v>34</v>
      </c>
      <c r="H1288" t="s">
        <v>12</v>
      </c>
      <c r="I1288">
        <v>4</v>
      </c>
      <c r="J1288" s="6">
        <v>300</v>
      </c>
      <c r="K1288">
        <v>144</v>
      </c>
      <c r="L1288">
        <v>1200</v>
      </c>
      <c r="M1288" t="str">
        <f>IF(OR(I1288="",J1288="",L1288=""),"Incomplete","Complete")</f>
        <v>Complete</v>
      </c>
      <c r="N1288" t="str">
        <f>IF(M1288="Incomplete","Not checked",IF(ROUND(I1288*J1288,2)=ROUND(L1288,2),"Valid","Mismatch"))</f>
        <v>Valid</v>
      </c>
      <c r="O1288">
        <f t="shared" si="41"/>
        <v>1056</v>
      </c>
    </row>
    <row r="1289" spans="1:15">
      <c r="A1289">
        <v>553</v>
      </c>
      <c r="B1289" t="str">
        <f t="shared" si="40"/>
        <v>2023-03</v>
      </c>
      <c r="C1289" s="1">
        <v>45005</v>
      </c>
      <c r="D1289" s="5">
        <v>0.26180555555555557</v>
      </c>
      <c r="E1289">
        <v>106</v>
      </c>
      <c r="F1289" t="s">
        <v>11</v>
      </c>
      <c r="G1289">
        <v>24</v>
      </c>
      <c r="H1289" t="s">
        <v>12</v>
      </c>
      <c r="I1289">
        <v>4</v>
      </c>
      <c r="J1289" s="6">
        <v>300</v>
      </c>
      <c r="K1289">
        <v>81</v>
      </c>
      <c r="L1289">
        <v>1200</v>
      </c>
      <c r="M1289" t="str">
        <f>IF(OR(I1289="",J1289="",L1289=""),"Incomplete","Complete")</f>
        <v>Complete</v>
      </c>
      <c r="N1289" t="str">
        <f>IF(M1289="Incomplete","Not checked",IF(ROUND(I1289*J1289,2)=ROUND(L1289,2),"Valid","Mismatch"))</f>
        <v>Valid</v>
      </c>
      <c r="O1289">
        <f t="shared" si="41"/>
        <v>1119</v>
      </c>
    </row>
    <row r="1290" spans="1:15">
      <c r="A1290">
        <v>1553</v>
      </c>
      <c r="B1290" t="str">
        <f t="shared" si="40"/>
        <v>2023-01</v>
      </c>
      <c r="C1290" s="1">
        <v>44955</v>
      </c>
      <c r="D1290" s="5">
        <v>0.36527777777777776</v>
      </c>
      <c r="E1290">
        <v>42</v>
      </c>
      <c r="F1290" t="s">
        <v>11</v>
      </c>
      <c r="G1290">
        <v>24</v>
      </c>
      <c r="H1290" t="s">
        <v>12</v>
      </c>
      <c r="I1290">
        <v>4</v>
      </c>
      <c r="J1290" s="6">
        <v>300</v>
      </c>
      <c r="K1290">
        <v>99</v>
      </c>
      <c r="L1290">
        <v>1200</v>
      </c>
      <c r="M1290" t="str">
        <f>IF(OR(I1290="",J1290="",L1290=""),"Incomplete","Complete")</f>
        <v>Complete</v>
      </c>
      <c r="N1290" t="str">
        <f>IF(M1290="Incomplete","Not checked",IF(ROUND(I1290*J1290,2)=ROUND(L1290,2),"Valid","Mismatch"))</f>
        <v>Valid</v>
      </c>
      <c r="O1290">
        <f t="shared" si="41"/>
        <v>1101</v>
      </c>
    </row>
    <row r="1291" spans="1:15">
      <c r="A1291">
        <v>462</v>
      </c>
      <c r="B1291" t="str">
        <f t="shared" si="40"/>
        <v>2023-08</v>
      </c>
      <c r="C1291" s="1">
        <v>45164</v>
      </c>
      <c r="D1291" s="5">
        <v>0.41944444444444445</v>
      </c>
      <c r="E1291">
        <v>71</v>
      </c>
      <c r="F1291" t="s">
        <v>11</v>
      </c>
      <c r="G1291">
        <v>63</v>
      </c>
      <c r="H1291" t="s">
        <v>15</v>
      </c>
      <c r="I1291">
        <v>4</v>
      </c>
      <c r="J1291" s="6">
        <v>300</v>
      </c>
      <c r="K1291">
        <v>132</v>
      </c>
      <c r="L1291">
        <v>1200</v>
      </c>
      <c r="M1291" t="str">
        <f>IF(OR(I1291="",J1291="",L1291=""),"Incomplete","Complete")</f>
        <v>Complete</v>
      </c>
      <c r="N1291" t="str">
        <f>IF(M1291="Incomplete","Not checked",IF(ROUND(I1291*J1291,2)=ROUND(L1291,2),"Valid","Mismatch"))</f>
        <v>Valid</v>
      </c>
      <c r="O1291">
        <f t="shared" si="41"/>
        <v>1068</v>
      </c>
    </row>
    <row r="1292" spans="1:15">
      <c r="A1292">
        <v>614</v>
      </c>
      <c r="B1292" t="str">
        <f t="shared" si="40"/>
        <v>2023-02</v>
      </c>
      <c r="C1292" s="1">
        <v>44970</v>
      </c>
      <c r="D1292" s="5">
        <v>0.26944444444444443</v>
      </c>
      <c r="E1292">
        <v>61</v>
      </c>
      <c r="F1292" t="s">
        <v>14</v>
      </c>
      <c r="G1292">
        <v>39</v>
      </c>
      <c r="H1292" t="s">
        <v>13</v>
      </c>
      <c r="I1292">
        <v>4</v>
      </c>
      <c r="J1292" s="6">
        <v>300</v>
      </c>
      <c r="K1292">
        <v>120</v>
      </c>
      <c r="L1292">
        <v>1200</v>
      </c>
      <c r="M1292" t="str">
        <f>IF(OR(I1292="",J1292="",L1292=""),"Incomplete","Complete")</f>
        <v>Complete</v>
      </c>
      <c r="N1292" t="str">
        <f>IF(M1292="Incomplete","Not checked",IF(ROUND(I1292*J1292,2)=ROUND(L1292,2),"Valid","Mismatch"))</f>
        <v>Valid</v>
      </c>
      <c r="O1292">
        <f t="shared" si="41"/>
        <v>1080</v>
      </c>
    </row>
    <row r="1293" spans="1:15">
      <c r="A1293">
        <v>1462</v>
      </c>
      <c r="B1293" t="str">
        <f t="shared" si="40"/>
        <v>2023-11</v>
      </c>
      <c r="C1293" s="1">
        <v>45243</v>
      </c>
      <c r="D1293" s="5">
        <v>0.44583333333333336</v>
      </c>
      <c r="E1293">
        <v>124</v>
      </c>
      <c r="F1293" t="s">
        <v>11</v>
      </c>
      <c r="G1293">
        <v>63</v>
      </c>
      <c r="H1293" t="s">
        <v>15</v>
      </c>
      <c r="I1293">
        <v>4</v>
      </c>
      <c r="J1293" s="6">
        <v>300</v>
      </c>
      <c r="K1293">
        <v>114</v>
      </c>
      <c r="L1293">
        <v>1200</v>
      </c>
      <c r="M1293" t="str">
        <f>IF(OR(I1293="",J1293="",L1293=""),"Incomplete","Complete")</f>
        <v>Complete</v>
      </c>
      <c r="N1293" t="str">
        <f>IF(M1293="Incomplete","Not checked",IF(ROUND(I1293*J1293,2)=ROUND(L1293,2),"Valid","Mismatch"))</f>
        <v>Valid</v>
      </c>
      <c r="O1293">
        <f t="shared" si="41"/>
        <v>1086</v>
      </c>
    </row>
    <row r="1294" spans="1:15">
      <c r="A1294">
        <v>1614</v>
      </c>
      <c r="B1294" t="str">
        <f t="shared" si="40"/>
        <v>2023-08</v>
      </c>
      <c r="C1294" s="1">
        <v>45161</v>
      </c>
      <c r="D1294" s="5">
        <v>0.48402777777777778</v>
      </c>
      <c r="E1294">
        <v>135</v>
      </c>
      <c r="F1294" t="s">
        <v>14</v>
      </c>
      <c r="G1294">
        <v>39</v>
      </c>
      <c r="H1294" t="s">
        <v>13</v>
      </c>
      <c r="I1294">
        <v>4</v>
      </c>
      <c r="J1294" s="6">
        <v>300</v>
      </c>
      <c r="K1294">
        <v>105</v>
      </c>
      <c r="L1294">
        <v>1200</v>
      </c>
      <c r="M1294" t="str">
        <f>IF(OR(I1294="",J1294="",L1294=""),"Incomplete","Complete")</f>
        <v>Complete</v>
      </c>
      <c r="N1294" t="str">
        <f>IF(M1294="Incomplete","Not checked",IF(ROUND(I1294*J1294,2)=ROUND(L1294,2),"Valid","Mismatch"))</f>
        <v>Valid</v>
      </c>
      <c r="O1294">
        <f t="shared" si="41"/>
        <v>1095</v>
      </c>
    </row>
    <row r="1295" spans="1:15">
      <c r="A1295">
        <v>905</v>
      </c>
      <c r="B1295" t="str">
        <f t="shared" si="40"/>
        <v>2023-10</v>
      </c>
      <c r="C1295" s="1">
        <v>45200</v>
      </c>
      <c r="D1295" s="5">
        <v>0.26874999999999999</v>
      </c>
      <c r="E1295">
        <v>96</v>
      </c>
      <c r="F1295" t="s">
        <v>11</v>
      </c>
      <c r="G1295">
        <v>58</v>
      </c>
      <c r="H1295" t="s">
        <v>13</v>
      </c>
      <c r="I1295">
        <v>1</v>
      </c>
      <c r="J1295" s="6">
        <v>300</v>
      </c>
      <c r="K1295">
        <v>111</v>
      </c>
      <c r="L1295">
        <v>300</v>
      </c>
      <c r="M1295" t="str">
        <f>IF(OR(I1295="",J1295="",L1295=""),"Incomplete","Complete")</f>
        <v>Complete</v>
      </c>
      <c r="N1295" t="str">
        <f>IF(M1295="Incomplete","Not checked",IF(ROUND(I1295*J1295,2)=ROUND(L1295,2),"Valid","Mismatch"))</f>
        <v>Valid</v>
      </c>
      <c r="O1295">
        <f t="shared" si="41"/>
        <v>189</v>
      </c>
    </row>
    <row r="1296" spans="1:15">
      <c r="A1296">
        <v>1905</v>
      </c>
      <c r="B1296" t="str">
        <f t="shared" si="40"/>
        <v>2023-08</v>
      </c>
      <c r="C1296" s="1">
        <v>45167</v>
      </c>
      <c r="D1296" s="5">
        <v>0.25486111111111109</v>
      </c>
      <c r="E1296">
        <v>26</v>
      </c>
      <c r="F1296" t="s">
        <v>11</v>
      </c>
      <c r="G1296">
        <v>58</v>
      </c>
      <c r="H1296" t="s">
        <v>13</v>
      </c>
      <c r="I1296">
        <v>1</v>
      </c>
      <c r="J1296" s="6">
        <v>300</v>
      </c>
      <c r="K1296">
        <v>102</v>
      </c>
      <c r="L1296">
        <v>300</v>
      </c>
      <c r="M1296" t="str">
        <f>IF(OR(I1296="",J1296="",L1296=""),"Incomplete","Complete")</f>
        <v>Complete</v>
      </c>
      <c r="N1296" t="str">
        <f>IF(M1296="Incomplete","Not checked",IF(ROUND(I1296*J1296,2)=ROUND(L1296,2),"Valid","Mismatch"))</f>
        <v>Valid</v>
      </c>
      <c r="O1296">
        <f t="shared" si="41"/>
        <v>198</v>
      </c>
    </row>
    <row r="1297" spans="1:15">
      <c r="A1297">
        <v>891</v>
      </c>
      <c r="B1297" t="str">
        <f t="shared" si="40"/>
        <v>2023-01</v>
      </c>
      <c r="C1297" s="1">
        <v>44935</v>
      </c>
      <c r="D1297" s="5">
        <v>0.27986111111111112</v>
      </c>
      <c r="E1297">
        <v>24</v>
      </c>
      <c r="F1297" t="s">
        <v>11</v>
      </c>
      <c r="G1297">
        <v>41</v>
      </c>
      <c r="H1297" t="s">
        <v>15</v>
      </c>
      <c r="I1297">
        <v>3</v>
      </c>
      <c r="J1297" s="6">
        <v>300</v>
      </c>
      <c r="K1297">
        <v>99</v>
      </c>
      <c r="L1297">
        <v>900</v>
      </c>
      <c r="M1297" t="str">
        <f>IF(OR(I1297="",J1297="",L1297=""),"Incomplete","Complete")</f>
        <v>Complete</v>
      </c>
      <c r="N1297" t="str">
        <f>IF(M1297="Incomplete","Not checked",IF(ROUND(I1297*J1297,2)=ROUND(L1297,2),"Valid","Mismatch"))</f>
        <v>Valid</v>
      </c>
      <c r="O1297">
        <f t="shared" si="41"/>
        <v>801</v>
      </c>
    </row>
    <row r="1298" spans="1:15">
      <c r="A1298">
        <v>928</v>
      </c>
      <c r="B1298" t="str">
        <f t="shared" si="40"/>
        <v>2023-11</v>
      </c>
      <c r="C1298" s="1">
        <v>45235</v>
      </c>
      <c r="D1298" s="5">
        <v>0.43055555555555558</v>
      </c>
      <c r="E1298">
        <v>54</v>
      </c>
      <c r="F1298" t="s">
        <v>14</v>
      </c>
      <c r="G1298">
        <v>35</v>
      </c>
      <c r="H1298" t="s">
        <v>12</v>
      </c>
      <c r="I1298">
        <v>4</v>
      </c>
      <c r="J1298" s="6">
        <v>300</v>
      </c>
      <c r="K1298">
        <v>90</v>
      </c>
      <c r="L1298">
        <v>1200</v>
      </c>
      <c r="M1298" t="str">
        <f>IF(OR(I1298="",J1298="",L1298=""),"Incomplete","Complete")</f>
        <v>Complete</v>
      </c>
      <c r="N1298" t="str">
        <f>IF(M1298="Incomplete","Not checked",IF(ROUND(I1298*J1298,2)=ROUND(L1298,2),"Valid","Mismatch"))</f>
        <v>Valid</v>
      </c>
      <c r="O1298">
        <f t="shared" si="41"/>
        <v>1110</v>
      </c>
    </row>
    <row r="1299" spans="1:15">
      <c r="A1299">
        <v>1891</v>
      </c>
      <c r="B1299" t="str">
        <f t="shared" si="40"/>
        <v>2023-12</v>
      </c>
      <c r="C1299" s="1">
        <v>45282</v>
      </c>
      <c r="D1299" s="5">
        <v>0.25763888888888886</v>
      </c>
      <c r="E1299">
        <v>81</v>
      </c>
      <c r="F1299" t="s">
        <v>11</v>
      </c>
      <c r="G1299">
        <v>41</v>
      </c>
      <c r="H1299" t="s">
        <v>15</v>
      </c>
      <c r="I1299">
        <v>3</v>
      </c>
      <c r="J1299" s="6">
        <v>300</v>
      </c>
      <c r="K1299">
        <v>105</v>
      </c>
      <c r="L1299">
        <v>900</v>
      </c>
      <c r="M1299" t="str">
        <f>IF(OR(I1299="",J1299="",L1299=""),"Incomplete","Complete")</f>
        <v>Complete</v>
      </c>
      <c r="N1299" t="str">
        <f>IF(M1299="Incomplete","Not checked",IF(ROUND(I1299*J1299,2)=ROUND(L1299,2),"Valid","Mismatch"))</f>
        <v>Valid</v>
      </c>
      <c r="O1299">
        <f t="shared" si="41"/>
        <v>795</v>
      </c>
    </row>
    <row r="1300" spans="1:15">
      <c r="A1300">
        <v>1928</v>
      </c>
      <c r="B1300" t="str">
        <f t="shared" si="40"/>
        <v>2023-07</v>
      </c>
      <c r="C1300" s="1">
        <v>45136</v>
      </c>
      <c r="D1300" s="5">
        <v>0.27708333333333335</v>
      </c>
      <c r="E1300">
        <v>93</v>
      </c>
      <c r="F1300" t="s">
        <v>14</v>
      </c>
      <c r="G1300">
        <v>35</v>
      </c>
      <c r="H1300" t="s">
        <v>12</v>
      </c>
      <c r="I1300">
        <v>4</v>
      </c>
      <c r="J1300" s="6">
        <v>300</v>
      </c>
      <c r="K1300">
        <v>75</v>
      </c>
      <c r="L1300">
        <v>1200</v>
      </c>
      <c r="M1300" t="str">
        <f>IF(OR(I1300="",J1300="",L1300=""),"Incomplete","Complete")</f>
        <v>Complete</v>
      </c>
      <c r="N1300" t="str">
        <f>IF(M1300="Incomplete","Not checked",IF(ROUND(I1300*J1300,2)=ROUND(L1300,2),"Valid","Mismatch"))</f>
        <v>Valid</v>
      </c>
      <c r="O1300">
        <f t="shared" si="41"/>
        <v>1125</v>
      </c>
    </row>
    <row r="1301" spans="1:15">
      <c r="A1301">
        <v>332</v>
      </c>
      <c r="B1301" t="str">
        <f t="shared" si="40"/>
        <v>2023-04</v>
      </c>
      <c r="C1301" s="1">
        <v>45040</v>
      </c>
      <c r="D1301" s="5">
        <v>0.4777777777777778</v>
      </c>
      <c r="E1301">
        <v>138</v>
      </c>
      <c r="F1301" t="s">
        <v>11</v>
      </c>
      <c r="G1301">
        <v>58</v>
      </c>
      <c r="H1301" t="s">
        <v>15</v>
      </c>
      <c r="I1301">
        <v>4</v>
      </c>
      <c r="J1301" s="6">
        <v>300</v>
      </c>
      <c r="K1301">
        <v>105</v>
      </c>
      <c r="L1301">
        <v>1200</v>
      </c>
      <c r="M1301" t="str">
        <f>IF(OR(I1301="",J1301="",L1301=""),"Incomplete","Complete")</f>
        <v>Complete</v>
      </c>
      <c r="N1301" t="str">
        <f>IF(M1301="Incomplete","Not checked",IF(ROUND(I1301*J1301,2)=ROUND(L1301,2),"Valid","Mismatch"))</f>
        <v>Valid</v>
      </c>
      <c r="O1301">
        <f t="shared" si="41"/>
        <v>1095</v>
      </c>
    </row>
    <row r="1302" spans="1:15">
      <c r="A1302">
        <v>1332</v>
      </c>
      <c r="B1302" t="str">
        <f t="shared" si="40"/>
        <v>2023-12</v>
      </c>
      <c r="C1302" s="1">
        <v>45264</v>
      </c>
      <c r="D1302" s="5">
        <v>0.41805555555555557</v>
      </c>
      <c r="E1302">
        <v>146</v>
      </c>
      <c r="F1302" t="s">
        <v>11</v>
      </c>
      <c r="G1302">
        <v>58</v>
      </c>
      <c r="H1302" t="s">
        <v>15</v>
      </c>
      <c r="I1302">
        <v>4</v>
      </c>
      <c r="J1302" s="6">
        <v>300</v>
      </c>
      <c r="K1302">
        <v>123</v>
      </c>
      <c r="L1302">
        <v>1200</v>
      </c>
      <c r="M1302" t="str">
        <f>IF(OR(I1302="",J1302="",L1302=""),"Incomplete","Complete")</f>
        <v>Complete</v>
      </c>
      <c r="N1302" t="str">
        <f>IF(M1302="Incomplete","Not checked",IF(ROUND(I1302*J1302,2)=ROUND(L1302,2),"Valid","Mismatch"))</f>
        <v>Valid</v>
      </c>
      <c r="O1302">
        <f t="shared" si="41"/>
        <v>1077</v>
      </c>
    </row>
    <row r="1303" spans="1:15">
      <c r="A1303">
        <v>847</v>
      </c>
      <c r="B1303" t="str">
        <f t="shared" si="40"/>
        <v>2023-01</v>
      </c>
      <c r="C1303" s="1">
        <v>44936</v>
      </c>
      <c r="D1303" s="5">
        <v>0.36249999999999999</v>
      </c>
      <c r="E1303">
        <v>2</v>
      </c>
      <c r="F1303" t="s">
        <v>14</v>
      </c>
      <c r="G1303">
        <v>18</v>
      </c>
      <c r="H1303" t="s">
        <v>15</v>
      </c>
      <c r="I1303">
        <v>4</v>
      </c>
      <c r="J1303" s="6">
        <v>300</v>
      </c>
      <c r="K1303">
        <v>162</v>
      </c>
      <c r="L1303">
        <v>1200</v>
      </c>
      <c r="M1303" t="str">
        <f>IF(OR(I1303="",J1303="",L1303=""),"Incomplete","Complete")</f>
        <v>Complete</v>
      </c>
      <c r="N1303" t="str">
        <f>IF(M1303="Incomplete","Not checked",IF(ROUND(I1303*J1303,2)=ROUND(L1303,2),"Valid","Mismatch"))</f>
        <v>Valid</v>
      </c>
      <c r="O1303">
        <f t="shared" si="41"/>
        <v>1038</v>
      </c>
    </row>
    <row r="1304" spans="1:15">
      <c r="A1304">
        <v>1847</v>
      </c>
      <c r="B1304" t="str">
        <f t="shared" si="40"/>
        <v>2023-07</v>
      </c>
      <c r="C1304" s="1">
        <v>45135</v>
      </c>
      <c r="D1304" s="5">
        <v>0.30138888888888887</v>
      </c>
      <c r="E1304">
        <v>5</v>
      </c>
      <c r="F1304" t="s">
        <v>14</v>
      </c>
      <c r="G1304">
        <v>18</v>
      </c>
      <c r="H1304" t="s">
        <v>15</v>
      </c>
      <c r="I1304">
        <v>4</v>
      </c>
      <c r="J1304" s="6">
        <v>300</v>
      </c>
      <c r="K1304">
        <v>123</v>
      </c>
      <c r="L1304">
        <v>1200</v>
      </c>
      <c r="M1304" t="str">
        <f>IF(OR(I1304="",J1304="",L1304=""),"Incomplete","Complete")</f>
        <v>Complete</v>
      </c>
      <c r="N1304" t="str">
        <f>IF(M1304="Incomplete","Not checked",IF(ROUND(I1304*J1304,2)=ROUND(L1304,2),"Valid","Mismatch"))</f>
        <v>Valid</v>
      </c>
      <c r="O1304">
        <f t="shared" si="41"/>
        <v>1077</v>
      </c>
    </row>
    <row r="1305" spans="1:15">
      <c r="A1305">
        <v>886</v>
      </c>
      <c r="B1305" t="str">
        <f t="shared" si="40"/>
        <v>2023-12</v>
      </c>
      <c r="C1305" s="1">
        <v>45271</v>
      </c>
      <c r="D1305" s="5">
        <v>0.47569444444444442</v>
      </c>
      <c r="E1305">
        <v>4</v>
      </c>
      <c r="F1305" t="s">
        <v>11</v>
      </c>
      <c r="G1305">
        <v>37</v>
      </c>
      <c r="H1305" t="s">
        <v>15</v>
      </c>
      <c r="I1305">
        <v>3</v>
      </c>
      <c r="J1305" s="6">
        <v>300</v>
      </c>
      <c r="K1305">
        <v>165</v>
      </c>
      <c r="L1305">
        <v>900</v>
      </c>
      <c r="M1305" t="str">
        <f>IF(OR(I1305="",J1305="",L1305=""),"Incomplete","Complete")</f>
        <v>Complete</v>
      </c>
      <c r="N1305" t="str">
        <f>IF(M1305="Incomplete","Not checked",IF(ROUND(I1305*J1305,2)=ROUND(L1305,2),"Valid","Mismatch"))</f>
        <v>Valid</v>
      </c>
      <c r="O1305">
        <f t="shared" si="41"/>
        <v>735</v>
      </c>
    </row>
    <row r="1306" spans="1:15">
      <c r="A1306">
        <v>1886</v>
      </c>
      <c r="B1306" t="str">
        <f t="shared" si="40"/>
        <v>2023-07</v>
      </c>
      <c r="C1306" s="1">
        <v>45133</v>
      </c>
      <c r="D1306" s="5">
        <v>0.49375000000000002</v>
      </c>
      <c r="E1306">
        <v>1</v>
      </c>
      <c r="F1306" t="s">
        <v>11</v>
      </c>
      <c r="G1306">
        <v>37</v>
      </c>
      <c r="H1306" t="s">
        <v>15</v>
      </c>
      <c r="I1306">
        <v>3</v>
      </c>
      <c r="J1306" s="6">
        <v>300</v>
      </c>
      <c r="K1306">
        <v>147</v>
      </c>
      <c r="L1306">
        <v>900</v>
      </c>
      <c r="M1306" t="str">
        <f>IF(OR(I1306="",J1306="",L1306=""),"Incomplete","Complete")</f>
        <v>Complete</v>
      </c>
      <c r="N1306" t="str">
        <f>IF(M1306="Incomplete","Not checked",IF(ROUND(I1306*J1306,2)=ROUND(L1306,2),"Valid","Mismatch"))</f>
        <v>Valid</v>
      </c>
      <c r="O1306">
        <f t="shared" si="41"/>
        <v>753</v>
      </c>
    </row>
    <row r="1307" spans="1:15">
      <c r="A1307">
        <v>174</v>
      </c>
      <c r="B1307" t="str">
        <f t="shared" si="40"/>
        <v>2023-11</v>
      </c>
      <c r="C1307" s="1">
        <v>45245</v>
      </c>
      <c r="D1307" s="5">
        <v>0.25486111111111109</v>
      </c>
      <c r="E1307">
        <v>2</v>
      </c>
      <c r="F1307" t="s">
        <v>14</v>
      </c>
      <c r="G1307">
        <v>39</v>
      </c>
      <c r="H1307" t="s">
        <v>13</v>
      </c>
      <c r="I1307">
        <v>1</v>
      </c>
      <c r="J1307" s="6">
        <v>300</v>
      </c>
      <c r="K1307">
        <v>126</v>
      </c>
      <c r="L1307">
        <v>300</v>
      </c>
      <c r="M1307" t="str">
        <f>IF(OR(I1307="",J1307="",L1307=""),"Incomplete","Complete")</f>
        <v>Complete</v>
      </c>
      <c r="N1307" t="str">
        <f>IF(M1307="Incomplete","Not checked",IF(ROUND(I1307*J1307,2)=ROUND(L1307,2),"Valid","Mismatch"))</f>
        <v>Valid</v>
      </c>
      <c r="O1307">
        <f t="shared" si="41"/>
        <v>174</v>
      </c>
    </row>
    <row r="1308" spans="1:15">
      <c r="A1308">
        <v>1174</v>
      </c>
      <c r="B1308" t="str">
        <f t="shared" si="40"/>
        <v>2023-05</v>
      </c>
      <c r="C1308" s="1">
        <v>45063</v>
      </c>
      <c r="D1308" s="5">
        <v>0.28819444444444442</v>
      </c>
      <c r="E1308">
        <v>2</v>
      </c>
      <c r="F1308" t="s">
        <v>14</v>
      </c>
      <c r="G1308">
        <v>39</v>
      </c>
      <c r="H1308" t="s">
        <v>13</v>
      </c>
      <c r="I1308">
        <v>1</v>
      </c>
      <c r="J1308" s="6">
        <v>300</v>
      </c>
      <c r="K1308">
        <v>132</v>
      </c>
      <c r="L1308">
        <v>300</v>
      </c>
      <c r="M1308" t="str">
        <f>IF(OR(I1308="",J1308="",L1308=""),"Incomplete","Complete")</f>
        <v>Complete</v>
      </c>
      <c r="N1308" t="str">
        <f>IF(M1308="Incomplete","Not checked",IF(ROUND(I1308*J1308,2)=ROUND(L1308,2),"Valid","Mismatch"))</f>
        <v>Valid</v>
      </c>
      <c r="O1308">
        <f t="shared" si="41"/>
        <v>168</v>
      </c>
    </row>
    <row r="1309" spans="1:15">
      <c r="A1309">
        <v>674</v>
      </c>
      <c r="B1309" t="str">
        <f t="shared" si="40"/>
        <v>2023-03</v>
      </c>
      <c r="C1309" s="1">
        <v>45015</v>
      </c>
      <c r="D1309" s="5">
        <v>0.46527777777777779</v>
      </c>
      <c r="E1309">
        <v>2</v>
      </c>
      <c r="F1309" t="s">
        <v>14</v>
      </c>
      <c r="G1309">
        <v>38</v>
      </c>
      <c r="H1309" t="s">
        <v>12</v>
      </c>
      <c r="I1309">
        <v>1</v>
      </c>
      <c r="J1309" s="6">
        <v>300</v>
      </c>
      <c r="K1309">
        <v>84</v>
      </c>
      <c r="L1309">
        <v>300</v>
      </c>
      <c r="M1309" t="str">
        <f>IF(OR(I1309="",J1309="",L1309=""),"Incomplete","Complete")</f>
        <v>Complete</v>
      </c>
      <c r="N1309" t="str">
        <f>IF(M1309="Incomplete","Not checked",IF(ROUND(I1309*J1309,2)=ROUND(L1309,2),"Valid","Mismatch"))</f>
        <v>Valid</v>
      </c>
      <c r="O1309">
        <f t="shared" si="41"/>
        <v>216</v>
      </c>
    </row>
    <row r="1310" spans="1:15">
      <c r="A1310">
        <v>1674</v>
      </c>
      <c r="B1310" t="str">
        <f t="shared" si="40"/>
        <v>2023-11</v>
      </c>
      <c r="C1310" s="1">
        <v>45252</v>
      </c>
      <c r="D1310" s="5">
        <v>0.38958333333333334</v>
      </c>
      <c r="E1310">
        <v>1</v>
      </c>
      <c r="F1310" t="s">
        <v>14</v>
      </c>
      <c r="G1310">
        <v>38</v>
      </c>
      <c r="H1310" t="s">
        <v>12</v>
      </c>
      <c r="I1310">
        <v>1</v>
      </c>
      <c r="J1310" s="6">
        <v>300</v>
      </c>
      <c r="K1310">
        <v>123</v>
      </c>
      <c r="L1310">
        <v>300</v>
      </c>
      <c r="M1310" t="str">
        <f>IF(OR(I1310="",J1310="",L1310=""),"Incomplete","Complete")</f>
        <v>Complete</v>
      </c>
      <c r="N1310" t="str">
        <f>IF(M1310="Incomplete","Not checked",IF(ROUND(I1310*J1310,2)=ROUND(L1310,2),"Valid","Mismatch"))</f>
        <v>Valid</v>
      </c>
      <c r="O1310">
        <f t="shared" si="41"/>
        <v>177</v>
      </c>
    </row>
    <row r="1311" spans="1:15">
      <c r="A1311">
        <v>79</v>
      </c>
      <c r="B1311" t="str">
        <f t="shared" si="40"/>
        <v>2023-04</v>
      </c>
      <c r="C1311" s="1">
        <v>45029</v>
      </c>
      <c r="D1311" s="5">
        <v>0.42708333333333331</v>
      </c>
      <c r="E1311">
        <v>1</v>
      </c>
      <c r="F1311" t="s">
        <v>11</v>
      </c>
      <c r="G1311">
        <v>34</v>
      </c>
      <c r="H1311" t="s">
        <v>13</v>
      </c>
      <c r="I1311">
        <v>1</v>
      </c>
      <c r="J1311" s="6">
        <v>300</v>
      </c>
      <c r="K1311">
        <v>96</v>
      </c>
      <c r="L1311">
        <v>300</v>
      </c>
      <c r="M1311" t="str">
        <f>IF(OR(I1311="",J1311="",L1311=""),"Incomplete","Complete")</f>
        <v>Complete</v>
      </c>
      <c r="N1311" t="str">
        <f>IF(M1311="Incomplete","Not checked",IF(ROUND(I1311*J1311,2)=ROUND(L1311,2),"Valid","Mismatch"))</f>
        <v>Valid</v>
      </c>
      <c r="O1311">
        <f t="shared" si="41"/>
        <v>204</v>
      </c>
    </row>
    <row r="1312" spans="1:15">
      <c r="A1312">
        <v>1079</v>
      </c>
      <c r="B1312" t="str">
        <f t="shared" si="40"/>
        <v>2023-08</v>
      </c>
      <c r="C1312" s="1">
        <v>45159</v>
      </c>
      <c r="D1312" s="5">
        <v>0.28125</v>
      </c>
      <c r="E1312">
        <v>1</v>
      </c>
      <c r="F1312" t="s">
        <v>11</v>
      </c>
      <c r="G1312">
        <v>34</v>
      </c>
      <c r="H1312" t="s">
        <v>13</v>
      </c>
      <c r="I1312">
        <v>1</v>
      </c>
      <c r="J1312" s="6">
        <v>300</v>
      </c>
      <c r="K1312">
        <v>117</v>
      </c>
      <c r="L1312">
        <v>300</v>
      </c>
      <c r="M1312" t="str">
        <f>IF(OR(I1312="",J1312="",L1312=""),"Incomplete","Complete")</f>
        <v>Complete</v>
      </c>
      <c r="N1312" t="str">
        <f>IF(M1312="Incomplete","Not checked",IF(ROUND(I1312*J1312,2)=ROUND(L1312,2),"Valid","Mismatch"))</f>
        <v>Valid</v>
      </c>
      <c r="O1312">
        <f t="shared" si="41"/>
        <v>183</v>
      </c>
    </row>
    <row r="1313" spans="1:15">
      <c r="A1313">
        <v>969</v>
      </c>
      <c r="B1313" t="str">
        <f t="shared" si="40"/>
        <v>2023-11</v>
      </c>
      <c r="C1313" s="1">
        <v>45257</v>
      </c>
      <c r="D1313" s="5">
        <v>0.4909722222222222</v>
      </c>
      <c r="E1313">
        <v>2</v>
      </c>
      <c r="F1313" t="s">
        <v>14</v>
      </c>
      <c r="G1313">
        <v>40</v>
      </c>
      <c r="H1313" t="s">
        <v>12</v>
      </c>
      <c r="I1313">
        <v>3</v>
      </c>
      <c r="J1313" s="6">
        <v>300</v>
      </c>
      <c r="K1313">
        <v>84</v>
      </c>
      <c r="L1313">
        <v>900</v>
      </c>
      <c r="M1313" t="str">
        <f>IF(OR(I1313="",J1313="",L1313=""),"Incomplete","Complete")</f>
        <v>Complete</v>
      </c>
      <c r="N1313" t="str">
        <f>IF(M1313="Incomplete","Not checked",IF(ROUND(I1313*J1313,2)=ROUND(L1313,2),"Valid","Mismatch"))</f>
        <v>Valid</v>
      </c>
      <c r="O1313">
        <f t="shared" si="41"/>
        <v>816</v>
      </c>
    </row>
    <row r="1314" spans="1:15">
      <c r="A1314">
        <v>1969</v>
      </c>
      <c r="B1314" t="str">
        <f t="shared" si="40"/>
        <v>2023-03</v>
      </c>
      <c r="C1314" s="1">
        <v>44990</v>
      </c>
      <c r="D1314" s="5">
        <v>0.81527777777777777</v>
      </c>
      <c r="E1314">
        <v>4</v>
      </c>
      <c r="F1314" t="s">
        <v>14</v>
      </c>
      <c r="G1314">
        <v>40</v>
      </c>
      <c r="H1314" t="s">
        <v>12</v>
      </c>
      <c r="I1314">
        <v>3</v>
      </c>
      <c r="J1314" s="6">
        <v>300</v>
      </c>
      <c r="K1314">
        <v>126</v>
      </c>
      <c r="L1314">
        <v>900</v>
      </c>
      <c r="M1314" t="str">
        <f>IF(OR(I1314="",J1314="",L1314=""),"Incomplete","Complete")</f>
        <v>Complete</v>
      </c>
      <c r="N1314" t="str">
        <f>IF(M1314="Incomplete","Not checked",IF(ROUND(I1314*J1314,2)=ROUND(L1314,2),"Valid","Mismatch"))</f>
        <v>Valid</v>
      </c>
      <c r="O1314">
        <f t="shared" si="41"/>
        <v>774</v>
      </c>
    </row>
    <row r="1315" spans="1:15">
      <c r="A1315">
        <v>298</v>
      </c>
      <c r="B1315" t="str">
        <f t="shared" si="40"/>
        <v>2023-10</v>
      </c>
      <c r="C1315" s="1">
        <v>45204</v>
      </c>
      <c r="D1315" s="5">
        <v>0.79513888888888884</v>
      </c>
      <c r="E1315">
        <v>3</v>
      </c>
      <c r="F1315" t="s">
        <v>11</v>
      </c>
      <c r="G1315">
        <v>27</v>
      </c>
      <c r="H1315" t="s">
        <v>13</v>
      </c>
      <c r="I1315">
        <v>4</v>
      </c>
      <c r="J1315" s="6">
        <v>300</v>
      </c>
      <c r="K1315">
        <v>84</v>
      </c>
      <c r="L1315">
        <v>1200</v>
      </c>
      <c r="M1315" t="str">
        <f>IF(OR(I1315="",J1315="",L1315=""),"Incomplete","Complete")</f>
        <v>Complete</v>
      </c>
      <c r="N1315" t="str">
        <f>IF(M1315="Incomplete","Not checked",IF(ROUND(I1315*J1315,2)=ROUND(L1315,2),"Valid","Mismatch"))</f>
        <v>Valid</v>
      </c>
      <c r="O1315">
        <f t="shared" si="41"/>
        <v>1116</v>
      </c>
    </row>
    <row r="1316" spans="1:15">
      <c r="A1316">
        <v>1298</v>
      </c>
      <c r="B1316" t="str">
        <f t="shared" si="40"/>
        <v>2023-05</v>
      </c>
      <c r="C1316" s="1">
        <v>45048</v>
      </c>
      <c r="D1316" s="5">
        <v>0.82708333333333328</v>
      </c>
      <c r="E1316">
        <v>1</v>
      </c>
      <c r="F1316" t="s">
        <v>11</v>
      </c>
      <c r="G1316">
        <v>27</v>
      </c>
      <c r="H1316" t="s">
        <v>13</v>
      </c>
      <c r="I1316">
        <v>4</v>
      </c>
      <c r="J1316" s="6">
        <v>300</v>
      </c>
      <c r="K1316">
        <v>120</v>
      </c>
      <c r="L1316">
        <v>1200</v>
      </c>
      <c r="M1316" t="str">
        <f>IF(OR(I1316="",J1316="",L1316=""),"Incomplete","Complete")</f>
        <v>Complete</v>
      </c>
      <c r="N1316" t="str">
        <f>IF(M1316="Incomplete","Not checked",IF(ROUND(I1316*J1316,2)=ROUND(L1316,2),"Valid","Mismatch"))</f>
        <v>Valid</v>
      </c>
      <c r="O1316">
        <f t="shared" si="41"/>
        <v>1080</v>
      </c>
    </row>
    <row r="1317" spans="1:15">
      <c r="A1317">
        <v>129</v>
      </c>
      <c r="B1317" t="str">
        <f t="shared" si="40"/>
        <v>2023-04</v>
      </c>
      <c r="C1317" s="1">
        <v>45033</v>
      </c>
      <c r="D1317" s="5">
        <v>0.73750000000000004</v>
      </c>
      <c r="E1317">
        <v>1</v>
      </c>
      <c r="F1317" t="s">
        <v>14</v>
      </c>
      <c r="G1317">
        <v>21</v>
      </c>
      <c r="H1317" t="s">
        <v>13</v>
      </c>
      <c r="I1317">
        <v>2</v>
      </c>
      <c r="J1317" s="6">
        <v>300</v>
      </c>
      <c r="K1317">
        <v>75</v>
      </c>
      <c r="L1317">
        <v>600</v>
      </c>
      <c r="M1317" t="str">
        <f>IF(OR(I1317="",J1317="",L1317=""),"Incomplete","Complete")</f>
        <v>Complete</v>
      </c>
      <c r="N1317" t="str">
        <f>IF(M1317="Incomplete","Not checked",IF(ROUND(I1317*J1317,2)=ROUND(L1317,2),"Valid","Mismatch"))</f>
        <v>Valid</v>
      </c>
      <c r="O1317">
        <f t="shared" si="41"/>
        <v>525</v>
      </c>
    </row>
    <row r="1318" spans="1:15">
      <c r="A1318">
        <v>1129</v>
      </c>
      <c r="B1318" t="str">
        <f t="shared" si="40"/>
        <v>2023-09</v>
      </c>
      <c r="C1318" s="1">
        <v>45177</v>
      </c>
      <c r="D1318" s="5">
        <v>0.90694444444444444</v>
      </c>
      <c r="E1318">
        <v>1</v>
      </c>
      <c r="F1318" t="s">
        <v>14</v>
      </c>
      <c r="G1318">
        <v>21</v>
      </c>
      <c r="H1318" t="s">
        <v>13</v>
      </c>
      <c r="I1318">
        <v>2</v>
      </c>
      <c r="J1318" s="6">
        <v>300</v>
      </c>
      <c r="K1318">
        <v>156</v>
      </c>
      <c r="L1318">
        <v>600</v>
      </c>
      <c r="M1318" t="str">
        <f>IF(OR(I1318="",J1318="",L1318=""),"Incomplete","Complete")</f>
        <v>Complete</v>
      </c>
      <c r="N1318" t="str">
        <f>IF(M1318="Incomplete","Not checked",IF(ROUND(I1318*J1318,2)=ROUND(L1318,2),"Valid","Mismatch"))</f>
        <v>Valid</v>
      </c>
      <c r="O1318">
        <f t="shared" si="41"/>
        <v>444</v>
      </c>
    </row>
    <row r="1319" spans="1:15">
      <c r="A1319">
        <v>482</v>
      </c>
      <c r="B1319" t="str">
        <f t="shared" si="40"/>
        <v>2023-08</v>
      </c>
      <c r="C1319" s="1">
        <v>45150</v>
      </c>
      <c r="D1319" s="5">
        <v>0.7895833333333333</v>
      </c>
      <c r="E1319">
        <v>3</v>
      </c>
      <c r="F1319" t="s">
        <v>14</v>
      </c>
      <c r="G1319">
        <v>28</v>
      </c>
      <c r="H1319" t="s">
        <v>12</v>
      </c>
      <c r="I1319">
        <v>4</v>
      </c>
      <c r="J1319" s="6">
        <v>300</v>
      </c>
      <c r="K1319">
        <v>141</v>
      </c>
      <c r="L1319">
        <v>1200</v>
      </c>
      <c r="M1319" t="str">
        <f>IF(OR(I1319="",J1319="",L1319=""),"Incomplete","Complete")</f>
        <v>Complete</v>
      </c>
      <c r="N1319" t="str">
        <f>IF(M1319="Incomplete","Not checked",IF(ROUND(I1319*J1319,2)=ROUND(L1319,2),"Valid","Mismatch"))</f>
        <v>Valid</v>
      </c>
      <c r="O1319">
        <f t="shared" si="41"/>
        <v>1059</v>
      </c>
    </row>
    <row r="1320" spans="1:15">
      <c r="A1320">
        <v>1482</v>
      </c>
      <c r="B1320" t="str">
        <f t="shared" si="40"/>
        <v>2023-02</v>
      </c>
      <c r="C1320" s="1">
        <v>44967</v>
      </c>
      <c r="D1320" s="5">
        <v>0.93194444444444446</v>
      </c>
      <c r="E1320">
        <v>1</v>
      </c>
      <c r="F1320" t="s">
        <v>14</v>
      </c>
      <c r="G1320">
        <v>28</v>
      </c>
      <c r="H1320" t="s">
        <v>12</v>
      </c>
      <c r="I1320">
        <v>4</v>
      </c>
      <c r="J1320" s="6">
        <v>300</v>
      </c>
      <c r="K1320">
        <v>114</v>
      </c>
      <c r="L1320">
        <v>1200</v>
      </c>
      <c r="M1320" t="str">
        <f>IF(OR(I1320="",J1320="",L1320=""),"Incomplete","Complete")</f>
        <v>Complete</v>
      </c>
      <c r="N1320" t="str">
        <f>IF(M1320="Incomplete","Not checked",IF(ROUND(I1320*J1320,2)=ROUND(L1320,2),"Valid","Mismatch"))</f>
        <v>Valid</v>
      </c>
      <c r="O1320">
        <f t="shared" si="41"/>
        <v>1086</v>
      </c>
    </row>
    <row r="1321" spans="1:15">
      <c r="A1321">
        <v>987</v>
      </c>
      <c r="B1321" t="str">
        <f t="shared" si="40"/>
        <v>2023-11</v>
      </c>
      <c r="C1321" s="1">
        <v>45238</v>
      </c>
      <c r="D1321" s="5">
        <v>0.78125</v>
      </c>
      <c r="E1321">
        <v>1</v>
      </c>
      <c r="F1321" t="s">
        <v>14</v>
      </c>
      <c r="G1321">
        <v>30</v>
      </c>
      <c r="H1321" t="s">
        <v>12</v>
      </c>
      <c r="I1321">
        <v>3</v>
      </c>
      <c r="J1321" s="6">
        <v>300</v>
      </c>
      <c r="K1321">
        <v>165</v>
      </c>
      <c r="L1321">
        <v>900</v>
      </c>
      <c r="M1321" t="str">
        <f>IF(OR(I1321="",J1321="",L1321=""),"Incomplete","Complete")</f>
        <v>Complete</v>
      </c>
      <c r="N1321" t="str">
        <f>IF(M1321="Incomplete","Not checked",IF(ROUND(I1321*J1321,2)=ROUND(L1321,2),"Valid","Mismatch"))</f>
        <v>Valid</v>
      </c>
      <c r="O1321">
        <f t="shared" si="41"/>
        <v>735</v>
      </c>
    </row>
    <row r="1322" spans="1:15">
      <c r="A1322">
        <v>1987</v>
      </c>
      <c r="B1322" t="str">
        <f t="shared" si="40"/>
        <v>2023-05</v>
      </c>
      <c r="C1322" s="1">
        <v>45072</v>
      </c>
      <c r="D1322" s="5">
        <v>0.76249999999999996</v>
      </c>
      <c r="E1322">
        <v>2</v>
      </c>
      <c r="F1322" t="s">
        <v>14</v>
      </c>
      <c r="G1322">
        <v>30</v>
      </c>
      <c r="H1322" t="s">
        <v>12</v>
      </c>
      <c r="I1322">
        <v>3</v>
      </c>
      <c r="J1322" s="6">
        <v>300</v>
      </c>
      <c r="K1322">
        <v>129</v>
      </c>
      <c r="L1322">
        <v>900</v>
      </c>
      <c r="M1322" t="str">
        <f>IF(OR(I1322="",J1322="",L1322=""),"Incomplete","Complete")</f>
        <v>Complete</v>
      </c>
      <c r="N1322" t="str">
        <f>IF(M1322="Incomplete","Not checked",IF(ROUND(I1322*J1322,2)=ROUND(L1322,2),"Valid","Mismatch"))</f>
        <v>Valid</v>
      </c>
      <c r="O1322">
        <f t="shared" si="41"/>
        <v>771</v>
      </c>
    </row>
    <row r="1323" spans="1:15">
      <c r="A1323">
        <v>252</v>
      </c>
      <c r="B1323" t="str">
        <f t="shared" si="40"/>
        <v>2023-05</v>
      </c>
      <c r="C1323" s="1">
        <v>45051</v>
      </c>
      <c r="D1323" s="5">
        <v>0.73402777777777772</v>
      </c>
      <c r="E1323">
        <v>1</v>
      </c>
      <c r="F1323" t="s">
        <v>11</v>
      </c>
      <c r="G1323">
        <v>54</v>
      </c>
      <c r="H1323" t="s">
        <v>15</v>
      </c>
      <c r="I1323">
        <v>1</v>
      </c>
      <c r="J1323" s="6">
        <v>300</v>
      </c>
      <c r="K1323">
        <v>84</v>
      </c>
      <c r="L1323">
        <v>300</v>
      </c>
      <c r="M1323" t="str">
        <f>IF(OR(I1323="",J1323="",L1323=""),"Incomplete","Complete")</f>
        <v>Complete</v>
      </c>
      <c r="N1323" t="str">
        <f>IF(M1323="Incomplete","Not checked",IF(ROUND(I1323*J1323,2)=ROUND(L1323,2),"Valid","Mismatch"))</f>
        <v>Valid</v>
      </c>
      <c r="O1323">
        <f t="shared" si="41"/>
        <v>216</v>
      </c>
    </row>
    <row r="1324" spans="1:15">
      <c r="A1324">
        <v>1252</v>
      </c>
      <c r="B1324" t="str">
        <f t="shared" si="40"/>
        <v>2023-12</v>
      </c>
      <c r="C1324" s="1">
        <v>45290</v>
      </c>
      <c r="D1324" s="5">
        <v>0.84583333333333333</v>
      </c>
      <c r="E1324">
        <v>5</v>
      </c>
      <c r="F1324" t="s">
        <v>11</v>
      </c>
      <c r="G1324">
        <v>54</v>
      </c>
      <c r="H1324" t="s">
        <v>15</v>
      </c>
      <c r="I1324">
        <v>1</v>
      </c>
      <c r="J1324" s="6">
        <v>300</v>
      </c>
      <c r="K1324">
        <v>117</v>
      </c>
      <c r="L1324">
        <v>300</v>
      </c>
      <c r="M1324" t="str">
        <f>IF(OR(I1324="",J1324="",L1324=""),"Incomplete","Complete")</f>
        <v>Complete</v>
      </c>
      <c r="N1324" t="str">
        <f>IF(M1324="Incomplete","Not checked",IF(ROUND(I1324*J1324,2)=ROUND(L1324,2),"Valid","Mismatch"))</f>
        <v>Valid</v>
      </c>
      <c r="O1324">
        <f t="shared" si="41"/>
        <v>183</v>
      </c>
    </row>
    <row r="1325" spans="1:15">
      <c r="A1325">
        <v>380</v>
      </c>
      <c r="B1325" t="str">
        <f t="shared" si="40"/>
        <v>2023-08</v>
      </c>
      <c r="C1325" s="1">
        <v>45168</v>
      </c>
      <c r="D1325" s="5">
        <v>0.93472222222222223</v>
      </c>
      <c r="E1325">
        <v>2</v>
      </c>
      <c r="F1325" t="s">
        <v>11</v>
      </c>
      <c r="G1325">
        <v>56</v>
      </c>
      <c r="H1325" t="s">
        <v>15</v>
      </c>
      <c r="I1325">
        <v>2</v>
      </c>
      <c r="J1325" s="6">
        <v>300</v>
      </c>
      <c r="K1325">
        <v>102</v>
      </c>
      <c r="L1325">
        <v>600</v>
      </c>
      <c r="M1325" t="str">
        <f>IF(OR(I1325="",J1325="",L1325=""),"Incomplete","Complete")</f>
        <v>Complete</v>
      </c>
      <c r="N1325" t="str">
        <f>IF(M1325="Incomplete","Not checked",IF(ROUND(I1325*J1325,2)=ROUND(L1325,2),"Valid","Mismatch"))</f>
        <v>Valid</v>
      </c>
      <c r="O1325">
        <f t="shared" si="41"/>
        <v>498</v>
      </c>
    </row>
    <row r="1326" spans="1:15">
      <c r="A1326">
        <v>1380</v>
      </c>
      <c r="B1326" t="str">
        <f t="shared" si="40"/>
        <v>2023-02</v>
      </c>
      <c r="C1326" s="1">
        <v>44966</v>
      </c>
      <c r="D1326" s="5">
        <v>0.82291666666666663</v>
      </c>
      <c r="E1326">
        <v>3</v>
      </c>
      <c r="F1326" t="s">
        <v>11</v>
      </c>
      <c r="G1326">
        <v>56</v>
      </c>
      <c r="H1326" t="s">
        <v>15</v>
      </c>
      <c r="I1326">
        <v>2</v>
      </c>
      <c r="J1326" s="6">
        <v>300</v>
      </c>
      <c r="K1326">
        <v>159</v>
      </c>
      <c r="L1326">
        <v>600</v>
      </c>
      <c r="M1326" t="str">
        <f>IF(OR(I1326="",J1326="",L1326=""),"Incomplete","Complete")</f>
        <v>Complete</v>
      </c>
      <c r="N1326" t="str">
        <f>IF(M1326="Incomplete","Not checked",IF(ROUND(I1326*J1326,2)=ROUND(L1326,2),"Valid","Mismatch"))</f>
        <v>Valid</v>
      </c>
      <c r="O1326">
        <f t="shared" si="41"/>
        <v>441</v>
      </c>
    </row>
    <row r="1327" spans="1:15">
      <c r="A1327">
        <v>221</v>
      </c>
      <c r="B1327" t="str">
        <f t="shared" si="40"/>
        <v>2023-11</v>
      </c>
      <c r="C1327" s="1">
        <v>45257</v>
      </c>
      <c r="D1327" s="5">
        <v>0.87569444444444444</v>
      </c>
      <c r="E1327">
        <v>3</v>
      </c>
      <c r="F1327" t="s">
        <v>11</v>
      </c>
      <c r="G1327">
        <v>39</v>
      </c>
      <c r="H1327" t="s">
        <v>13</v>
      </c>
      <c r="I1327">
        <v>2</v>
      </c>
      <c r="J1327" s="6">
        <v>300</v>
      </c>
      <c r="K1327">
        <v>111</v>
      </c>
      <c r="L1327">
        <v>600</v>
      </c>
      <c r="M1327" t="str">
        <f>IF(OR(I1327="",J1327="",L1327=""),"Incomplete","Complete")</f>
        <v>Complete</v>
      </c>
      <c r="N1327" t="str">
        <f>IF(M1327="Incomplete","Not checked",IF(ROUND(I1327*J1327,2)=ROUND(L1327,2),"Valid","Mismatch"))</f>
        <v>Valid</v>
      </c>
      <c r="O1327">
        <f t="shared" si="41"/>
        <v>489</v>
      </c>
    </row>
    <row r="1328" spans="1:15">
      <c r="A1328">
        <v>1221</v>
      </c>
      <c r="B1328" t="str">
        <f t="shared" si="40"/>
        <v>2023-09</v>
      </c>
      <c r="C1328" s="1">
        <v>45183</v>
      </c>
      <c r="D1328" s="5">
        <v>0.95625000000000004</v>
      </c>
      <c r="E1328">
        <v>5</v>
      </c>
      <c r="F1328" t="s">
        <v>11</v>
      </c>
      <c r="G1328">
        <v>39</v>
      </c>
      <c r="H1328" t="s">
        <v>13</v>
      </c>
      <c r="I1328">
        <v>2</v>
      </c>
      <c r="J1328" s="6">
        <v>300</v>
      </c>
      <c r="K1328">
        <v>114</v>
      </c>
      <c r="L1328">
        <v>600</v>
      </c>
      <c r="M1328" t="str">
        <f>IF(OR(I1328="",J1328="",L1328=""),"Incomplete","Complete")</f>
        <v>Complete</v>
      </c>
      <c r="N1328" t="str">
        <f>IF(M1328="Incomplete","Not checked",IF(ROUND(I1328*J1328,2)=ROUND(L1328,2),"Valid","Mismatch"))</f>
        <v>Valid</v>
      </c>
      <c r="O1328">
        <f t="shared" si="41"/>
        <v>486</v>
      </c>
    </row>
    <row r="1329" spans="1:15">
      <c r="A1329">
        <v>838</v>
      </c>
      <c r="B1329" t="str">
        <f t="shared" si="40"/>
        <v>2023-09</v>
      </c>
      <c r="C1329" s="1">
        <v>45199</v>
      </c>
      <c r="D1329" s="5">
        <v>0.88888888888888884</v>
      </c>
      <c r="E1329">
        <v>1</v>
      </c>
      <c r="F1329" t="s">
        <v>11</v>
      </c>
      <c r="G1329">
        <v>47</v>
      </c>
      <c r="H1329" t="s">
        <v>15</v>
      </c>
      <c r="I1329">
        <v>2</v>
      </c>
      <c r="J1329" s="6">
        <v>300</v>
      </c>
      <c r="K1329">
        <v>153</v>
      </c>
      <c r="L1329">
        <v>600</v>
      </c>
      <c r="M1329" t="str">
        <f>IF(OR(I1329="",J1329="",L1329=""),"Incomplete","Complete")</f>
        <v>Complete</v>
      </c>
      <c r="N1329" t="str">
        <f>IF(M1329="Incomplete","Not checked",IF(ROUND(I1329*J1329,2)=ROUND(L1329,2),"Valid","Mismatch"))</f>
        <v>Valid</v>
      </c>
      <c r="O1329">
        <f t="shared" si="41"/>
        <v>447</v>
      </c>
    </row>
    <row r="1330" spans="1:15">
      <c r="A1330">
        <v>1838</v>
      </c>
      <c r="B1330" t="str">
        <f t="shared" si="40"/>
        <v>2023-06</v>
      </c>
      <c r="C1330" s="1">
        <v>45105</v>
      </c>
      <c r="D1330" s="5">
        <v>0.71250000000000002</v>
      </c>
      <c r="E1330">
        <v>4</v>
      </c>
      <c r="F1330" t="s">
        <v>11</v>
      </c>
      <c r="G1330">
        <v>47</v>
      </c>
      <c r="H1330" t="s">
        <v>15</v>
      </c>
      <c r="I1330">
        <v>2</v>
      </c>
      <c r="J1330" s="6">
        <v>300</v>
      </c>
      <c r="K1330">
        <v>102</v>
      </c>
      <c r="L1330">
        <v>600</v>
      </c>
      <c r="M1330" t="str">
        <f>IF(OR(I1330="",J1330="",L1330=""),"Incomplete","Complete")</f>
        <v>Complete</v>
      </c>
      <c r="N1330" t="str">
        <f>IF(M1330="Incomplete","Not checked",IF(ROUND(I1330*J1330,2)=ROUND(L1330,2),"Valid","Mismatch"))</f>
        <v>Valid</v>
      </c>
      <c r="O1330">
        <f t="shared" si="41"/>
        <v>498</v>
      </c>
    </row>
    <row r="1331" spans="1:15">
      <c r="A1331">
        <v>48</v>
      </c>
      <c r="B1331" t="str">
        <f t="shared" si="40"/>
        <v>2023-10</v>
      </c>
      <c r="C1331" s="1">
        <v>45205</v>
      </c>
      <c r="D1331" s="5">
        <v>0.7319444444444444</v>
      </c>
      <c r="E1331">
        <v>2</v>
      </c>
      <c r="F1331" t="s">
        <v>11</v>
      </c>
      <c r="G1331">
        <v>54</v>
      </c>
      <c r="H1331" t="s">
        <v>15</v>
      </c>
      <c r="I1331">
        <v>3</v>
      </c>
      <c r="J1331" s="6">
        <v>300</v>
      </c>
      <c r="K1331">
        <v>123</v>
      </c>
      <c r="L1331">
        <v>900</v>
      </c>
      <c r="M1331" t="str">
        <f>IF(OR(I1331="",J1331="",L1331=""),"Incomplete","Complete")</f>
        <v>Complete</v>
      </c>
      <c r="N1331" t="str">
        <f>IF(M1331="Incomplete","Not checked",IF(ROUND(I1331*J1331,2)=ROUND(L1331,2),"Valid","Mismatch"))</f>
        <v>Valid</v>
      </c>
      <c r="O1331">
        <f t="shared" si="41"/>
        <v>777</v>
      </c>
    </row>
    <row r="1332" spans="1:15">
      <c r="A1332">
        <v>358</v>
      </c>
      <c r="B1332" t="str">
        <f t="shared" si="40"/>
        <v>2023-10</v>
      </c>
      <c r="C1332" s="1">
        <v>45211</v>
      </c>
      <c r="D1332" s="5">
        <v>0.77222222222222225</v>
      </c>
      <c r="E1332">
        <v>4</v>
      </c>
      <c r="F1332" t="s">
        <v>14</v>
      </c>
      <c r="G1332">
        <v>32</v>
      </c>
      <c r="H1332" t="s">
        <v>13</v>
      </c>
      <c r="I1332">
        <v>1</v>
      </c>
      <c r="J1332" s="6">
        <v>300</v>
      </c>
      <c r="K1332">
        <v>132</v>
      </c>
      <c r="L1332">
        <v>300</v>
      </c>
      <c r="M1332" t="str">
        <f>IF(OR(I1332="",J1332="",L1332=""),"Incomplete","Complete")</f>
        <v>Complete</v>
      </c>
      <c r="N1332" t="str">
        <f>IF(M1332="Incomplete","Not checked",IF(ROUND(I1332*J1332,2)=ROUND(L1332,2),"Valid","Mismatch"))</f>
        <v>Valid</v>
      </c>
      <c r="O1332">
        <f t="shared" si="41"/>
        <v>168</v>
      </c>
    </row>
    <row r="1333" spans="1:15">
      <c r="A1333">
        <v>398</v>
      </c>
      <c r="B1333" t="str">
        <f t="shared" si="40"/>
        <v>2023-02</v>
      </c>
      <c r="C1333" s="1">
        <v>44980</v>
      </c>
      <c r="D1333" s="5">
        <v>0.88680555555555551</v>
      </c>
      <c r="E1333">
        <v>5</v>
      </c>
      <c r="F1333" t="s">
        <v>14</v>
      </c>
      <c r="G1333">
        <v>48</v>
      </c>
      <c r="H1333" t="s">
        <v>12</v>
      </c>
      <c r="I1333">
        <v>2</v>
      </c>
      <c r="J1333" s="6">
        <v>300</v>
      </c>
      <c r="K1333">
        <v>114</v>
      </c>
      <c r="L1333">
        <v>600</v>
      </c>
      <c r="M1333" t="str">
        <f>IF(OR(I1333="",J1333="",L1333=""),"Incomplete","Complete")</f>
        <v>Complete</v>
      </c>
      <c r="N1333" t="str">
        <f>IF(M1333="Incomplete","Not checked",IF(ROUND(I1333*J1333,2)=ROUND(L1333,2),"Valid","Mismatch"))</f>
        <v>Valid</v>
      </c>
      <c r="O1333">
        <f t="shared" si="41"/>
        <v>486</v>
      </c>
    </row>
    <row r="1334" spans="1:15">
      <c r="A1334">
        <v>1048</v>
      </c>
      <c r="B1334" t="str">
        <f t="shared" si="40"/>
        <v>2023-07</v>
      </c>
      <c r="C1334" s="1">
        <v>45119</v>
      </c>
      <c r="D1334" s="5">
        <v>0.80138888888888893</v>
      </c>
      <c r="E1334">
        <v>3</v>
      </c>
      <c r="F1334" t="s">
        <v>11</v>
      </c>
      <c r="G1334">
        <v>54</v>
      </c>
      <c r="H1334" t="s">
        <v>15</v>
      </c>
      <c r="I1334">
        <v>3</v>
      </c>
      <c r="J1334" s="6">
        <v>300</v>
      </c>
      <c r="K1334">
        <v>93</v>
      </c>
      <c r="L1334">
        <v>900</v>
      </c>
      <c r="M1334" t="str">
        <f>IF(OR(I1334="",J1334="",L1334=""),"Incomplete","Complete")</f>
        <v>Complete</v>
      </c>
      <c r="N1334" t="str">
        <f>IF(M1334="Incomplete","Not checked",IF(ROUND(I1334*J1334,2)=ROUND(L1334,2),"Valid","Mismatch"))</f>
        <v>Valid</v>
      </c>
      <c r="O1334">
        <f t="shared" si="41"/>
        <v>807</v>
      </c>
    </row>
    <row r="1335" spans="1:15">
      <c r="A1335">
        <v>1358</v>
      </c>
      <c r="B1335" t="str">
        <f t="shared" si="40"/>
        <v>2023-05</v>
      </c>
      <c r="C1335" s="1">
        <v>45050</v>
      </c>
      <c r="D1335" s="5">
        <v>0.90277777777777779</v>
      </c>
      <c r="E1335">
        <v>5</v>
      </c>
      <c r="F1335" t="s">
        <v>14</v>
      </c>
      <c r="G1335">
        <v>32</v>
      </c>
      <c r="H1335" t="s">
        <v>13</v>
      </c>
      <c r="I1335">
        <v>1</v>
      </c>
      <c r="J1335" s="6">
        <v>300</v>
      </c>
      <c r="K1335">
        <v>156</v>
      </c>
      <c r="L1335">
        <v>300</v>
      </c>
      <c r="M1335" t="str">
        <f>IF(OR(I1335="",J1335="",L1335=""),"Incomplete","Complete")</f>
        <v>Complete</v>
      </c>
      <c r="N1335" t="str">
        <f>IF(M1335="Incomplete","Not checked",IF(ROUND(I1335*J1335,2)=ROUND(L1335,2),"Valid","Mismatch"))</f>
        <v>Valid</v>
      </c>
      <c r="O1335">
        <f t="shared" si="41"/>
        <v>144</v>
      </c>
    </row>
    <row r="1336" spans="1:15">
      <c r="A1336">
        <v>1398</v>
      </c>
      <c r="B1336" t="str">
        <f t="shared" si="40"/>
        <v>2023-07</v>
      </c>
      <c r="C1336" s="1">
        <v>45126</v>
      </c>
      <c r="D1336" s="5">
        <v>0.72222222222222221</v>
      </c>
      <c r="E1336">
        <v>1</v>
      </c>
      <c r="F1336" t="s">
        <v>14</v>
      </c>
      <c r="G1336">
        <v>48</v>
      </c>
      <c r="H1336" t="s">
        <v>12</v>
      </c>
      <c r="I1336">
        <v>2</v>
      </c>
      <c r="J1336" s="6">
        <v>300</v>
      </c>
      <c r="K1336">
        <v>120</v>
      </c>
      <c r="L1336">
        <v>600</v>
      </c>
      <c r="M1336" t="str">
        <f>IF(OR(I1336="",J1336="",L1336=""),"Incomplete","Complete")</f>
        <v>Complete</v>
      </c>
      <c r="N1336" t="str">
        <f>IF(M1336="Incomplete","Not checked",IF(ROUND(I1336*J1336,2)=ROUND(L1336,2),"Valid","Mismatch"))</f>
        <v>Valid</v>
      </c>
      <c r="O1336">
        <f t="shared" si="41"/>
        <v>480</v>
      </c>
    </row>
    <row r="1337" spans="1:15">
      <c r="A1337">
        <v>881</v>
      </c>
      <c r="B1337" t="str">
        <f t="shared" si="40"/>
        <v>2023-12</v>
      </c>
      <c r="C1337" s="1">
        <v>45281</v>
      </c>
      <c r="D1337" s="5">
        <v>0.86944444444444446</v>
      </c>
      <c r="E1337">
        <v>4</v>
      </c>
      <c r="F1337" t="s">
        <v>11</v>
      </c>
      <c r="G1337">
        <v>22</v>
      </c>
      <c r="H1337" t="s">
        <v>15</v>
      </c>
      <c r="I1337">
        <v>1</v>
      </c>
      <c r="J1337" s="6">
        <v>300</v>
      </c>
      <c r="K1337">
        <v>99</v>
      </c>
      <c r="L1337">
        <v>300</v>
      </c>
      <c r="M1337" t="str">
        <f>IF(OR(I1337="",J1337="",L1337=""),"Incomplete","Complete")</f>
        <v>Complete</v>
      </c>
      <c r="N1337" t="str">
        <f>IF(M1337="Incomplete","Not checked",IF(ROUND(I1337*J1337,2)=ROUND(L1337,2),"Valid","Mismatch"))</f>
        <v>Valid</v>
      </c>
      <c r="O1337">
        <f t="shared" si="41"/>
        <v>201</v>
      </c>
    </row>
    <row r="1338" spans="1:15">
      <c r="A1338">
        <v>1881</v>
      </c>
      <c r="B1338" t="str">
        <f t="shared" si="40"/>
        <v>2023-07</v>
      </c>
      <c r="C1338" s="1">
        <v>45118</v>
      </c>
      <c r="D1338" s="5">
        <v>0.72430555555555554</v>
      </c>
      <c r="E1338">
        <v>5</v>
      </c>
      <c r="F1338" t="s">
        <v>11</v>
      </c>
      <c r="G1338">
        <v>22</v>
      </c>
      <c r="H1338" t="s">
        <v>15</v>
      </c>
      <c r="I1338">
        <v>1</v>
      </c>
      <c r="J1338" s="6">
        <v>300</v>
      </c>
      <c r="K1338">
        <v>147</v>
      </c>
      <c r="L1338">
        <v>300</v>
      </c>
      <c r="M1338" t="str">
        <f>IF(OR(I1338="",J1338="",L1338=""),"Incomplete","Complete")</f>
        <v>Complete</v>
      </c>
      <c r="N1338" t="str">
        <f>IF(M1338="Incomplete","Not checked",IF(ROUND(I1338*J1338,2)=ROUND(L1338,2),"Valid","Mismatch"))</f>
        <v>Valid</v>
      </c>
      <c r="O1338">
        <f t="shared" si="41"/>
        <v>153</v>
      </c>
    </row>
    <row r="1339" spans="1:15">
      <c r="A1339">
        <v>403</v>
      </c>
      <c r="B1339" t="str">
        <f t="shared" si="40"/>
        <v>2023-04</v>
      </c>
      <c r="C1339" s="1">
        <v>45038</v>
      </c>
      <c r="D1339" s="5">
        <v>0.81319444444444444</v>
      </c>
      <c r="E1339">
        <v>5</v>
      </c>
      <c r="F1339" t="s">
        <v>11</v>
      </c>
      <c r="G1339">
        <v>32</v>
      </c>
      <c r="H1339" t="s">
        <v>12</v>
      </c>
      <c r="I1339">
        <v>2</v>
      </c>
      <c r="J1339" s="6">
        <v>300</v>
      </c>
      <c r="K1339">
        <v>78</v>
      </c>
      <c r="L1339">
        <v>600</v>
      </c>
      <c r="M1339" t="str">
        <f>IF(OR(I1339="",J1339="",L1339=""),"Incomplete","Complete")</f>
        <v>Complete</v>
      </c>
      <c r="N1339" t="str">
        <f>IF(M1339="Incomplete","Not checked",IF(ROUND(I1339*J1339,2)=ROUND(L1339,2),"Valid","Mismatch"))</f>
        <v>Valid</v>
      </c>
      <c r="O1339">
        <f t="shared" si="41"/>
        <v>522</v>
      </c>
    </row>
    <row r="1340" spans="1:15">
      <c r="A1340">
        <v>1403</v>
      </c>
      <c r="B1340" t="str">
        <f t="shared" si="40"/>
        <v>2023-03</v>
      </c>
      <c r="C1340" s="1">
        <v>45010</v>
      </c>
      <c r="D1340" s="5">
        <v>0.76388888888888884</v>
      </c>
      <c r="E1340">
        <v>4</v>
      </c>
      <c r="F1340" t="s">
        <v>11</v>
      </c>
      <c r="G1340">
        <v>32</v>
      </c>
      <c r="H1340" t="s">
        <v>12</v>
      </c>
      <c r="I1340">
        <v>2</v>
      </c>
      <c r="J1340" s="6">
        <v>300</v>
      </c>
      <c r="K1340">
        <v>162</v>
      </c>
      <c r="L1340">
        <v>600</v>
      </c>
      <c r="M1340" t="str">
        <f>IF(OR(I1340="",J1340="",L1340=""),"Incomplete","Complete")</f>
        <v>Complete</v>
      </c>
      <c r="N1340" t="str">
        <f>IF(M1340="Incomplete","Not checked",IF(ROUND(I1340*J1340,2)=ROUND(L1340,2),"Valid","Mismatch"))</f>
        <v>Valid</v>
      </c>
      <c r="O1340">
        <f t="shared" si="41"/>
        <v>438</v>
      </c>
    </row>
    <row r="1341" spans="1:15">
      <c r="A1341">
        <v>911</v>
      </c>
      <c r="B1341" t="str">
        <f t="shared" si="40"/>
        <v>2023-07</v>
      </c>
      <c r="C1341" s="1">
        <v>45122</v>
      </c>
      <c r="D1341" s="5">
        <v>0.72847222222222219</v>
      </c>
      <c r="E1341">
        <v>3</v>
      </c>
      <c r="F1341" t="s">
        <v>11</v>
      </c>
      <c r="G1341">
        <v>42</v>
      </c>
      <c r="H1341" t="s">
        <v>15</v>
      </c>
      <c r="I1341">
        <v>3</v>
      </c>
      <c r="J1341" s="6">
        <v>300</v>
      </c>
      <c r="K1341">
        <v>84</v>
      </c>
      <c r="L1341">
        <v>900</v>
      </c>
      <c r="M1341" t="str">
        <f>IF(OR(I1341="",J1341="",L1341=""),"Incomplete","Complete")</f>
        <v>Complete</v>
      </c>
      <c r="N1341" t="str">
        <f>IF(M1341="Incomplete","Not checked",IF(ROUND(I1341*J1341,2)=ROUND(L1341,2),"Valid","Mismatch"))</f>
        <v>Valid</v>
      </c>
      <c r="O1341">
        <f t="shared" si="41"/>
        <v>816</v>
      </c>
    </row>
    <row r="1342" spans="1:15">
      <c r="A1342">
        <v>1911</v>
      </c>
      <c r="B1342" t="str">
        <f t="shared" si="40"/>
        <v>2023-12</v>
      </c>
      <c r="C1342" s="1">
        <v>45273</v>
      </c>
      <c r="D1342" s="5">
        <v>0.7729166666666667</v>
      </c>
      <c r="E1342">
        <v>4</v>
      </c>
      <c r="F1342" t="s">
        <v>11</v>
      </c>
      <c r="G1342">
        <v>42</v>
      </c>
      <c r="H1342" t="s">
        <v>15</v>
      </c>
      <c r="I1342">
        <v>3</v>
      </c>
      <c r="J1342" s="6">
        <v>300</v>
      </c>
      <c r="K1342">
        <v>75</v>
      </c>
      <c r="L1342">
        <v>900</v>
      </c>
      <c r="M1342" t="str">
        <f>IF(OR(I1342="",J1342="",L1342=""),"Incomplete","Complete")</f>
        <v>Complete</v>
      </c>
      <c r="N1342" t="str">
        <f>IF(M1342="Incomplete","Not checked",IF(ROUND(I1342*J1342,2)=ROUND(L1342,2),"Valid","Mismatch"))</f>
        <v>Valid</v>
      </c>
      <c r="O1342">
        <f t="shared" si="41"/>
        <v>825</v>
      </c>
    </row>
    <row r="1343" spans="1:15">
      <c r="A1343">
        <v>31</v>
      </c>
      <c r="B1343" t="str">
        <f t="shared" si="40"/>
        <v>2023-12</v>
      </c>
      <c r="C1343" s="1">
        <v>45291</v>
      </c>
      <c r="D1343" s="5">
        <v>0.74097222222222225</v>
      </c>
      <c r="E1343">
        <v>3</v>
      </c>
      <c r="F1343" t="s">
        <v>11</v>
      </c>
      <c r="G1343">
        <v>44</v>
      </c>
      <c r="H1343" t="s">
        <v>15</v>
      </c>
      <c r="I1343">
        <v>4</v>
      </c>
      <c r="J1343" s="6">
        <v>300</v>
      </c>
      <c r="K1343">
        <v>129</v>
      </c>
      <c r="L1343">
        <v>1200</v>
      </c>
      <c r="M1343" t="str">
        <f>IF(OR(I1343="",J1343="",L1343=""),"Incomplete","Complete")</f>
        <v>Complete</v>
      </c>
      <c r="N1343" t="str">
        <f>IF(M1343="Incomplete","Not checked",IF(ROUND(I1343*J1343,2)=ROUND(L1343,2),"Valid","Mismatch"))</f>
        <v>Valid</v>
      </c>
      <c r="O1343">
        <f t="shared" si="41"/>
        <v>1071</v>
      </c>
    </row>
    <row r="1344" spans="1:15">
      <c r="A1344">
        <v>243</v>
      </c>
      <c r="B1344" t="str">
        <f t="shared" si="40"/>
        <v>2023-06</v>
      </c>
      <c r="C1344" s="1">
        <v>45101</v>
      </c>
      <c r="D1344" s="5">
        <v>0.75138888888888888</v>
      </c>
      <c r="E1344">
        <v>5</v>
      </c>
      <c r="F1344" t="s">
        <v>14</v>
      </c>
      <c r="G1344">
        <v>47</v>
      </c>
      <c r="H1344" t="s">
        <v>15</v>
      </c>
      <c r="I1344">
        <v>3</v>
      </c>
      <c r="J1344" s="6">
        <v>300</v>
      </c>
      <c r="K1344">
        <v>156</v>
      </c>
      <c r="L1344">
        <v>900</v>
      </c>
      <c r="M1344" t="str">
        <f>IF(OR(I1344="",J1344="",L1344=""),"Incomplete","Complete")</f>
        <v>Complete</v>
      </c>
      <c r="N1344" t="str">
        <f>IF(M1344="Incomplete","Not checked",IF(ROUND(I1344*J1344,2)=ROUND(L1344,2),"Valid","Mismatch"))</f>
        <v>Valid</v>
      </c>
      <c r="O1344">
        <f t="shared" si="41"/>
        <v>744</v>
      </c>
    </row>
    <row r="1345" spans="1:15">
      <c r="A1345">
        <v>491</v>
      </c>
      <c r="B1345" t="str">
        <f t="shared" si="40"/>
        <v>2023-12</v>
      </c>
      <c r="C1345" s="1">
        <v>45290</v>
      </c>
      <c r="D1345" s="5">
        <v>0.88263888888888886</v>
      </c>
      <c r="E1345">
        <v>4</v>
      </c>
      <c r="F1345" t="s">
        <v>14</v>
      </c>
      <c r="G1345">
        <v>60</v>
      </c>
      <c r="H1345" t="s">
        <v>15</v>
      </c>
      <c r="I1345">
        <v>3</v>
      </c>
      <c r="J1345" s="6">
        <v>300</v>
      </c>
      <c r="K1345">
        <v>78</v>
      </c>
      <c r="L1345">
        <v>900</v>
      </c>
      <c r="M1345" t="str">
        <f>IF(OR(I1345="",J1345="",L1345=""),"Incomplete","Complete")</f>
        <v>Complete</v>
      </c>
      <c r="N1345" t="str">
        <f>IF(M1345="Incomplete","Not checked",IF(ROUND(I1345*J1345,2)=ROUND(L1345,2),"Valid","Mismatch"))</f>
        <v>Valid</v>
      </c>
      <c r="O1345">
        <f t="shared" si="41"/>
        <v>822</v>
      </c>
    </row>
    <row r="1346" spans="1:15">
      <c r="A1346">
        <v>729</v>
      </c>
      <c r="B1346" t="str">
        <f t="shared" ref="B1346:B1409" si="42">TEXT(C1346,"yyyy-mm")</f>
        <v>2023-08</v>
      </c>
      <c r="C1346" s="1">
        <v>45164</v>
      </c>
      <c r="D1346" s="5">
        <v>0.93680555555555556</v>
      </c>
      <c r="E1346">
        <v>3</v>
      </c>
      <c r="F1346" t="s">
        <v>11</v>
      </c>
      <c r="G1346">
        <v>29</v>
      </c>
      <c r="H1346" t="s">
        <v>12</v>
      </c>
      <c r="I1346">
        <v>4</v>
      </c>
      <c r="J1346" s="6">
        <v>300</v>
      </c>
      <c r="K1346">
        <v>84</v>
      </c>
      <c r="L1346">
        <v>1200</v>
      </c>
      <c r="M1346" t="str">
        <f>IF(OR(I1346="",J1346="",L1346=""),"Incomplete","Complete")</f>
        <v>Complete</v>
      </c>
      <c r="N1346" t="str">
        <f>IF(M1346="Incomplete","Not checked",IF(ROUND(I1346*J1346,2)=ROUND(L1346,2),"Valid","Mismatch"))</f>
        <v>Valid</v>
      </c>
      <c r="O1346">
        <f t="shared" ref="O1346:O1409" si="43">IF(M1346="Incomplete","",L1346-K1346)</f>
        <v>1116</v>
      </c>
    </row>
    <row r="1347" spans="1:15">
      <c r="A1347">
        <v>1031</v>
      </c>
      <c r="B1347" t="str">
        <f t="shared" si="42"/>
        <v>2023-11</v>
      </c>
      <c r="C1347" s="1">
        <v>45242</v>
      </c>
      <c r="D1347" s="5">
        <v>0.88541666666666663</v>
      </c>
      <c r="E1347">
        <v>3</v>
      </c>
      <c r="F1347" t="s">
        <v>11</v>
      </c>
      <c r="G1347">
        <v>44</v>
      </c>
      <c r="H1347" t="s">
        <v>15</v>
      </c>
      <c r="I1347">
        <v>4</v>
      </c>
      <c r="J1347" s="6">
        <v>300</v>
      </c>
      <c r="K1347">
        <v>126</v>
      </c>
      <c r="L1347">
        <v>1200</v>
      </c>
      <c r="M1347" t="str">
        <f>IF(OR(I1347="",J1347="",L1347=""),"Incomplete","Complete")</f>
        <v>Complete</v>
      </c>
      <c r="N1347" t="str">
        <f>IF(M1347="Incomplete","Not checked",IF(ROUND(I1347*J1347,2)=ROUND(L1347,2),"Valid","Mismatch"))</f>
        <v>Valid</v>
      </c>
      <c r="O1347">
        <f t="shared" si="43"/>
        <v>1074</v>
      </c>
    </row>
    <row r="1348" spans="1:15">
      <c r="A1348">
        <v>1243</v>
      </c>
      <c r="B1348" t="str">
        <f t="shared" si="42"/>
        <v>2023-12</v>
      </c>
      <c r="C1348" s="1">
        <v>45268</v>
      </c>
      <c r="D1348" s="5">
        <v>0.71597222222222223</v>
      </c>
      <c r="E1348">
        <v>4</v>
      </c>
      <c r="F1348" t="s">
        <v>14</v>
      </c>
      <c r="G1348">
        <v>47</v>
      </c>
      <c r="H1348" t="s">
        <v>15</v>
      </c>
      <c r="I1348">
        <v>3</v>
      </c>
      <c r="J1348" s="6">
        <v>300</v>
      </c>
      <c r="K1348">
        <v>138</v>
      </c>
      <c r="L1348">
        <v>900</v>
      </c>
      <c r="M1348" t="str">
        <f>IF(OR(I1348="",J1348="",L1348=""),"Incomplete","Complete")</f>
        <v>Complete</v>
      </c>
      <c r="N1348" t="str">
        <f>IF(M1348="Incomplete","Not checked",IF(ROUND(I1348*J1348,2)=ROUND(L1348,2),"Valid","Mismatch"))</f>
        <v>Valid</v>
      </c>
      <c r="O1348">
        <f t="shared" si="43"/>
        <v>762</v>
      </c>
    </row>
    <row r="1349" spans="1:15">
      <c r="A1349">
        <v>1491</v>
      </c>
      <c r="B1349" t="str">
        <f t="shared" si="42"/>
        <v>2023-05</v>
      </c>
      <c r="C1349" s="1">
        <v>45072</v>
      </c>
      <c r="D1349" s="5">
        <v>0.92638888888888893</v>
      </c>
      <c r="E1349">
        <v>107</v>
      </c>
      <c r="F1349" t="s">
        <v>14</v>
      </c>
      <c r="G1349">
        <v>60</v>
      </c>
      <c r="H1349" t="s">
        <v>15</v>
      </c>
      <c r="I1349">
        <v>3</v>
      </c>
      <c r="J1349" s="6">
        <v>300</v>
      </c>
      <c r="K1349">
        <v>129</v>
      </c>
      <c r="L1349">
        <v>900</v>
      </c>
      <c r="M1349" t="str">
        <f>IF(OR(I1349="",J1349="",L1349=""),"Incomplete","Complete")</f>
        <v>Complete</v>
      </c>
      <c r="N1349" t="str">
        <f>IF(M1349="Incomplete","Not checked",IF(ROUND(I1349*J1349,2)=ROUND(L1349,2),"Valid","Mismatch"))</f>
        <v>Valid</v>
      </c>
      <c r="O1349">
        <f t="shared" si="43"/>
        <v>771</v>
      </c>
    </row>
    <row r="1350" spans="1:15">
      <c r="A1350">
        <v>1729</v>
      </c>
      <c r="B1350" t="str">
        <f t="shared" si="42"/>
        <v>2023-11</v>
      </c>
      <c r="C1350" s="1">
        <v>45252</v>
      </c>
      <c r="D1350" s="5">
        <v>0.78819444444444442</v>
      </c>
      <c r="E1350">
        <v>82</v>
      </c>
      <c r="F1350" t="s">
        <v>11</v>
      </c>
      <c r="G1350">
        <v>29</v>
      </c>
      <c r="H1350" t="s">
        <v>12</v>
      </c>
      <c r="I1350">
        <v>4</v>
      </c>
      <c r="J1350" s="6">
        <v>300</v>
      </c>
      <c r="K1350">
        <v>81</v>
      </c>
      <c r="L1350">
        <v>1200</v>
      </c>
      <c r="M1350" t="str">
        <f>IF(OR(I1350="",J1350="",L1350=""),"Incomplete","Complete")</f>
        <v>Complete</v>
      </c>
      <c r="N1350" t="str">
        <f>IF(M1350="Incomplete","Not checked",IF(ROUND(I1350*J1350,2)=ROUND(L1350,2),"Valid","Mismatch"))</f>
        <v>Valid</v>
      </c>
      <c r="O1350">
        <f t="shared" si="43"/>
        <v>1119</v>
      </c>
    </row>
    <row r="1351" spans="1:15">
      <c r="A1351">
        <v>899</v>
      </c>
      <c r="B1351" t="str">
        <f t="shared" si="42"/>
        <v>2023-05</v>
      </c>
      <c r="C1351" s="1">
        <v>45068</v>
      </c>
      <c r="D1351" s="5">
        <v>0.89861111111111114</v>
      </c>
      <c r="E1351">
        <v>147</v>
      </c>
      <c r="F1351" t="s">
        <v>11</v>
      </c>
      <c r="G1351">
        <v>26</v>
      </c>
      <c r="H1351" t="s">
        <v>12</v>
      </c>
      <c r="I1351">
        <v>2</v>
      </c>
      <c r="J1351" s="6">
        <v>300</v>
      </c>
      <c r="K1351">
        <v>153</v>
      </c>
      <c r="L1351">
        <v>600</v>
      </c>
      <c r="M1351" t="str">
        <f>IF(OR(I1351="",J1351="",L1351=""),"Incomplete","Complete")</f>
        <v>Complete</v>
      </c>
      <c r="N1351" t="str">
        <f>IF(M1351="Incomplete","Not checked",IF(ROUND(I1351*J1351,2)=ROUND(L1351,2),"Valid","Mismatch"))</f>
        <v>Valid</v>
      </c>
      <c r="O1351">
        <f t="shared" si="43"/>
        <v>447</v>
      </c>
    </row>
    <row r="1352" spans="1:15">
      <c r="A1352">
        <v>1899</v>
      </c>
      <c r="B1352" t="str">
        <f t="shared" si="42"/>
        <v>2023-05</v>
      </c>
      <c r="C1352" s="1">
        <v>45049</v>
      </c>
      <c r="D1352" s="5">
        <v>0.87708333333333333</v>
      </c>
      <c r="E1352">
        <v>51</v>
      </c>
      <c r="F1352" t="s">
        <v>11</v>
      </c>
      <c r="G1352">
        <v>26</v>
      </c>
      <c r="H1352" t="s">
        <v>12</v>
      </c>
      <c r="I1352">
        <v>2</v>
      </c>
      <c r="J1352" s="6">
        <v>300</v>
      </c>
      <c r="K1352">
        <v>99</v>
      </c>
      <c r="L1352">
        <v>600</v>
      </c>
      <c r="M1352" t="str">
        <f>IF(OR(I1352="",J1352="",L1352=""),"Incomplete","Complete")</f>
        <v>Complete</v>
      </c>
      <c r="N1352" t="str">
        <f>IF(M1352="Incomplete","Not checked",IF(ROUND(I1352*J1352,2)=ROUND(L1352,2),"Valid","Mismatch"))</f>
        <v>Valid</v>
      </c>
      <c r="O1352">
        <f t="shared" si="43"/>
        <v>501</v>
      </c>
    </row>
    <row r="1353" spans="1:15">
      <c r="A1353">
        <v>923</v>
      </c>
      <c r="B1353" t="str">
        <f t="shared" si="42"/>
        <v>2023-06</v>
      </c>
      <c r="C1353" s="1">
        <v>45087</v>
      </c>
      <c r="D1353" s="5">
        <v>0.72222222222222221</v>
      </c>
      <c r="E1353">
        <v>62</v>
      </c>
      <c r="F1353" t="s">
        <v>11</v>
      </c>
      <c r="G1353">
        <v>32</v>
      </c>
      <c r="H1353" t="s">
        <v>13</v>
      </c>
      <c r="I1353">
        <v>3</v>
      </c>
      <c r="J1353" s="6">
        <v>300</v>
      </c>
      <c r="K1353">
        <v>165</v>
      </c>
      <c r="L1353">
        <v>900</v>
      </c>
      <c r="M1353" t="str">
        <f>IF(OR(I1353="",J1353="",L1353=""),"Incomplete","Complete")</f>
        <v>Complete</v>
      </c>
      <c r="N1353" t="str">
        <f>IF(M1353="Incomplete","Not checked",IF(ROUND(I1353*J1353,2)=ROUND(L1353,2),"Valid","Mismatch"))</f>
        <v>Valid</v>
      </c>
      <c r="O1353">
        <f t="shared" si="43"/>
        <v>735</v>
      </c>
    </row>
    <row r="1354" spans="1:15">
      <c r="A1354">
        <v>1923</v>
      </c>
      <c r="B1354" t="str">
        <f t="shared" si="42"/>
        <v>2022-04</v>
      </c>
      <c r="C1354" s="1">
        <v>44654</v>
      </c>
      <c r="D1354" s="5">
        <v>0.73472222222222228</v>
      </c>
      <c r="E1354">
        <v>74</v>
      </c>
      <c r="F1354" t="s">
        <v>11</v>
      </c>
      <c r="G1354">
        <v>32</v>
      </c>
      <c r="H1354" t="s">
        <v>13</v>
      </c>
      <c r="I1354">
        <v>3</v>
      </c>
      <c r="J1354" s="6">
        <v>300</v>
      </c>
      <c r="K1354">
        <v>159</v>
      </c>
      <c r="L1354">
        <v>900</v>
      </c>
      <c r="M1354" t="str">
        <f>IF(OR(I1354="",J1354="",L1354=""),"Incomplete","Complete")</f>
        <v>Complete</v>
      </c>
      <c r="N1354" t="str">
        <f>IF(M1354="Incomplete","Not checked",IF(ROUND(I1354*J1354,2)=ROUND(L1354,2),"Valid","Mismatch"))</f>
        <v>Valid</v>
      </c>
      <c r="O1354">
        <f t="shared" si="43"/>
        <v>741</v>
      </c>
    </row>
    <row r="1355" spans="1:15">
      <c r="A1355">
        <v>67</v>
      </c>
      <c r="B1355" t="str">
        <f t="shared" si="42"/>
        <v>2023-08</v>
      </c>
      <c r="C1355" s="1">
        <v>45157</v>
      </c>
      <c r="D1355" s="5">
        <v>0.84652777777777777</v>
      </c>
      <c r="E1355">
        <v>119</v>
      </c>
      <c r="F1355" t="s">
        <v>14</v>
      </c>
      <c r="G1355">
        <v>48</v>
      </c>
      <c r="H1355" t="s">
        <v>13</v>
      </c>
      <c r="I1355">
        <v>4</v>
      </c>
      <c r="J1355" s="6">
        <v>300</v>
      </c>
      <c r="K1355">
        <v>129</v>
      </c>
      <c r="L1355">
        <v>1200</v>
      </c>
      <c r="M1355" t="str">
        <f>IF(OR(I1355="",J1355="",L1355=""),"Incomplete","Complete")</f>
        <v>Complete</v>
      </c>
      <c r="N1355" t="str">
        <f>IF(M1355="Incomplete","Not checked",IF(ROUND(I1355*J1355,2)=ROUND(L1355,2),"Valid","Mismatch"))</f>
        <v>Valid</v>
      </c>
      <c r="O1355">
        <f t="shared" si="43"/>
        <v>1071</v>
      </c>
    </row>
    <row r="1356" spans="1:15">
      <c r="A1356">
        <v>1067</v>
      </c>
      <c r="B1356" t="str">
        <f t="shared" si="42"/>
        <v>2023-10</v>
      </c>
      <c r="C1356" s="1">
        <v>45202</v>
      </c>
      <c r="D1356" s="5">
        <v>0.70902777777777781</v>
      </c>
      <c r="E1356">
        <v>105</v>
      </c>
      <c r="F1356" t="s">
        <v>14</v>
      </c>
      <c r="G1356">
        <v>48</v>
      </c>
      <c r="H1356" t="s">
        <v>13</v>
      </c>
      <c r="I1356">
        <v>4</v>
      </c>
      <c r="J1356" s="6">
        <v>300</v>
      </c>
      <c r="K1356">
        <v>129</v>
      </c>
      <c r="L1356">
        <v>1200</v>
      </c>
      <c r="M1356" t="str">
        <f>IF(OR(I1356="",J1356="",L1356=""),"Incomplete","Complete")</f>
        <v>Complete</v>
      </c>
      <c r="N1356" t="str">
        <f>IF(M1356="Incomplete","Not checked",IF(ROUND(I1356*J1356,2)=ROUND(L1356,2),"Valid","Mismatch"))</f>
        <v>Valid</v>
      </c>
      <c r="O1356">
        <f t="shared" si="43"/>
        <v>1071</v>
      </c>
    </row>
    <row r="1357" spans="1:15">
      <c r="A1357">
        <v>56</v>
      </c>
      <c r="B1357" t="str">
        <f t="shared" si="42"/>
        <v>2022-12</v>
      </c>
      <c r="C1357" s="1">
        <v>44922</v>
      </c>
      <c r="D1357" s="5">
        <v>0.81736111111111109</v>
      </c>
      <c r="E1357">
        <v>97</v>
      </c>
      <c r="F1357" t="s">
        <v>14</v>
      </c>
      <c r="G1357">
        <v>26</v>
      </c>
      <c r="H1357" t="s">
        <v>12</v>
      </c>
      <c r="I1357">
        <v>3</v>
      </c>
      <c r="J1357" s="6">
        <v>300</v>
      </c>
      <c r="K1357">
        <v>120</v>
      </c>
      <c r="L1357">
        <v>900</v>
      </c>
      <c r="M1357" t="str">
        <f>IF(OR(I1357="",J1357="",L1357=""),"Incomplete","Complete")</f>
        <v>Complete</v>
      </c>
      <c r="N1357" t="str">
        <f>IF(M1357="Incomplete","Not checked",IF(ROUND(I1357*J1357,2)=ROUND(L1357,2),"Valid","Mismatch"))</f>
        <v>Valid</v>
      </c>
      <c r="O1357">
        <f t="shared" si="43"/>
        <v>780</v>
      </c>
    </row>
    <row r="1358" spans="1:15">
      <c r="A1358">
        <v>862</v>
      </c>
      <c r="B1358" t="str">
        <f t="shared" si="42"/>
        <v>2022-12</v>
      </c>
      <c r="C1358" s="1">
        <v>44906</v>
      </c>
      <c r="D1358" s="5">
        <v>0.90069444444444446</v>
      </c>
      <c r="E1358">
        <v>29</v>
      </c>
      <c r="F1358" t="s">
        <v>11</v>
      </c>
      <c r="G1358">
        <v>28</v>
      </c>
      <c r="H1358" t="s">
        <v>15</v>
      </c>
      <c r="I1358">
        <v>4</v>
      </c>
      <c r="J1358" s="6">
        <v>300</v>
      </c>
      <c r="K1358">
        <v>78</v>
      </c>
      <c r="L1358">
        <v>1200</v>
      </c>
      <c r="M1358" t="str">
        <f>IF(OR(I1358="",J1358="",L1358=""),"Incomplete","Complete")</f>
        <v>Complete</v>
      </c>
      <c r="N1358" t="str">
        <f>IF(M1358="Incomplete","Not checked",IF(ROUND(I1358*J1358,2)=ROUND(L1358,2),"Valid","Mismatch"))</f>
        <v>Valid</v>
      </c>
      <c r="O1358">
        <f t="shared" si="43"/>
        <v>1122</v>
      </c>
    </row>
    <row r="1359" spans="1:15">
      <c r="A1359">
        <v>1056</v>
      </c>
      <c r="B1359" t="str">
        <f t="shared" si="42"/>
        <v>2022-04</v>
      </c>
      <c r="C1359" s="1">
        <v>44668</v>
      </c>
      <c r="D1359" s="5">
        <v>0.82361111111111107</v>
      </c>
      <c r="E1359">
        <v>54</v>
      </c>
      <c r="F1359" t="s">
        <v>14</v>
      </c>
      <c r="G1359">
        <v>26</v>
      </c>
      <c r="H1359" t="s">
        <v>12</v>
      </c>
      <c r="I1359">
        <v>3</v>
      </c>
      <c r="J1359" s="6">
        <v>300</v>
      </c>
      <c r="K1359">
        <v>114</v>
      </c>
      <c r="L1359">
        <v>900</v>
      </c>
      <c r="M1359" t="str">
        <f>IF(OR(I1359="",J1359="",L1359=""),"Incomplete","Complete")</f>
        <v>Complete</v>
      </c>
      <c r="N1359" t="str">
        <f>IF(M1359="Incomplete","Not checked",IF(ROUND(I1359*J1359,2)=ROUND(L1359,2),"Valid","Mismatch"))</f>
        <v>Valid</v>
      </c>
      <c r="O1359">
        <f t="shared" si="43"/>
        <v>786</v>
      </c>
    </row>
    <row r="1360" spans="1:15">
      <c r="A1360">
        <v>1862</v>
      </c>
      <c r="B1360" t="str">
        <f t="shared" si="42"/>
        <v>2022-02</v>
      </c>
      <c r="C1360" s="1">
        <v>44598</v>
      </c>
      <c r="D1360" s="5">
        <v>0.95138888888888884</v>
      </c>
      <c r="E1360">
        <v>64</v>
      </c>
      <c r="F1360" t="s">
        <v>11</v>
      </c>
      <c r="G1360">
        <v>28</v>
      </c>
      <c r="H1360" t="s">
        <v>15</v>
      </c>
      <c r="I1360">
        <v>4</v>
      </c>
      <c r="J1360" s="6">
        <v>300</v>
      </c>
      <c r="K1360">
        <v>165</v>
      </c>
      <c r="L1360">
        <v>1200</v>
      </c>
      <c r="M1360" t="str">
        <f>IF(OR(I1360="",J1360="",L1360=""),"Incomplete","Complete")</f>
        <v>Complete</v>
      </c>
      <c r="N1360" t="str">
        <f>IF(M1360="Incomplete","Not checked",IF(ROUND(I1360*J1360,2)=ROUND(L1360,2),"Valid","Mismatch"))</f>
        <v>Valid</v>
      </c>
      <c r="O1360">
        <f t="shared" si="43"/>
        <v>1035</v>
      </c>
    </row>
    <row r="1361" spans="1:15">
      <c r="A1361">
        <v>782</v>
      </c>
      <c r="B1361" t="str">
        <f t="shared" si="42"/>
        <v>2022-04</v>
      </c>
      <c r="C1361" s="1">
        <v>44664</v>
      </c>
      <c r="D1361" s="5">
        <v>0.91041666666666665</v>
      </c>
      <c r="E1361">
        <v>71</v>
      </c>
      <c r="F1361" t="s">
        <v>11</v>
      </c>
      <c r="G1361">
        <v>59</v>
      </c>
      <c r="H1361" t="s">
        <v>12</v>
      </c>
      <c r="I1361">
        <v>3</v>
      </c>
      <c r="J1361" s="6">
        <v>300</v>
      </c>
      <c r="K1361">
        <v>150</v>
      </c>
      <c r="L1361">
        <v>900</v>
      </c>
      <c r="M1361" t="str">
        <f>IF(OR(I1361="",J1361="",L1361=""),"Incomplete","Complete")</f>
        <v>Complete</v>
      </c>
      <c r="N1361" t="str">
        <f>IF(M1361="Incomplete","Not checked",IF(ROUND(I1361*J1361,2)=ROUND(L1361,2),"Valid","Mismatch"))</f>
        <v>Valid</v>
      </c>
      <c r="O1361">
        <f t="shared" si="43"/>
        <v>750</v>
      </c>
    </row>
    <row r="1362" spans="1:15">
      <c r="A1362">
        <v>1782</v>
      </c>
      <c r="B1362" t="str">
        <f t="shared" si="42"/>
        <v>2023-04</v>
      </c>
      <c r="C1362" s="1">
        <v>45023</v>
      </c>
      <c r="D1362" s="5">
        <v>0.84930555555555554</v>
      </c>
      <c r="E1362">
        <v>116</v>
      </c>
      <c r="F1362" t="s">
        <v>11</v>
      </c>
      <c r="G1362">
        <v>59</v>
      </c>
      <c r="H1362" t="s">
        <v>12</v>
      </c>
      <c r="I1362">
        <v>3</v>
      </c>
      <c r="J1362" s="6">
        <v>300</v>
      </c>
      <c r="K1362">
        <v>141</v>
      </c>
      <c r="L1362">
        <v>900</v>
      </c>
      <c r="M1362" t="str">
        <f>IF(OR(I1362="",J1362="",L1362=""),"Incomplete","Complete")</f>
        <v>Complete</v>
      </c>
      <c r="N1362" t="str">
        <f>IF(M1362="Incomplete","Not checked",IF(ROUND(I1362*J1362,2)=ROUND(L1362,2),"Valid","Mismatch"))</f>
        <v>Valid</v>
      </c>
      <c r="O1362">
        <f t="shared" si="43"/>
        <v>759</v>
      </c>
    </row>
    <row r="1363" spans="1:15">
      <c r="A1363">
        <v>481</v>
      </c>
      <c r="B1363" t="str">
        <f t="shared" si="42"/>
        <v>2023-07</v>
      </c>
      <c r="C1363" s="1">
        <v>45120</v>
      </c>
      <c r="D1363" s="5">
        <v>0.71666666666666667</v>
      </c>
      <c r="E1363">
        <v>48</v>
      </c>
      <c r="F1363" t="s">
        <v>14</v>
      </c>
      <c r="G1363">
        <v>43</v>
      </c>
      <c r="H1363" t="s">
        <v>15</v>
      </c>
      <c r="I1363">
        <v>4</v>
      </c>
      <c r="J1363" s="6">
        <v>300</v>
      </c>
      <c r="K1363">
        <v>114</v>
      </c>
      <c r="L1363">
        <v>1200</v>
      </c>
      <c r="M1363" t="str">
        <f>IF(OR(I1363="",J1363="",L1363=""),"Incomplete","Complete")</f>
        <v>Complete</v>
      </c>
      <c r="N1363" t="str">
        <f>IF(M1363="Incomplete","Not checked",IF(ROUND(I1363*J1363,2)=ROUND(L1363,2),"Valid","Mismatch"))</f>
        <v>Valid</v>
      </c>
      <c r="O1363">
        <f t="shared" si="43"/>
        <v>1086</v>
      </c>
    </row>
    <row r="1364" spans="1:15">
      <c r="A1364">
        <v>1481</v>
      </c>
      <c r="B1364" t="str">
        <f t="shared" si="42"/>
        <v>2023-11</v>
      </c>
      <c r="C1364" s="1">
        <v>45239</v>
      </c>
      <c r="D1364" s="5">
        <v>0.72361111111111109</v>
      </c>
      <c r="E1364">
        <v>20</v>
      </c>
      <c r="F1364" t="s">
        <v>14</v>
      </c>
      <c r="G1364">
        <v>43</v>
      </c>
      <c r="H1364" t="s">
        <v>15</v>
      </c>
      <c r="I1364">
        <v>4</v>
      </c>
      <c r="J1364" s="6">
        <v>300</v>
      </c>
      <c r="K1364">
        <v>114</v>
      </c>
      <c r="L1364">
        <v>1200</v>
      </c>
      <c r="M1364" t="str">
        <f>IF(OR(I1364="",J1364="",L1364=""),"Incomplete","Complete")</f>
        <v>Complete</v>
      </c>
      <c r="N1364" t="str">
        <f>IF(M1364="Incomplete","Not checked",IF(ROUND(I1364*J1364,2)=ROUND(L1364,2),"Valid","Mismatch"))</f>
        <v>Valid</v>
      </c>
      <c r="O1364">
        <f t="shared" si="43"/>
        <v>1086</v>
      </c>
    </row>
    <row r="1365" spans="1:15">
      <c r="A1365">
        <v>587</v>
      </c>
      <c r="B1365" t="str">
        <f t="shared" si="42"/>
        <v>2023-09</v>
      </c>
      <c r="C1365" s="1">
        <v>45173</v>
      </c>
      <c r="D1365" s="5">
        <v>0.79166666666666663</v>
      </c>
      <c r="E1365">
        <v>91</v>
      </c>
      <c r="F1365" t="s">
        <v>14</v>
      </c>
      <c r="G1365">
        <v>40</v>
      </c>
      <c r="H1365" t="s">
        <v>13</v>
      </c>
      <c r="I1365">
        <v>4</v>
      </c>
      <c r="J1365" s="6">
        <v>300</v>
      </c>
      <c r="K1365">
        <v>99</v>
      </c>
      <c r="L1365">
        <v>1200</v>
      </c>
      <c r="M1365" t="str">
        <f>IF(OR(I1365="",J1365="",L1365=""),"Incomplete","Complete")</f>
        <v>Complete</v>
      </c>
      <c r="N1365" t="str">
        <f>IF(M1365="Incomplete","Not checked",IF(ROUND(I1365*J1365,2)=ROUND(L1365,2),"Valid","Mismatch"))</f>
        <v>Valid</v>
      </c>
      <c r="O1365">
        <f t="shared" si="43"/>
        <v>1101</v>
      </c>
    </row>
    <row r="1366" spans="1:15">
      <c r="A1366">
        <v>1587</v>
      </c>
      <c r="B1366" t="str">
        <f t="shared" si="42"/>
        <v>2022-11</v>
      </c>
      <c r="C1366" s="1">
        <v>44870</v>
      </c>
      <c r="D1366" s="5">
        <v>0.83750000000000002</v>
      </c>
      <c r="E1366">
        <v>140</v>
      </c>
      <c r="F1366" t="s">
        <v>14</v>
      </c>
      <c r="G1366">
        <v>40</v>
      </c>
      <c r="H1366" t="s">
        <v>13</v>
      </c>
      <c r="I1366">
        <v>4</v>
      </c>
      <c r="J1366" s="6">
        <v>300</v>
      </c>
      <c r="K1366">
        <v>105</v>
      </c>
      <c r="L1366">
        <v>1200</v>
      </c>
      <c r="M1366" t="str">
        <f>IF(OR(I1366="",J1366="",L1366=""),"Incomplete","Complete")</f>
        <v>Complete</v>
      </c>
      <c r="N1366" t="str">
        <f>IF(M1366="Incomplete","Not checked",IF(ROUND(I1366*J1366,2)=ROUND(L1366,2),"Valid","Mismatch"))</f>
        <v>Valid</v>
      </c>
      <c r="O1366">
        <f t="shared" si="43"/>
        <v>1095</v>
      </c>
    </row>
    <row r="1367" spans="1:15">
      <c r="A1367">
        <v>110</v>
      </c>
      <c r="B1367" t="str">
        <f t="shared" si="42"/>
        <v>2022-11</v>
      </c>
      <c r="C1367" s="1">
        <v>44883</v>
      </c>
      <c r="D1367" s="5">
        <v>0.72777777777777775</v>
      </c>
      <c r="E1367">
        <v>149</v>
      </c>
      <c r="F1367" t="s">
        <v>11</v>
      </c>
      <c r="G1367">
        <v>27</v>
      </c>
      <c r="H1367" t="s">
        <v>12</v>
      </c>
      <c r="I1367">
        <v>3</v>
      </c>
      <c r="J1367" s="6">
        <v>300</v>
      </c>
      <c r="K1367">
        <v>99</v>
      </c>
      <c r="L1367">
        <v>900</v>
      </c>
      <c r="M1367" t="str">
        <f>IF(OR(I1367="",J1367="",L1367=""),"Incomplete","Complete")</f>
        <v>Complete</v>
      </c>
      <c r="N1367" t="str">
        <f>IF(M1367="Incomplete","Not checked",IF(ROUND(I1367*J1367,2)=ROUND(L1367,2),"Valid","Mismatch"))</f>
        <v>Valid</v>
      </c>
      <c r="O1367">
        <f t="shared" si="43"/>
        <v>801</v>
      </c>
    </row>
    <row r="1368" spans="1:15">
      <c r="A1368">
        <v>365</v>
      </c>
      <c r="B1368" t="str">
        <f t="shared" si="42"/>
        <v>2023-02</v>
      </c>
      <c r="C1368" s="1">
        <v>44980</v>
      </c>
      <c r="D1368" s="5">
        <v>0.92500000000000004</v>
      </c>
      <c r="E1368">
        <v>151</v>
      </c>
      <c r="F1368" t="s">
        <v>11</v>
      </c>
      <c r="G1368">
        <v>31</v>
      </c>
      <c r="H1368" t="s">
        <v>12</v>
      </c>
      <c r="I1368">
        <v>1</v>
      </c>
      <c r="J1368" s="6">
        <v>300</v>
      </c>
      <c r="K1368">
        <v>93</v>
      </c>
      <c r="L1368">
        <v>300</v>
      </c>
      <c r="M1368" t="str">
        <f>IF(OR(I1368="",J1368="",L1368=""),"Incomplete","Complete")</f>
        <v>Complete</v>
      </c>
      <c r="N1368" t="str">
        <f>IF(M1368="Incomplete","Not checked",IF(ROUND(I1368*J1368,2)=ROUND(L1368,2),"Valid","Mismatch"))</f>
        <v>Valid</v>
      </c>
      <c r="O1368">
        <f t="shared" si="43"/>
        <v>207</v>
      </c>
    </row>
    <row r="1369" spans="1:15">
      <c r="A1369">
        <v>1110</v>
      </c>
      <c r="B1369" t="str">
        <f t="shared" si="42"/>
        <v>2022-10</v>
      </c>
      <c r="C1369" s="1">
        <v>44860</v>
      </c>
      <c r="D1369" s="5">
        <v>0.80138888888888893</v>
      </c>
      <c r="E1369">
        <v>62</v>
      </c>
      <c r="F1369" t="s">
        <v>11</v>
      </c>
      <c r="G1369">
        <v>27</v>
      </c>
      <c r="H1369" t="s">
        <v>12</v>
      </c>
      <c r="I1369">
        <v>3</v>
      </c>
      <c r="J1369" s="6">
        <v>300</v>
      </c>
      <c r="K1369">
        <v>114</v>
      </c>
      <c r="L1369">
        <v>900</v>
      </c>
      <c r="M1369" t="str">
        <f>IF(OR(I1369="",J1369="",L1369=""),"Incomplete","Complete")</f>
        <v>Complete</v>
      </c>
      <c r="N1369" t="str">
        <f>IF(M1369="Incomplete","Not checked",IF(ROUND(I1369*J1369,2)=ROUND(L1369,2),"Valid","Mismatch"))</f>
        <v>Valid</v>
      </c>
      <c r="O1369">
        <f t="shared" si="43"/>
        <v>786</v>
      </c>
    </row>
    <row r="1370" spans="1:15">
      <c r="A1370">
        <v>1365</v>
      </c>
      <c r="B1370" t="str">
        <f t="shared" si="42"/>
        <v>2023-11</v>
      </c>
      <c r="C1370" s="1">
        <v>45238</v>
      </c>
      <c r="D1370" s="5">
        <v>0.84861111111111109</v>
      </c>
      <c r="E1370">
        <v>18</v>
      </c>
      <c r="F1370" t="s">
        <v>11</v>
      </c>
      <c r="G1370">
        <v>31</v>
      </c>
      <c r="H1370" t="s">
        <v>12</v>
      </c>
      <c r="I1370">
        <v>1</v>
      </c>
      <c r="J1370" s="6">
        <v>300</v>
      </c>
      <c r="K1370">
        <v>156</v>
      </c>
      <c r="L1370">
        <v>300</v>
      </c>
      <c r="M1370" t="str">
        <f>IF(OR(I1370="",J1370="",L1370=""),"Incomplete","Complete")</f>
        <v>Complete</v>
      </c>
      <c r="N1370" t="str">
        <f>IF(M1370="Incomplete","Not checked",IF(ROUND(I1370*J1370,2)=ROUND(L1370,2),"Valid","Mismatch"))</f>
        <v>Valid</v>
      </c>
      <c r="O1370">
        <f t="shared" si="43"/>
        <v>144</v>
      </c>
    </row>
    <row r="1371" spans="1:15">
      <c r="A1371">
        <v>567</v>
      </c>
      <c r="B1371" t="str">
        <f t="shared" si="42"/>
        <v>2023-05</v>
      </c>
      <c r="C1371" s="1">
        <v>45054</v>
      </c>
      <c r="D1371" s="5">
        <v>0.82847222222222228</v>
      </c>
      <c r="E1371">
        <v>5</v>
      </c>
      <c r="F1371" t="s">
        <v>14</v>
      </c>
      <c r="G1371">
        <v>25</v>
      </c>
      <c r="H1371" t="s">
        <v>12</v>
      </c>
      <c r="I1371">
        <v>3</v>
      </c>
      <c r="J1371" s="6">
        <v>300</v>
      </c>
      <c r="K1371">
        <v>144</v>
      </c>
      <c r="L1371">
        <v>900</v>
      </c>
      <c r="M1371" t="str">
        <f>IF(OR(I1371="",J1371="",L1371=""),"Incomplete","Complete")</f>
        <v>Complete</v>
      </c>
      <c r="N1371" t="str">
        <f>IF(M1371="Incomplete","Not checked",IF(ROUND(I1371*J1371,2)=ROUND(L1371,2),"Valid","Mismatch"))</f>
        <v>Valid</v>
      </c>
      <c r="O1371">
        <f t="shared" si="43"/>
        <v>756</v>
      </c>
    </row>
    <row r="1372" spans="1:15">
      <c r="A1372">
        <v>1567</v>
      </c>
      <c r="B1372" t="str">
        <f t="shared" si="42"/>
        <v>2023-04</v>
      </c>
      <c r="C1372" s="1">
        <v>45023</v>
      </c>
      <c r="D1372" s="5">
        <v>0.71527777777777779</v>
      </c>
      <c r="E1372">
        <v>76</v>
      </c>
      <c r="F1372" t="s">
        <v>14</v>
      </c>
      <c r="G1372">
        <v>25</v>
      </c>
      <c r="H1372" t="s">
        <v>12</v>
      </c>
      <c r="I1372">
        <v>3</v>
      </c>
      <c r="J1372" s="6">
        <v>300</v>
      </c>
      <c r="K1372">
        <v>162</v>
      </c>
      <c r="L1372">
        <v>900</v>
      </c>
      <c r="M1372" t="str">
        <f>IF(OR(I1372="",J1372="",L1372=""),"Incomplete","Complete")</f>
        <v>Complete</v>
      </c>
      <c r="N1372" t="str">
        <f>IF(M1372="Incomplete","Not checked",IF(ROUND(I1372*J1372,2)=ROUND(L1372,2),"Valid","Mismatch"))</f>
        <v>Valid</v>
      </c>
      <c r="O1372">
        <f t="shared" si="43"/>
        <v>738</v>
      </c>
    </row>
    <row r="1373" spans="1:15">
      <c r="A1373">
        <v>726</v>
      </c>
      <c r="B1373" t="str">
        <f t="shared" si="42"/>
        <v>2022-06</v>
      </c>
      <c r="C1373" s="1">
        <v>44717</v>
      </c>
      <c r="D1373" s="5">
        <v>0.81736111111111109</v>
      </c>
      <c r="E1373">
        <v>72</v>
      </c>
      <c r="F1373" t="s">
        <v>11</v>
      </c>
      <c r="G1373">
        <v>47</v>
      </c>
      <c r="H1373" t="s">
        <v>12</v>
      </c>
      <c r="I1373">
        <v>4</v>
      </c>
      <c r="J1373" s="6">
        <v>300</v>
      </c>
      <c r="K1373">
        <v>126</v>
      </c>
      <c r="L1373">
        <v>1200</v>
      </c>
      <c r="M1373" t="str">
        <f>IF(OR(I1373="",J1373="",L1373=""),"Incomplete","Complete")</f>
        <v>Complete</v>
      </c>
      <c r="N1373" t="str">
        <f>IF(M1373="Incomplete","Not checked",IF(ROUND(I1373*J1373,2)=ROUND(L1373,2),"Valid","Mismatch"))</f>
        <v>Valid</v>
      </c>
      <c r="O1373">
        <f t="shared" si="43"/>
        <v>1074</v>
      </c>
    </row>
    <row r="1374" spans="1:15">
      <c r="A1374">
        <v>1726</v>
      </c>
      <c r="B1374" t="str">
        <f t="shared" si="42"/>
        <v>2023-06</v>
      </c>
      <c r="C1374" s="1">
        <v>45103</v>
      </c>
      <c r="D1374" s="5">
        <v>0.7583333333333333</v>
      </c>
      <c r="E1374">
        <v>13</v>
      </c>
      <c r="F1374" t="s">
        <v>11</v>
      </c>
      <c r="G1374">
        <v>47</v>
      </c>
      <c r="H1374" t="s">
        <v>12</v>
      </c>
      <c r="I1374">
        <v>4</v>
      </c>
      <c r="J1374" s="6">
        <v>300</v>
      </c>
      <c r="K1374">
        <v>93</v>
      </c>
      <c r="L1374">
        <v>1200</v>
      </c>
      <c r="M1374" t="str">
        <f>IF(OR(I1374="",J1374="",L1374=""),"Incomplete","Complete")</f>
        <v>Complete</v>
      </c>
      <c r="N1374" t="str">
        <f>IF(M1374="Incomplete","Not checked",IF(ROUND(I1374*J1374,2)=ROUND(L1374,2),"Valid","Mismatch"))</f>
        <v>Valid</v>
      </c>
      <c r="O1374">
        <f t="shared" si="43"/>
        <v>1107</v>
      </c>
    </row>
    <row r="1375" spans="1:15">
      <c r="A1375">
        <v>488</v>
      </c>
      <c r="B1375" t="str">
        <f t="shared" si="42"/>
        <v>2022-07</v>
      </c>
      <c r="C1375" s="1">
        <v>44747</v>
      </c>
      <c r="D1375" s="5">
        <v>0.72777777777777775</v>
      </c>
      <c r="E1375">
        <v>26</v>
      </c>
      <c r="F1375" t="s">
        <v>14</v>
      </c>
      <c r="G1375">
        <v>51</v>
      </c>
      <c r="H1375" t="s">
        <v>15</v>
      </c>
      <c r="I1375">
        <v>3</v>
      </c>
      <c r="J1375" s="6">
        <v>300</v>
      </c>
      <c r="K1375">
        <v>123</v>
      </c>
      <c r="L1375">
        <v>900</v>
      </c>
      <c r="M1375" t="str">
        <f>IF(OR(I1375="",J1375="",L1375=""),"Incomplete","Complete")</f>
        <v>Complete</v>
      </c>
      <c r="N1375" t="str">
        <f>IF(M1375="Incomplete","Not checked",IF(ROUND(I1375*J1375,2)=ROUND(L1375,2),"Valid","Mismatch"))</f>
        <v>Valid</v>
      </c>
      <c r="O1375">
        <f t="shared" si="43"/>
        <v>777</v>
      </c>
    </row>
    <row r="1376" spans="1:15">
      <c r="A1376">
        <v>1488</v>
      </c>
      <c r="B1376" t="str">
        <f t="shared" si="42"/>
        <v>2022-11</v>
      </c>
      <c r="C1376" s="1">
        <v>44877</v>
      </c>
      <c r="D1376" s="5">
        <v>0.80833333333333335</v>
      </c>
      <c r="E1376">
        <v>9</v>
      </c>
      <c r="F1376" t="s">
        <v>14</v>
      </c>
      <c r="G1376">
        <v>51</v>
      </c>
      <c r="H1376" t="s">
        <v>15</v>
      </c>
      <c r="I1376">
        <v>3</v>
      </c>
      <c r="J1376" s="6">
        <v>300</v>
      </c>
      <c r="K1376">
        <v>126</v>
      </c>
      <c r="L1376">
        <v>900</v>
      </c>
      <c r="M1376" t="str">
        <f>IF(OR(I1376="",J1376="",L1376=""),"Incomplete","Complete")</f>
        <v>Complete</v>
      </c>
      <c r="N1376" t="str">
        <f>IF(M1376="Incomplete","Not checked",IF(ROUND(I1376*J1376,2)=ROUND(L1376,2),"Valid","Mismatch"))</f>
        <v>Valid</v>
      </c>
      <c r="O1376">
        <f t="shared" si="43"/>
        <v>774</v>
      </c>
    </row>
    <row r="1377" spans="1:15">
      <c r="A1377">
        <v>669</v>
      </c>
      <c r="B1377" t="str">
        <f t="shared" si="42"/>
        <v>2022-01</v>
      </c>
      <c r="C1377" s="1">
        <v>44584</v>
      </c>
      <c r="D1377" s="5">
        <v>0.85</v>
      </c>
      <c r="E1377">
        <v>110</v>
      </c>
      <c r="F1377" t="s">
        <v>11</v>
      </c>
      <c r="G1377">
        <v>24</v>
      </c>
      <c r="H1377" t="s">
        <v>13</v>
      </c>
      <c r="I1377">
        <v>4</v>
      </c>
      <c r="J1377" s="6">
        <v>300</v>
      </c>
      <c r="K1377">
        <v>87</v>
      </c>
      <c r="L1377">
        <v>1200</v>
      </c>
      <c r="M1377" t="str">
        <f>IF(OR(I1377="",J1377="",L1377=""),"Incomplete","Complete")</f>
        <v>Complete</v>
      </c>
      <c r="N1377" t="str">
        <f>IF(M1377="Incomplete","Not checked",IF(ROUND(I1377*J1377,2)=ROUND(L1377,2),"Valid","Mismatch"))</f>
        <v>Valid</v>
      </c>
      <c r="O1377">
        <f t="shared" si="43"/>
        <v>1113</v>
      </c>
    </row>
    <row r="1378" spans="1:15">
      <c r="A1378">
        <v>1669</v>
      </c>
      <c r="B1378" t="str">
        <f t="shared" si="42"/>
        <v>2022-08</v>
      </c>
      <c r="C1378" s="1">
        <v>44777</v>
      </c>
      <c r="D1378" s="5">
        <v>0.93611111111111112</v>
      </c>
      <c r="E1378">
        <v>83</v>
      </c>
      <c r="F1378" t="s">
        <v>11</v>
      </c>
      <c r="G1378">
        <v>24</v>
      </c>
      <c r="H1378" t="s">
        <v>13</v>
      </c>
      <c r="I1378">
        <v>4</v>
      </c>
      <c r="J1378" s="6">
        <v>300</v>
      </c>
      <c r="K1378">
        <v>123</v>
      </c>
      <c r="L1378">
        <v>1200</v>
      </c>
      <c r="M1378" t="str">
        <f>IF(OR(I1378="",J1378="",L1378=""),"Incomplete","Complete")</f>
        <v>Complete</v>
      </c>
      <c r="N1378" t="str">
        <f>IF(M1378="Incomplete","Not checked",IF(ROUND(I1378*J1378,2)=ROUND(L1378,2),"Valid","Mismatch"))</f>
        <v>Valid</v>
      </c>
      <c r="O1378">
        <f t="shared" si="43"/>
        <v>1077</v>
      </c>
    </row>
    <row r="1379" spans="1:15">
      <c r="A1379">
        <v>727</v>
      </c>
      <c r="B1379" t="str">
        <f t="shared" si="42"/>
        <v>2023-11</v>
      </c>
      <c r="C1379" s="1">
        <v>45245</v>
      </c>
      <c r="D1379" s="5">
        <v>0.77569444444444446</v>
      </c>
      <c r="E1379">
        <v>32</v>
      </c>
      <c r="F1379" t="s">
        <v>11</v>
      </c>
      <c r="G1379">
        <v>55</v>
      </c>
      <c r="H1379" t="s">
        <v>13</v>
      </c>
      <c r="I1379">
        <v>3</v>
      </c>
      <c r="J1379" s="6">
        <v>300</v>
      </c>
      <c r="K1379">
        <v>105</v>
      </c>
      <c r="L1379">
        <v>900</v>
      </c>
      <c r="M1379" t="str">
        <f>IF(OR(I1379="",J1379="",L1379=""),"Incomplete","Complete")</f>
        <v>Complete</v>
      </c>
      <c r="N1379" t="str">
        <f>IF(M1379="Incomplete","Not checked",IF(ROUND(I1379*J1379,2)=ROUND(L1379,2),"Valid","Mismatch"))</f>
        <v>Valid</v>
      </c>
      <c r="O1379">
        <f t="shared" si="43"/>
        <v>795</v>
      </c>
    </row>
    <row r="1380" spans="1:15">
      <c r="A1380">
        <v>1727</v>
      </c>
      <c r="B1380" t="str">
        <f t="shared" si="42"/>
        <v>2023-08</v>
      </c>
      <c r="C1380" s="1">
        <v>45146</v>
      </c>
      <c r="D1380" s="5">
        <v>0.87916666666666665</v>
      </c>
      <c r="E1380">
        <v>72</v>
      </c>
      <c r="F1380" t="s">
        <v>11</v>
      </c>
      <c r="G1380">
        <v>55</v>
      </c>
      <c r="H1380" t="s">
        <v>13</v>
      </c>
      <c r="I1380">
        <v>3</v>
      </c>
      <c r="J1380" s="6">
        <v>300</v>
      </c>
      <c r="K1380">
        <v>75</v>
      </c>
      <c r="L1380">
        <v>900</v>
      </c>
      <c r="M1380" t="str">
        <f>IF(OR(I1380="",J1380="",L1380=""),"Incomplete","Complete")</f>
        <v>Complete</v>
      </c>
      <c r="N1380" t="str">
        <f>IF(M1380="Incomplete","Not checked",IF(ROUND(I1380*J1380,2)=ROUND(L1380,2),"Valid","Mismatch"))</f>
        <v>Valid</v>
      </c>
      <c r="O1380">
        <f t="shared" si="43"/>
        <v>825</v>
      </c>
    </row>
    <row r="1381" spans="1:15">
      <c r="A1381">
        <v>36</v>
      </c>
      <c r="B1381" t="str">
        <f t="shared" si="42"/>
        <v>2023-02</v>
      </c>
      <c r="C1381" s="1">
        <v>44979</v>
      </c>
      <c r="D1381" s="5">
        <v>0.92083333333333328</v>
      </c>
      <c r="E1381">
        <v>40</v>
      </c>
      <c r="F1381" t="s">
        <v>11</v>
      </c>
      <c r="G1381">
        <v>52</v>
      </c>
      <c r="H1381" t="s">
        <v>13</v>
      </c>
      <c r="I1381">
        <v>3</v>
      </c>
      <c r="J1381" s="6">
        <v>300</v>
      </c>
      <c r="K1381">
        <v>144</v>
      </c>
      <c r="L1381">
        <v>900</v>
      </c>
      <c r="M1381" t="str">
        <f>IF(OR(I1381="",J1381="",L1381=""),"Incomplete","Complete")</f>
        <v>Complete</v>
      </c>
      <c r="N1381" t="str">
        <f>IF(M1381="Incomplete","Not checked",IF(ROUND(I1381*J1381,2)=ROUND(L1381,2),"Valid","Mismatch"))</f>
        <v>Valid</v>
      </c>
      <c r="O1381">
        <f t="shared" si="43"/>
        <v>756</v>
      </c>
    </row>
    <row r="1382" spans="1:15">
      <c r="A1382">
        <v>839</v>
      </c>
      <c r="B1382" t="str">
        <f t="shared" si="42"/>
        <v>2023-11</v>
      </c>
      <c r="C1382" s="1">
        <v>45241</v>
      </c>
      <c r="D1382" s="5">
        <v>0.87638888888888888</v>
      </c>
      <c r="E1382">
        <v>130</v>
      </c>
      <c r="F1382" t="s">
        <v>14</v>
      </c>
      <c r="G1382">
        <v>20</v>
      </c>
      <c r="H1382" t="s">
        <v>15</v>
      </c>
      <c r="I1382">
        <v>4</v>
      </c>
      <c r="J1382" s="6">
        <v>300</v>
      </c>
      <c r="K1382">
        <v>96</v>
      </c>
      <c r="L1382">
        <v>1200</v>
      </c>
      <c r="M1382" t="str">
        <f>IF(OR(I1382="",J1382="",L1382=""),"Incomplete","Complete")</f>
        <v>Complete</v>
      </c>
      <c r="N1382" t="str">
        <f>IF(M1382="Incomplete","Not checked",IF(ROUND(I1382*J1382,2)=ROUND(L1382,2),"Valid","Mismatch"))</f>
        <v>Valid</v>
      </c>
      <c r="O1382">
        <f t="shared" si="43"/>
        <v>1104</v>
      </c>
    </row>
    <row r="1383" spans="1:15">
      <c r="A1383">
        <v>1036</v>
      </c>
      <c r="B1383" t="str">
        <f t="shared" si="42"/>
        <v>2022-08</v>
      </c>
      <c r="C1383" s="1">
        <v>44790</v>
      </c>
      <c r="D1383" s="5">
        <v>0.75208333333333333</v>
      </c>
      <c r="E1383">
        <v>121</v>
      </c>
      <c r="F1383" t="s">
        <v>11</v>
      </c>
      <c r="G1383">
        <v>52</v>
      </c>
      <c r="H1383" t="s">
        <v>13</v>
      </c>
      <c r="I1383">
        <v>3</v>
      </c>
      <c r="J1383" s="6">
        <v>300</v>
      </c>
      <c r="K1383">
        <v>117</v>
      </c>
      <c r="L1383">
        <v>900</v>
      </c>
      <c r="M1383" t="str">
        <f>IF(OR(I1383="",J1383="",L1383=""),"Incomplete","Complete")</f>
        <v>Complete</v>
      </c>
      <c r="N1383" t="str">
        <f>IF(M1383="Incomplete","Not checked",IF(ROUND(I1383*J1383,2)=ROUND(L1383,2),"Valid","Mismatch"))</f>
        <v>Valid</v>
      </c>
      <c r="O1383">
        <f t="shared" si="43"/>
        <v>783</v>
      </c>
    </row>
    <row r="1384" spans="1:15">
      <c r="A1384">
        <v>1839</v>
      </c>
      <c r="B1384" t="str">
        <f t="shared" si="42"/>
        <v>2022-08</v>
      </c>
      <c r="C1384" s="1">
        <v>44801</v>
      </c>
      <c r="D1384" s="5">
        <v>0.9145833333333333</v>
      </c>
      <c r="E1384">
        <v>92</v>
      </c>
      <c r="F1384" t="s">
        <v>14</v>
      </c>
      <c r="G1384">
        <v>20</v>
      </c>
      <c r="H1384" t="s">
        <v>15</v>
      </c>
      <c r="I1384">
        <v>4</v>
      </c>
      <c r="J1384" s="6">
        <v>300</v>
      </c>
      <c r="K1384">
        <v>156</v>
      </c>
      <c r="L1384">
        <v>1200</v>
      </c>
      <c r="M1384" t="str">
        <f>IF(OR(I1384="",J1384="",L1384=""),"Incomplete","Complete")</f>
        <v>Complete</v>
      </c>
      <c r="N1384" t="str">
        <f>IF(M1384="Incomplete","Not checked",IF(ROUND(I1384*J1384,2)=ROUND(L1384,2),"Valid","Mismatch"))</f>
        <v>Valid</v>
      </c>
      <c r="O1384">
        <f t="shared" si="43"/>
        <v>1044</v>
      </c>
    </row>
    <row r="1385" spans="1:15">
      <c r="A1385">
        <v>407</v>
      </c>
      <c r="B1385" t="str">
        <f t="shared" si="42"/>
        <v>2022-07</v>
      </c>
      <c r="C1385" s="1">
        <v>44758</v>
      </c>
      <c r="D1385" s="5">
        <v>0.92847222222222225</v>
      </c>
      <c r="E1385">
        <v>117</v>
      </c>
      <c r="F1385" t="s">
        <v>14</v>
      </c>
      <c r="G1385">
        <v>46</v>
      </c>
      <c r="H1385" t="s">
        <v>15</v>
      </c>
      <c r="I1385">
        <v>3</v>
      </c>
      <c r="J1385" s="6">
        <v>300</v>
      </c>
      <c r="K1385">
        <v>138</v>
      </c>
      <c r="L1385">
        <v>900</v>
      </c>
      <c r="M1385" t="str">
        <f>IF(OR(I1385="",J1385="",L1385=""),"Incomplete","Complete")</f>
        <v>Complete</v>
      </c>
      <c r="N1385" t="str">
        <f>IF(M1385="Incomplete","Not checked",IF(ROUND(I1385*J1385,2)=ROUND(L1385,2),"Valid","Mismatch"))</f>
        <v>Valid</v>
      </c>
      <c r="O1385">
        <f t="shared" si="43"/>
        <v>762</v>
      </c>
    </row>
    <row r="1386" spans="1:15">
      <c r="A1386">
        <v>1407</v>
      </c>
      <c r="B1386" t="str">
        <f t="shared" si="42"/>
        <v>2022-04</v>
      </c>
      <c r="C1386" s="1">
        <v>44661</v>
      </c>
      <c r="D1386" s="5">
        <v>0.82013888888888886</v>
      </c>
      <c r="E1386">
        <v>54</v>
      </c>
      <c r="F1386" t="s">
        <v>14</v>
      </c>
      <c r="G1386">
        <v>46</v>
      </c>
      <c r="H1386" t="s">
        <v>15</v>
      </c>
      <c r="I1386">
        <v>3</v>
      </c>
      <c r="J1386" s="6">
        <v>300</v>
      </c>
      <c r="K1386">
        <v>120</v>
      </c>
      <c r="L1386">
        <v>900</v>
      </c>
      <c r="M1386" t="str">
        <f>IF(OR(I1386="",J1386="",L1386=""),"Incomplete","Complete")</f>
        <v>Complete</v>
      </c>
      <c r="N1386" t="str">
        <f>IF(M1386="Incomplete","Not checked",IF(ROUND(I1386*J1386,2)=ROUND(L1386,2),"Valid","Mismatch"))</f>
        <v>Valid</v>
      </c>
      <c r="O1386">
        <f t="shared" si="43"/>
        <v>780</v>
      </c>
    </row>
    <row r="1387" spans="1:15">
      <c r="A1387">
        <v>46</v>
      </c>
      <c r="B1387" t="str">
        <f t="shared" si="42"/>
        <v>2022-11</v>
      </c>
      <c r="C1387" s="1">
        <v>44873</v>
      </c>
      <c r="D1387" s="5">
        <v>0.74305555555555558</v>
      </c>
      <c r="E1387">
        <v>54</v>
      </c>
      <c r="F1387" t="s">
        <v>14</v>
      </c>
      <c r="G1387">
        <v>20</v>
      </c>
      <c r="H1387" t="s">
        <v>15</v>
      </c>
      <c r="I1387">
        <v>4</v>
      </c>
      <c r="J1387" s="6">
        <v>300</v>
      </c>
      <c r="K1387">
        <v>84</v>
      </c>
      <c r="L1387">
        <v>1200</v>
      </c>
      <c r="M1387" t="str">
        <f>IF(OR(I1387="",J1387="",L1387=""),"Incomplete","Complete")</f>
        <v>Complete</v>
      </c>
      <c r="N1387" t="str">
        <f>IF(M1387="Incomplete","Not checked",IF(ROUND(I1387*J1387,2)=ROUND(L1387,2),"Valid","Mismatch"))</f>
        <v>Valid</v>
      </c>
      <c r="O1387">
        <f t="shared" si="43"/>
        <v>1116</v>
      </c>
    </row>
    <row r="1388" spans="1:15">
      <c r="A1388">
        <v>509</v>
      </c>
      <c r="B1388" t="str">
        <f t="shared" si="42"/>
        <v>2023-07</v>
      </c>
      <c r="C1388" s="1">
        <v>45117</v>
      </c>
      <c r="D1388" s="5">
        <v>0.81597222222222221</v>
      </c>
      <c r="E1388">
        <v>70</v>
      </c>
      <c r="F1388" t="s">
        <v>14</v>
      </c>
      <c r="G1388">
        <v>37</v>
      </c>
      <c r="H1388" t="s">
        <v>15</v>
      </c>
      <c r="I1388">
        <v>3</v>
      </c>
      <c r="J1388" s="6">
        <v>300</v>
      </c>
      <c r="K1388">
        <v>141</v>
      </c>
      <c r="L1388">
        <v>900</v>
      </c>
      <c r="M1388" t="str">
        <f>IF(OR(I1388="",J1388="",L1388=""),"Incomplete","Complete")</f>
        <v>Complete</v>
      </c>
      <c r="N1388" t="str">
        <f>IF(M1388="Incomplete","Not checked",IF(ROUND(I1388*J1388,2)=ROUND(L1388,2),"Valid","Mismatch"))</f>
        <v>Valid</v>
      </c>
      <c r="O1388">
        <f t="shared" si="43"/>
        <v>759</v>
      </c>
    </row>
    <row r="1389" spans="1:15">
      <c r="A1389">
        <v>1046</v>
      </c>
      <c r="B1389" t="str">
        <f t="shared" si="42"/>
        <v>2023-07</v>
      </c>
      <c r="C1389" s="1">
        <v>45128</v>
      </c>
      <c r="D1389" s="5">
        <v>0.90763888888888888</v>
      </c>
      <c r="E1389">
        <v>5</v>
      </c>
      <c r="F1389" t="s">
        <v>14</v>
      </c>
      <c r="G1389">
        <v>20</v>
      </c>
      <c r="H1389" t="s">
        <v>15</v>
      </c>
      <c r="I1389">
        <v>4</v>
      </c>
      <c r="J1389" s="6">
        <v>300</v>
      </c>
      <c r="K1389">
        <v>156</v>
      </c>
      <c r="L1389">
        <v>1200</v>
      </c>
      <c r="M1389" t="str">
        <f>IF(OR(I1389="",J1389="",L1389=""),"Incomplete","Complete")</f>
        <v>Complete</v>
      </c>
      <c r="N1389" t="str">
        <f>IF(M1389="Incomplete","Not checked",IF(ROUND(I1389*J1389,2)=ROUND(L1389,2),"Valid","Mismatch"))</f>
        <v>Valid</v>
      </c>
      <c r="O1389">
        <f t="shared" si="43"/>
        <v>1044</v>
      </c>
    </row>
    <row r="1390" spans="1:15">
      <c r="A1390">
        <v>1509</v>
      </c>
      <c r="B1390" t="str">
        <f t="shared" si="42"/>
        <v>2022-11</v>
      </c>
      <c r="C1390" s="1">
        <v>44890</v>
      </c>
      <c r="D1390" s="5">
        <v>0.86111111111111116</v>
      </c>
      <c r="E1390">
        <v>67</v>
      </c>
      <c r="F1390" t="s">
        <v>14</v>
      </c>
      <c r="G1390">
        <v>37</v>
      </c>
      <c r="H1390" t="s">
        <v>15</v>
      </c>
      <c r="I1390">
        <v>3</v>
      </c>
      <c r="J1390" s="6">
        <v>300</v>
      </c>
      <c r="K1390">
        <v>129</v>
      </c>
      <c r="L1390">
        <v>900</v>
      </c>
      <c r="M1390" t="str">
        <f>IF(OR(I1390="",J1390="",L1390=""),"Incomplete","Complete")</f>
        <v>Complete</v>
      </c>
      <c r="N1390" t="str">
        <f>IF(M1390="Incomplete","Not checked",IF(ROUND(I1390*J1390,2)=ROUND(L1390,2),"Valid","Mismatch"))</f>
        <v>Valid</v>
      </c>
      <c r="O1390">
        <f t="shared" si="43"/>
        <v>771</v>
      </c>
    </row>
    <row r="1391" spans="1:15">
      <c r="A1391">
        <v>788</v>
      </c>
      <c r="B1391" t="str">
        <f t="shared" si="42"/>
        <v>2022-06</v>
      </c>
      <c r="C1391" s="1">
        <v>44732</v>
      </c>
      <c r="D1391" s="5">
        <v>0.78749999999999998</v>
      </c>
      <c r="E1391">
        <v>90</v>
      </c>
      <c r="F1391" t="s">
        <v>14</v>
      </c>
      <c r="G1391">
        <v>52</v>
      </c>
      <c r="H1391" t="s">
        <v>13</v>
      </c>
      <c r="I1391">
        <v>3</v>
      </c>
      <c r="J1391" s="6">
        <v>300</v>
      </c>
      <c r="K1391">
        <v>105</v>
      </c>
      <c r="L1391">
        <v>900</v>
      </c>
      <c r="M1391" t="str">
        <f>IF(OR(I1391="",J1391="",L1391=""),"Incomplete","Complete")</f>
        <v>Complete</v>
      </c>
      <c r="N1391" t="str">
        <f>IF(M1391="Incomplete","Not checked",IF(ROUND(I1391*J1391,2)=ROUND(L1391,2),"Valid","Mismatch"))</f>
        <v>Valid</v>
      </c>
      <c r="O1391">
        <f t="shared" si="43"/>
        <v>795</v>
      </c>
    </row>
    <row r="1392" spans="1:15">
      <c r="A1392">
        <v>1788</v>
      </c>
      <c r="B1392" t="str">
        <f t="shared" si="42"/>
        <v>2022-05</v>
      </c>
      <c r="C1392" s="1">
        <v>44684</v>
      </c>
      <c r="D1392" s="5">
        <v>0.85763888888888884</v>
      </c>
      <c r="E1392">
        <v>98</v>
      </c>
      <c r="F1392" t="s">
        <v>14</v>
      </c>
      <c r="G1392">
        <v>52</v>
      </c>
      <c r="H1392" t="s">
        <v>13</v>
      </c>
      <c r="I1392">
        <v>3</v>
      </c>
      <c r="J1392" s="6">
        <v>300</v>
      </c>
      <c r="K1392">
        <v>150</v>
      </c>
      <c r="L1392">
        <v>900</v>
      </c>
      <c r="M1392" t="str">
        <f>IF(OR(I1392="",J1392="",L1392=""),"Incomplete","Complete")</f>
        <v>Complete</v>
      </c>
      <c r="N1392" t="str">
        <f>IF(M1392="Incomplete","Not checked",IF(ROUND(I1392*J1392,2)=ROUND(L1392,2),"Valid","Mismatch"))</f>
        <v>Valid</v>
      </c>
      <c r="O1392">
        <f t="shared" si="43"/>
        <v>750</v>
      </c>
    </row>
    <row r="1393" spans="1:15">
      <c r="A1393">
        <v>378</v>
      </c>
      <c r="B1393" t="str">
        <f t="shared" si="42"/>
        <v>2022-11</v>
      </c>
      <c r="C1393" s="1">
        <v>44868</v>
      </c>
      <c r="D1393" s="5">
        <v>0.76111111111111107</v>
      </c>
      <c r="E1393">
        <v>81</v>
      </c>
      <c r="F1393" t="s">
        <v>11</v>
      </c>
      <c r="G1393">
        <v>50</v>
      </c>
      <c r="H1393" t="s">
        <v>13</v>
      </c>
      <c r="I1393">
        <v>1</v>
      </c>
      <c r="J1393" s="6">
        <v>300</v>
      </c>
      <c r="K1393">
        <v>165</v>
      </c>
      <c r="L1393">
        <v>300</v>
      </c>
      <c r="M1393" t="str">
        <f>IF(OR(I1393="",J1393="",L1393=""),"Incomplete","Complete")</f>
        <v>Complete</v>
      </c>
      <c r="N1393" t="str">
        <f>IF(M1393="Incomplete","Not checked",IF(ROUND(I1393*J1393,2)=ROUND(L1393,2),"Valid","Mismatch"))</f>
        <v>Valid</v>
      </c>
      <c r="O1393">
        <f t="shared" si="43"/>
        <v>135</v>
      </c>
    </row>
    <row r="1394" spans="1:15">
      <c r="A1394">
        <v>1378</v>
      </c>
      <c r="B1394" t="str">
        <f t="shared" si="42"/>
        <v>2022-04</v>
      </c>
      <c r="C1394" s="1">
        <v>44679</v>
      </c>
      <c r="D1394" s="5">
        <v>0.91388888888888886</v>
      </c>
      <c r="E1394">
        <v>27</v>
      </c>
      <c r="F1394" t="s">
        <v>11</v>
      </c>
      <c r="G1394">
        <v>50</v>
      </c>
      <c r="H1394" t="s">
        <v>13</v>
      </c>
      <c r="I1394">
        <v>1</v>
      </c>
      <c r="J1394" s="6">
        <v>300</v>
      </c>
      <c r="K1394">
        <v>132</v>
      </c>
      <c r="L1394">
        <v>300</v>
      </c>
      <c r="M1394" t="str">
        <f>IF(OR(I1394="",J1394="",L1394=""),"Incomplete","Complete")</f>
        <v>Complete</v>
      </c>
      <c r="N1394" t="str">
        <f>IF(M1394="Incomplete","Not checked",IF(ROUND(I1394*J1394,2)=ROUND(L1394,2),"Valid","Mismatch"))</f>
        <v>Valid</v>
      </c>
      <c r="O1394">
        <f t="shared" si="43"/>
        <v>168</v>
      </c>
    </row>
    <row r="1395" spans="1:15">
      <c r="A1395">
        <v>43</v>
      </c>
      <c r="B1395" t="str">
        <f t="shared" si="42"/>
        <v>2023-03</v>
      </c>
      <c r="C1395" s="1">
        <v>45003</v>
      </c>
      <c r="D1395" s="5">
        <v>0.90416666666666667</v>
      </c>
      <c r="E1395">
        <v>118</v>
      </c>
      <c r="F1395" t="s">
        <v>14</v>
      </c>
      <c r="G1395">
        <v>48</v>
      </c>
      <c r="H1395" t="s">
        <v>12</v>
      </c>
      <c r="I1395">
        <v>1</v>
      </c>
      <c r="J1395" s="6">
        <v>300</v>
      </c>
      <c r="K1395">
        <v>111</v>
      </c>
      <c r="L1395">
        <v>300</v>
      </c>
      <c r="M1395" t="str">
        <f>IF(OR(I1395="",J1395="",L1395=""),"Incomplete","Complete")</f>
        <v>Complete</v>
      </c>
      <c r="N1395" t="str">
        <f>IF(M1395="Incomplete","Not checked",IF(ROUND(I1395*J1395,2)=ROUND(L1395,2),"Valid","Mismatch"))</f>
        <v>Valid</v>
      </c>
      <c r="O1395">
        <f t="shared" si="43"/>
        <v>189</v>
      </c>
    </row>
    <row r="1396" spans="1:15">
      <c r="A1396">
        <v>302</v>
      </c>
      <c r="B1396" t="str">
        <f t="shared" si="42"/>
        <v>2023-02</v>
      </c>
      <c r="C1396" s="1">
        <v>44966</v>
      </c>
      <c r="D1396" s="5">
        <v>0.74375000000000002</v>
      </c>
      <c r="E1396">
        <v>26</v>
      </c>
      <c r="F1396" t="s">
        <v>11</v>
      </c>
      <c r="G1396">
        <v>57</v>
      </c>
      <c r="H1396" t="s">
        <v>13</v>
      </c>
      <c r="I1396">
        <v>2</v>
      </c>
      <c r="J1396" s="6">
        <v>300</v>
      </c>
      <c r="K1396">
        <v>135</v>
      </c>
      <c r="L1396">
        <v>600</v>
      </c>
      <c r="M1396" t="str">
        <f>IF(OR(I1396="",J1396="",L1396=""),"Incomplete","Complete")</f>
        <v>Complete</v>
      </c>
      <c r="N1396" t="str">
        <f>IF(M1396="Incomplete","Not checked",IF(ROUND(I1396*J1396,2)=ROUND(L1396,2),"Valid","Mismatch"))</f>
        <v>Valid</v>
      </c>
      <c r="O1396">
        <f t="shared" si="43"/>
        <v>465</v>
      </c>
    </row>
    <row r="1397" spans="1:15">
      <c r="A1397">
        <v>551</v>
      </c>
      <c r="B1397" t="str">
        <f t="shared" si="42"/>
        <v>2023-03</v>
      </c>
      <c r="C1397" s="1">
        <v>45006</v>
      </c>
      <c r="D1397" s="5">
        <v>0.94791666666666663</v>
      </c>
      <c r="E1397">
        <v>99</v>
      </c>
      <c r="F1397" t="s">
        <v>11</v>
      </c>
      <c r="G1397">
        <v>45</v>
      </c>
      <c r="H1397" t="s">
        <v>15</v>
      </c>
      <c r="I1397">
        <v>3</v>
      </c>
      <c r="J1397" s="6">
        <v>300</v>
      </c>
      <c r="K1397">
        <v>141</v>
      </c>
      <c r="L1397">
        <v>900</v>
      </c>
      <c r="M1397" t="str">
        <f>IF(OR(I1397="",J1397="",L1397=""),"Incomplete","Complete")</f>
        <v>Complete</v>
      </c>
      <c r="N1397" t="str">
        <f>IF(M1397="Incomplete","Not checked",IF(ROUND(I1397*J1397,2)=ROUND(L1397,2),"Valid","Mismatch"))</f>
        <v>Valid</v>
      </c>
      <c r="O1397">
        <f t="shared" si="43"/>
        <v>759</v>
      </c>
    </row>
    <row r="1398" spans="1:15">
      <c r="A1398">
        <v>722</v>
      </c>
      <c r="B1398" t="str">
        <f t="shared" si="42"/>
        <v>2023-02</v>
      </c>
      <c r="C1398" s="1">
        <v>44981</v>
      </c>
      <c r="D1398" s="5">
        <v>0.77430555555555558</v>
      </c>
      <c r="E1398">
        <v>25</v>
      </c>
      <c r="F1398" t="s">
        <v>11</v>
      </c>
      <c r="G1398">
        <v>20</v>
      </c>
      <c r="H1398" t="s">
        <v>13</v>
      </c>
      <c r="I1398">
        <v>3</v>
      </c>
      <c r="J1398" s="6">
        <v>300</v>
      </c>
      <c r="K1398">
        <v>162</v>
      </c>
      <c r="L1398">
        <v>900</v>
      </c>
      <c r="M1398" t="str">
        <f>IF(OR(I1398="",J1398="",L1398=""),"Incomplete","Complete")</f>
        <v>Complete</v>
      </c>
      <c r="N1398" t="str">
        <f>IF(M1398="Incomplete","Not checked",IF(ROUND(I1398*J1398,2)=ROUND(L1398,2),"Valid","Mismatch"))</f>
        <v>Valid</v>
      </c>
      <c r="O1398">
        <f t="shared" si="43"/>
        <v>738</v>
      </c>
    </row>
    <row r="1399" spans="1:15">
      <c r="A1399">
        <v>1043</v>
      </c>
      <c r="B1399" t="str">
        <f t="shared" si="42"/>
        <v>2023-11</v>
      </c>
      <c r="C1399" s="1">
        <v>45260</v>
      </c>
      <c r="D1399" s="5">
        <v>0.75694444444444442</v>
      </c>
      <c r="E1399">
        <v>20</v>
      </c>
      <c r="F1399" t="s">
        <v>14</v>
      </c>
      <c r="G1399">
        <v>48</v>
      </c>
      <c r="H1399" t="s">
        <v>12</v>
      </c>
      <c r="I1399">
        <v>1</v>
      </c>
      <c r="J1399" s="6">
        <v>300</v>
      </c>
      <c r="K1399">
        <v>87</v>
      </c>
      <c r="L1399">
        <v>300</v>
      </c>
      <c r="M1399" t="str">
        <f>IF(OR(I1399="",J1399="",L1399=""),"Incomplete","Complete")</f>
        <v>Complete</v>
      </c>
      <c r="N1399" t="str">
        <f>IF(M1399="Incomplete","Not checked",IF(ROUND(I1399*J1399,2)=ROUND(L1399,2),"Valid","Mismatch"))</f>
        <v>Valid</v>
      </c>
      <c r="O1399">
        <f t="shared" si="43"/>
        <v>213</v>
      </c>
    </row>
    <row r="1400" spans="1:15">
      <c r="A1400">
        <v>1302</v>
      </c>
      <c r="B1400" t="str">
        <f t="shared" si="42"/>
        <v>2022-12</v>
      </c>
      <c r="C1400" s="1">
        <v>44916</v>
      </c>
      <c r="D1400" s="5">
        <v>0.74652777777777779</v>
      </c>
      <c r="E1400">
        <v>20</v>
      </c>
      <c r="F1400" t="s">
        <v>11</v>
      </c>
      <c r="G1400">
        <v>57</v>
      </c>
      <c r="H1400" t="s">
        <v>13</v>
      </c>
      <c r="I1400">
        <v>2</v>
      </c>
      <c r="J1400" s="6">
        <v>300</v>
      </c>
      <c r="K1400">
        <v>102</v>
      </c>
      <c r="L1400">
        <v>600</v>
      </c>
      <c r="M1400" t="str">
        <f>IF(OR(I1400="",J1400="",L1400=""),"Incomplete","Complete")</f>
        <v>Complete</v>
      </c>
      <c r="N1400" t="str">
        <f>IF(M1400="Incomplete","Not checked",IF(ROUND(I1400*J1400,2)=ROUND(L1400,2),"Valid","Mismatch"))</f>
        <v>Valid</v>
      </c>
      <c r="O1400">
        <f t="shared" si="43"/>
        <v>498</v>
      </c>
    </row>
    <row r="1401" spans="1:15">
      <c r="A1401">
        <v>1551</v>
      </c>
      <c r="B1401" t="str">
        <f t="shared" si="42"/>
        <v>2023-11</v>
      </c>
      <c r="C1401" s="1">
        <v>45242</v>
      </c>
      <c r="D1401" s="5">
        <v>0.94166666666666665</v>
      </c>
      <c r="E1401">
        <v>84</v>
      </c>
      <c r="F1401" t="s">
        <v>11</v>
      </c>
      <c r="G1401">
        <v>45</v>
      </c>
      <c r="H1401" t="s">
        <v>15</v>
      </c>
      <c r="I1401">
        <v>3</v>
      </c>
      <c r="J1401" s="6">
        <v>300</v>
      </c>
      <c r="K1401">
        <v>81</v>
      </c>
      <c r="L1401">
        <v>900</v>
      </c>
      <c r="M1401" t="str">
        <f>IF(OR(I1401="",J1401="",L1401=""),"Incomplete","Complete")</f>
        <v>Complete</v>
      </c>
      <c r="N1401" t="str">
        <f>IF(M1401="Incomplete","Not checked",IF(ROUND(I1401*J1401,2)=ROUND(L1401,2),"Valid","Mismatch"))</f>
        <v>Valid</v>
      </c>
      <c r="O1401">
        <f t="shared" si="43"/>
        <v>819</v>
      </c>
    </row>
    <row r="1402" spans="1:15">
      <c r="A1402">
        <v>1722</v>
      </c>
      <c r="B1402" t="str">
        <f t="shared" si="42"/>
        <v>2022-01</v>
      </c>
      <c r="C1402" s="1">
        <v>44591</v>
      </c>
      <c r="D1402" s="5">
        <v>0.85972222222222228</v>
      </c>
      <c r="E1402">
        <v>22</v>
      </c>
      <c r="F1402" t="s">
        <v>11</v>
      </c>
      <c r="G1402">
        <v>20</v>
      </c>
      <c r="H1402" t="s">
        <v>13</v>
      </c>
      <c r="I1402">
        <v>3</v>
      </c>
      <c r="J1402" s="6">
        <v>300</v>
      </c>
      <c r="K1402">
        <v>159</v>
      </c>
      <c r="L1402">
        <v>900</v>
      </c>
      <c r="M1402" t="str">
        <f>IF(OR(I1402="",J1402="",L1402=""),"Incomplete","Complete")</f>
        <v>Complete</v>
      </c>
      <c r="N1402" t="str">
        <f>IF(M1402="Incomplete","Not checked",IF(ROUND(I1402*J1402,2)=ROUND(L1402,2),"Valid","Mismatch"))</f>
        <v>Valid</v>
      </c>
      <c r="O1402">
        <f t="shared" si="43"/>
        <v>741</v>
      </c>
    </row>
    <row r="1403" spans="1:15">
      <c r="A1403">
        <v>515</v>
      </c>
      <c r="B1403" t="str">
        <f t="shared" si="42"/>
        <v>2022-02</v>
      </c>
      <c r="C1403" s="1">
        <v>44605</v>
      </c>
      <c r="D1403" s="5">
        <v>0.86597222222222225</v>
      </c>
      <c r="E1403">
        <v>71</v>
      </c>
      <c r="F1403" t="s">
        <v>14</v>
      </c>
      <c r="G1403">
        <v>49</v>
      </c>
      <c r="H1403" t="s">
        <v>12</v>
      </c>
      <c r="I1403">
        <v>3</v>
      </c>
      <c r="J1403" s="6">
        <v>300</v>
      </c>
      <c r="K1403">
        <v>75</v>
      </c>
      <c r="L1403">
        <v>900</v>
      </c>
      <c r="M1403" t="str">
        <f>IF(OR(I1403="",J1403="",L1403=""),"Incomplete","Complete")</f>
        <v>Complete</v>
      </c>
      <c r="N1403" t="str">
        <f>IF(M1403="Incomplete","Not checked",IF(ROUND(I1403*J1403,2)=ROUND(L1403,2),"Valid","Mismatch"))</f>
        <v>Valid</v>
      </c>
      <c r="O1403">
        <f t="shared" si="43"/>
        <v>825</v>
      </c>
    </row>
    <row r="1404" spans="1:15">
      <c r="A1404">
        <v>1515</v>
      </c>
      <c r="B1404" t="str">
        <f t="shared" si="42"/>
        <v>2023-02</v>
      </c>
      <c r="C1404" s="1">
        <v>44961</v>
      </c>
      <c r="D1404" s="5">
        <v>0.90902777777777777</v>
      </c>
      <c r="E1404">
        <v>107</v>
      </c>
      <c r="F1404" t="s">
        <v>14</v>
      </c>
      <c r="G1404">
        <v>49</v>
      </c>
      <c r="H1404" t="s">
        <v>12</v>
      </c>
      <c r="I1404">
        <v>3</v>
      </c>
      <c r="J1404" s="6">
        <v>300</v>
      </c>
      <c r="K1404">
        <v>135</v>
      </c>
      <c r="L1404">
        <v>900</v>
      </c>
      <c r="M1404" t="str">
        <f>IF(OR(I1404="",J1404="",L1404=""),"Incomplete","Complete")</f>
        <v>Complete</v>
      </c>
      <c r="N1404" t="str">
        <f>IF(M1404="Incomplete","Not checked",IF(ROUND(I1404*J1404,2)=ROUND(L1404,2),"Valid","Mismatch"))</f>
        <v>Valid</v>
      </c>
      <c r="O1404">
        <f t="shared" si="43"/>
        <v>765</v>
      </c>
    </row>
    <row r="1405" spans="1:15">
      <c r="A1405">
        <v>698</v>
      </c>
      <c r="B1405" t="str">
        <f t="shared" si="42"/>
        <v>2022-03</v>
      </c>
      <c r="C1405" s="1">
        <v>44637</v>
      </c>
      <c r="D1405" s="5">
        <v>0.87222222222222223</v>
      </c>
      <c r="E1405">
        <v>116</v>
      </c>
      <c r="F1405" t="s">
        <v>14</v>
      </c>
      <c r="G1405">
        <v>64</v>
      </c>
      <c r="H1405" t="s">
        <v>15</v>
      </c>
      <c r="I1405">
        <v>1</v>
      </c>
      <c r="J1405" s="6">
        <v>300</v>
      </c>
      <c r="K1405">
        <v>123</v>
      </c>
      <c r="L1405">
        <v>300</v>
      </c>
      <c r="M1405" t="str">
        <f>IF(OR(I1405="",J1405="",L1405=""),"Incomplete","Complete")</f>
        <v>Complete</v>
      </c>
      <c r="N1405" t="str">
        <f>IF(M1405="Incomplete","Not checked",IF(ROUND(I1405*J1405,2)=ROUND(L1405,2),"Valid","Mismatch"))</f>
        <v>Valid</v>
      </c>
      <c r="O1405">
        <f t="shared" si="43"/>
        <v>177</v>
      </c>
    </row>
    <row r="1406" spans="1:15">
      <c r="A1406">
        <v>1698</v>
      </c>
      <c r="B1406" t="str">
        <f t="shared" si="42"/>
        <v>2022-04</v>
      </c>
      <c r="C1406" s="1">
        <v>44658</v>
      </c>
      <c r="D1406" s="5">
        <v>0.90972222222222221</v>
      </c>
      <c r="E1406">
        <v>146</v>
      </c>
      <c r="F1406" t="s">
        <v>14</v>
      </c>
      <c r="G1406">
        <v>64</v>
      </c>
      <c r="H1406" t="s">
        <v>15</v>
      </c>
      <c r="I1406">
        <v>1</v>
      </c>
      <c r="J1406" s="6">
        <v>300</v>
      </c>
      <c r="K1406">
        <v>105</v>
      </c>
      <c r="L1406">
        <v>300</v>
      </c>
      <c r="M1406" t="str">
        <f>IF(OR(I1406="",J1406="",L1406=""),"Incomplete","Complete")</f>
        <v>Complete</v>
      </c>
      <c r="N1406" t="str">
        <f>IF(M1406="Incomplete","Not checked",IF(ROUND(I1406*J1406,2)=ROUND(L1406,2),"Valid","Mismatch"))</f>
        <v>Valid</v>
      </c>
      <c r="O1406">
        <f t="shared" si="43"/>
        <v>195</v>
      </c>
    </row>
    <row r="1407" spans="1:15">
      <c r="A1407">
        <v>270</v>
      </c>
      <c r="B1407" t="str">
        <f t="shared" si="42"/>
        <v>2022-12</v>
      </c>
      <c r="C1407" s="1">
        <v>44912</v>
      </c>
      <c r="D1407" s="5">
        <v>0.74027777777777781</v>
      </c>
      <c r="E1407">
        <v>84</v>
      </c>
      <c r="F1407" t="s">
        <v>11</v>
      </c>
      <c r="G1407">
        <v>43</v>
      </c>
      <c r="H1407" t="s">
        <v>15</v>
      </c>
      <c r="I1407">
        <v>1</v>
      </c>
      <c r="J1407" s="6">
        <v>300</v>
      </c>
      <c r="K1407">
        <v>117</v>
      </c>
      <c r="L1407">
        <v>300</v>
      </c>
      <c r="M1407" t="str">
        <f>IF(OR(I1407="",J1407="",L1407=""),"Incomplete","Complete")</f>
        <v>Complete</v>
      </c>
      <c r="N1407" t="str">
        <f>IF(M1407="Incomplete","Not checked",IF(ROUND(I1407*J1407,2)=ROUND(L1407,2),"Valid","Mismatch"))</f>
        <v>Valid</v>
      </c>
      <c r="O1407">
        <f t="shared" si="43"/>
        <v>183</v>
      </c>
    </row>
    <row r="1408" spans="1:15">
      <c r="A1408">
        <v>543</v>
      </c>
      <c r="B1408" t="str">
        <f t="shared" si="42"/>
        <v>2022-04</v>
      </c>
      <c r="C1408" s="1">
        <v>44667</v>
      </c>
      <c r="D1408" s="5">
        <v>0.85416666666666663</v>
      </c>
      <c r="E1408">
        <v>121</v>
      </c>
      <c r="F1408" t="s">
        <v>11</v>
      </c>
      <c r="G1408">
        <v>49</v>
      </c>
      <c r="H1408" t="s">
        <v>13</v>
      </c>
      <c r="I1408">
        <v>2</v>
      </c>
      <c r="J1408" s="6">
        <v>300</v>
      </c>
      <c r="K1408">
        <v>75</v>
      </c>
      <c r="L1408">
        <v>600</v>
      </c>
      <c r="M1408" t="str">
        <f>IF(OR(I1408="",J1408="",L1408=""),"Incomplete","Complete")</f>
        <v>Complete</v>
      </c>
      <c r="N1408" t="str">
        <f>IF(M1408="Incomplete","Not checked",IF(ROUND(I1408*J1408,2)=ROUND(L1408,2),"Valid","Mismatch"))</f>
        <v>Valid</v>
      </c>
      <c r="O1408">
        <f t="shared" si="43"/>
        <v>525</v>
      </c>
    </row>
    <row r="1409" spans="1:15">
      <c r="A1409">
        <v>1270</v>
      </c>
      <c r="B1409" t="str">
        <f t="shared" si="42"/>
        <v>2022-08</v>
      </c>
      <c r="C1409" s="1">
        <v>44798</v>
      </c>
      <c r="D1409" s="5">
        <v>0.95416666666666672</v>
      </c>
      <c r="E1409">
        <v>84</v>
      </c>
      <c r="F1409" t="s">
        <v>11</v>
      </c>
      <c r="G1409">
        <v>43</v>
      </c>
      <c r="H1409" t="s">
        <v>15</v>
      </c>
      <c r="I1409">
        <v>1</v>
      </c>
      <c r="J1409" s="6">
        <v>300</v>
      </c>
      <c r="K1409">
        <v>108</v>
      </c>
      <c r="L1409">
        <v>300</v>
      </c>
      <c r="M1409" t="str">
        <f>IF(OR(I1409="",J1409="",L1409=""),"Incomplete","Complete")</f>
        <v>Complete</v>
      </c>
      <c r="N1409" t="str">
        <f>IF(M1409="Incomplete","Not checked",IF(ROUND(I1409*J1409,2)=ROUND(L1409,2),"Valid","Mismatch"))</f>
        <v>Valid</v>
      </c>
      <c r="O1409">
        <f t="shared" si="43"/>
        <v>192</v>
      </c>
    </row>
    <row r="1410" spans="1:15">
      <c r="A1410">
        <v>1543</v>
      </c>
      <c r="B1410" t="str">
        <f t="shared" ref="B1410:B1473" si="44">TEXT(C1410,"yyyy-mm")</f>
        <v>2022-10</v>
      </c>
      <c r="C1410" s="1">
        <v>44837</v>
      </c>
      <c r="D1410" s="5">
        <v>0.94444444444444442</v>
      </c>
      <c r="E1410">
        <v>73</v>
      </c>
      <c r="F1410" t="s">
        <v>11</v>
      </c>
      <c r="G1410">
        <v>49</v>
      </c>
      <c r="H1410" t="s">
        <v>13</v>
      </c>
      <c r="I1410">
        <v>2</v>
      </c>
      <c r="J1410" s="6">
        <v>300</v>
      </c>
      <c r="K1410">
        <v>123</v>
      </c>
      <c r="L1410">
        <v>600</v>
      </c>
      <c r="M1410" t="str">
        <f>IF(OR(I1410="",J1410="",L1410=""),"Incomplete","Complete")</f>
        <v>Complete</v>
      </c>
      <c r="N1410" t="str">
        <f>IF(M1410="Incomplete","Not checked",IF(ROUND(I1410*J1410,2)=ROUND(L1410,2),"Valid","Mismatch"))</f>
        <v>Valid</v>
      </c>
      <c r="O1410">
        <f t="shared" ref="O1410:O1473" si="45">IF(M1410="Incomplete","",L1410-K1410)</f>
        <v>477</v>
      </c>
    </row>
    <row r="1411" spans="1:15">
      <c r="A1411">
        <v>702</v>
      </c>
      <c r="B1411" t="str">
        <f t="shared" si="44"/>
        <v>2023-03</v>
      </c>
      <c r="C1411" s="1">
        <v>44988</v>
      </c>
      <c r="D1411" s="5">
        <v>0.72083333333333333</v>
      </c>
      <c r="E1411">
        <v>66</v>
      </c>
      <c r="F1411" t="s">
        <v>14</v>
      </c>
      <c r="G1411">
        <v>60</v>
      </c>
      <c r="H1411" t="s">
        <v>12</v>
      </c>
      <c r="I1411">
        <v>2</v>
      </c>
      <c r="J1411" s="6">
        <v>300</v>
      </c>
      <c r="K1411">
        <v>78</v>
      </c>
      <c r="L1411">
        <v>600</v>
      </c>
      <c r="M1411" t="str">
        <f>IF(OR(I1411="",J1411="",L1411=""),"Incomplete","Complete")</f>
        <v>Complete</v>
      </c>
      <c r="N1411" t="str">
        <f>IF(M1411="Incomplete","Not checked",IF(ROUND(I1411*J1411,2)=ROUND(L1411,2),"Valid","Mismatch"))</f>
        <v>Valid</v>
      </c>
      <c r="O1411">
        <f t="shared" si="45"/>
        <v>522</v>
      </c>
    </row>
    <row r="1412" spans="1:15">
      <c r="A1412">
        <v>1702</v>
      </c>
      <c r="B1412" t="str">
        <f t="shared" si="44"/>
        <v>2023-07</v>
      </c>
      <c r="C1412" s="1">
        <v>45138</v>
      </c>
      <c r="D1412" s="5">
        <v>0.91249999999999998</v>
      </c>
      <c r="E1412">
        <v>102</v>
      </c>
      <c r="F1412" t="s">
        <v>14</v>
      </c>
      <c r="G1412">
        <v>60</v>
      </c>
      <c r="H1412" t="s">
        <v>12</v>
      </c>
      <c r="I1412">
        <v>2</v>
      </c>
      <c r="J1412" s="6">
        <v>300</v>
      </c>
      <c r="K1412">
        <v>87</v>
      </c>
      <c r="L1412">
        <v>600</v>
      </c>
      <c r="M1412" t="str">
        <f>IF(OR(I1412="",J1412="",L1412=""),"Incomplete","Complete")</f>
        <v>Complete</v>
      </c>
      <c r="N1412" t="str">
        <f>IF(M1412="Incomplete","Not checked",IF(ROUND(I1412*J1412,2)=ROUND(L1412,2),"Valid","Mismatch"))</f>
        <v>Valid</v>
      </c>
      <c r="O1412">
        <f t="shared" si="45"/>
        <v>513</v>
      </c>
    </row>
    <row r="1413" spans="1:15">
      <c r="A1413">
        <v>295</v>
      </c>
      <c r="B1413" t="str">
        <f t="shared" si="44"/>
        <v>2022-02</v>
      </c>
      <c r="C1413" s="1">
        <v>44593</v>
      </c>
      <c r="D1413" s="5">
        <v>0.84930555555555554</v>
      </c>
      <c r="E1413">
        <v>80</v>
      </c>
      <c r="F1413" t="s">
        <v>14</v>
      </c>
      <c r="G1413">
        <v>27</v>
      </c>
      <c r="H1413" t="s">
        <v>13</v>
      </c>
      <c r="I1413">
        <v>3</v>
      </c>
      <c r="J1413" s="6">
        <v>300</v>
      </c>
      <c r="K1413">
        <v>105</v>
      </c>
      <c r="L1413">
        <v>900</v>
      </c>
      <c r="M1413" t="str">
        <f>IF(OR(I1413="",J1413="",L1413=""),"Incomplete","Complete")</f>
        <v>Complete</v>
      </c>
      <c r="N1413" t="str">
        <f>IF(M1413="Incomplete","Not checked",IF(ROUND(I1413*J1413,2)=ROUND(L1413,2),"Valid","Mismatch"))</f>
        <v>Valid</v>
      </c>
      <c r="O1413">
        <f t="shared" si="45"/>
        <v>795</v>
      </c>
    </row>
    <row r="1414" spans="1:15">
      <c r="A1414">
        <v>457</v>
      </c>
      <c r="B1414" t="str">
        <f t="shared" si="44"/>
        <v>2022-11</v>
      </c>
      <c r="C1414" s="1">
        <v>44893</v>
      </c>
      <c r="D1414" s="5">
        <v>0.9506944444444444</v>
      </c>
      <c r="E1414">
        <v>38</v>
      </c>
      <c r="F1414" t="s">
        <v>14</v>
      </c>
      <c r="G1414">
        <v>58</v>
      </c>
      <c r="H1414" t="s">
        <v>13</v>
      </c>
      <c r="I1414">
        <v>3</v>
      </c>
      <c r="J1414" s="6">
        <v>300</v>
      </c>
      <c r="K1414">
        <v>147</v>
      </c>
      <c r="L1414">
        <v>900</v>
      </c>
      <c r="M1414" t="str">
        <f>IF(OR(I1414="",J1414="",L1414=""),"Incomplete","Complete")</f>
        <v>Complete</v>
      </c>
      <c r="N1414" t="str">
        <f>IF(M1414="Incomplete","Not checked",IF(ROUND(I1414*J1414,2)=ROUND(L1414,2),"Valid","Mismatch"))</f>
        <v>Valid</v>
      </c>
      <c r="O1414">
        <f t="shared" si="45"/>
        <v>753</v>
      </c>
    </row>
    <row r="1415" spans="1:15">
      <c r="A1415">
        <v>1295</v>
      </c>
      <c r="B1415" t="str">
        <f t="shared" si="44"/>
        <v>2023-11</v>
      </c>
      <c r="C1415" s="1">
        <v>45234</v>
      </c>
      <c r="D1415" s="5">
        <v>0.81111111111111112</v>
      </c>
      <c r="E1415">
        <v>86</v>
      </c>
      <c r="F1415" t="s">
        <v>14</v>
      </c>
      <c r="G1415">
        <v>27</v>
      </c>
      <c r="H1415" t="s">
        <v>13</v>
      </c>
      <c r="I1415">
        <v>3</v>
      </c>
      <c r="J1415" s="6">
        <v>300</v>
      </c>
      <c r="K1415">
        <v>81</v>
      </c>
      <c r="L1415">
        <v>900</v>
      </c>
      <c r="M1415" t="str">
        <f>IF(OR(I1415="",J1415="",L1415=""),"Incomplete","Complete")</f>
        <v>Complete</v>
      </c>
      <c r="N1415" t="str">
        <f>IF(M1415="Incomplete","Not checked",IF(ROUND(I1415*J1415,2)=ROUND(L1415,2),"Valid","Mismatch"))</f>
        <v>Valid</v>
      </c>
      <c r="O1415">
        <f t="shared" si="45"/>
        <v>819</v>
      </c>
    </row>
    <row r="1416" spans="1:15">
      <c r="A1416">
        <v>1457</v>
      </c>
      <c r="B1416" t="str">
        <f t="shared" si="44"/>
        <v>2023-03</v>
      </c>
      <c r="C1416" s="1">
        <v>45010</v>
      </c>
      <c r="D1416" s="5">
        <v>0.89652777777777781</v>
      </c>
      <c r="E1416">
        <v>140</v>
      </c>
      <c r="F1416" t="s">
        <v>14</v>
      </c>
      <c r="G1416">
        <v>58</v>
      </c>
      <c r="H1416" t="s">
        <v>13</v>
      </c>
      <c r="I1416">
        <v>3</v>
      </c>
      <c r="J1416" s="6">
        <v>300</v>
      </c>
      <c r="K1416">
        <v>108</v>
      </c>
      <c r="L1416">
        <v>900</v>
      </c>
      <c r="M1416" t="str">
        <f>IF(OR(I1416="",J1416="",L1416=""),"Incomplete","Complete")</f>
        <v>Complete</v>
      </c>
      <c r="N1416" t="str">
        <f>IF(M1416="Incomplete","Not checked",IF(ROUND(I1416*J1416,2)=ROUND(L1416,2),"Valid","Mismatch"))</f>
        <v>Valid</v>
      </c>
      <c r="O1416">
        <f t="shared" si="45"/>
        <v>792</v>
      </c>
    </row>
    <row r="1417" spans="1:15">
      <c r="A1417">
        <v>687</v>
      </c>
      <c r="B1417" t="str">
        <f t="shared" si="44"/>
        <v>2022-06</v>
      </c>
      <c r="C1417" s="1">
        <v>44739</v>
      </c>
      <c r="D1417" s="5">
        <v>0.71805555555555556</v>
      </c>
      <c r="E1417">
        <v>86</v>
      </c>
      <c r="F1417" t="s">
        <v>14</v>
      </c>
      <c r="G1417">
        <v>53</v>
      </c>
      <c r="H1417" t="s">
        <v>15</v>
      </c>
      <c r="I1417">
        <v>1</v>
      </c>
      <c r="J1417" s="6">
        <v>300</v>
      </c>
      <c r="K1417">
        <v>150</v>
      </c>
      <c r="L1417">
        <v>300</v>
      </c>
      <c r="M1417" t="str">
        <f>IF(OR(I1417="",J1417="",L1417=""),"Incomplete","Complete")</f>
        <v>Complete</v>
      </c>
      <c r="N1417" t="str">
        <f>IF(M1417="Incomplete","Not checked",IF(ROUND(I1417*J1417,2)=ROUND(L1417,2),"Valid","Mismatch"))</f>
        <v>Valid</v>
      </c>
      <c r="O1417">
        <f t="shared" si="45"/>
        <v>150</v>
      </c>
    </row>
    <row r="1418" spans="1:15">
      <c r="A1418">
        <v>1687</v>
      </c>
      <c r="B1418" t="str">
        <f t="shared" si="44"/>
        <v>2023-02</v>
      </c>
      <c r="C1418" s="1">
        <v>44974</v>
      </c>
      <c r="D1418" s="5">
        <v>0.93541666666666667</v>
      </c>
      <c r="E1418">
        <v>102</v>
      </c>
      <c r="F1418" t="s">
        <v>14</v>
      </c>
      <c r="G1418">
        <v>53</v>
      </c>
      <c r="H1418" t="s">
        <v>15</v>
      </c>
      <c r="I1418">
        <v>1</v>
      </c>
      <c r="J1418" s="6">
        <v>300</v>
      </c>
      <c r="K1418">
        <v>81</v>
      </c>
      <c r="L1418">
        <v>300</v>
      </c>
      <c r="M1418" t="str">
        <f>IF(OR(I1418="",J1418="",L1418=""),"Incomplete","Complete")</f>
        <v>Complete</v>
      </c>
      <c r="N1418" t="str">
        <f>IF(M1418="Incomplete","Not checked",IF(ROUND(I1418*J1418,2)=ROUND(L1418,2),"Valid","Mismatch"))</f>
        <v>Valid</v>
      </c>
      <c r="O1418">
        <f t="shared" si="45"/>
        <v>219</v>
      </c>
    </row>
    <row r="1419" spans="1:15">
      <c r="A1419">
        <v>35</v>
      </c>
      <c r="B1419" t="str">
        <f t="shared" si="44"/>
        <v>2022-10</v>
      </c>
      <c r="C1419" s="1">
        <v>44863</v>
      </c>
      <c r="D1419" s="5">
        <v>0.72916666666666663</v>
      </c>
      <c r="E1419">
        <v>122</v>
      </c>
      <c r="F1419" t="s">
        <v>14</v>
      </c>
      <c r="G1419">
        <v>58</v>
      </c>
      <c r="H1419" t="s">
        <v>13</v>
      </c>
      <c r="I1419">
        <v>3</v>
      </c>
      <c r="J1419" s="6">
        <v>300</v>
      </c>
      <c r="K1419">
        <v>126</v>
      </c>
      <c r="L1419">
        <v>900</v>
      </c>
      <c r="M1419" t="str">
        <f>IF(OR(I1419="",J1419="",L1419=""),"Incomplete","Complete")</f>
        <v>Complete</v>
      </c>
      <c r="N1419" t="str">
        <f>IF(M1419="Incomplete","Not checked",IF(ROUND(I1419*J1419,2)=ROUND(L1419,2),"Valid","Mismatch"))</f>
        <v>Valid</v>
      </c>
      <c r="O1419">
        <f t="shared" si="45"/>
        <v>774</v>
      </c>
    </row>
    <row r="1420" spans="1:15">
      <c r="A1420">
        <v>308</v>
      </c>
      <c r="B1420" t="str">
        <f t="shared" si="44"/>
        <v>2022-03</v>
      </c>
      <c r="C1420" s="1">
        <v>44651</v>
      </c>
      <c r="D1420" s="5">
        <v>0.8</v>
      </c>
      <c r="E1420">
        <v>130</v>
      </c>
      <c r="F1420" t="s">
        <v>14</v>
      </c>
      <c r="G1420">
        <v>34</v>
      </c>
      <c r="H1420" t="s">
        <v>13</v>
      </c>
      <c r="I1420">
        <v>4</v>
      </c>
      <c r="J1420" s="6">
        <v>300</v>
      </c>
      <c r="K1420">
        <v>126</v>
      </c>
      <c r="L1420">
        <v>1200</v>
      </c>
      <c r="M1420" t="str">
        <f>IF(OR(I1420="",J1420="",L1420=""),"Incomplete","Complete")</f>
        <v>Complete</v>
      </c>
      <c r="N1420" t="str">
        <f>IF(M1420="Incomplete","Not checked",IF(ROUND(I1420*J1420,2)=ROUND(L1420,2),"Valid","Mismatch"))</f>
        <v>Valid</v>
      </c>
      <c r="O1420">
        <f t="shared" si="45"/>
        <v>1074</v>
      </c>
    </row>
    <row r="1421" spans="1:15">
      <c r="A1421">
        <v>1035</v>
      </c>
      <c r="B1421" t="str">
        <f t="shared" si="44"/>
        <v>2023-04</v>
      </c>
      <c r="C1421" s="1">
        <v>45042</v>
      </c>
      <c r="D1421" s="5">
        <v>0.91388888888888886</v>
      </c>
      <c r="E1421">
        <v>52</v>
      </c>
      <c r="F1421" t="s">
        <v>14</v>
      </c>
      <c r="G1421">
        <v>58</v>
      </c>
      <c r="H1421" t="s">
        <v>13</v>
      </c>
      <c r="I1421">
        <v>3</v>
      </c>
      <c r="J1421" s="6">
        <v>300</v>
      </c>
      <c r="K1421">
        <v>105</v>
      </c>
      <c r="L1421">
        <v>900</v>
      </c>
      <c r="M1421" t="str">
        <f>IF(OR(I1421="",J1421="",L1421=""),"Incomplete","Complete")</f>
        <v>Complete</v>
      </c>
      <c r="N1421" t="str">
        <f>IF(M1421="Incomplete","Not checked",IF(ROUND(I1421*J1421,2)=ROUND(L1421,2),"Valid","Mismatch"))</f>
        <v>Valid</v>
      </c>
      <c r="O1421">
        <f t="shared" si="45"/>
        <v>795</v>
      </c>
    </row>
    <row r="1422" spans="1:15">
      <c r="A1422">
        <v>1308</v>
      </c>
      <c r="B1422" t="str">
        <f t="shared" si="44"/>
        <v>2023-06</v>
      </c>
      <c r="C1422" s="1">
        <v>45096</v>
      </c>
      <c r="D1422" s="5">
        <v>0.94374999999999998</v>
      </c>
      <c r="E1422">
        <v>91</v>
      </c>
      <c r="F1422" t="s">
        <v>14</v>
      </c>
      <c r="G1422">
        <v>34</v>
      </c>
      <c r="H1422" t="s">
        <v>13</v>
      </c>
      <c r="I1422">
        <v>4</v>
      </c>
      <c r="J1422" s="6">
        <v>300</v>
      </c>
      <c r="K1422">
        <v>150</v>
      </c>
      <c r="L1422">
        <v>1200</v>
      </c>
      <c r="M1422" t="str">
        <f>IF(OR(I1422="",J1422="",L1422=""),"Incomplete","Complete")</f>
        <v>Complete</v>
      </c>
      <c r="N1422" t="str">
        <f>IF(M1422="Incomplete","Not checked",IF(ROUND(I1422*J1422,2)=ROUND(L1422,2),"Valid","Mismatch"))</f>
        <v>Valid</v>
      </c>
      <c r="O1422">
        <f t="shared" si="45"/>
        <v>1050</v>
      </c>
    </row>
    <row r="1423" spans="1:15">
      <c r="A1423">
        <v>430</v>
      </c>
      <c r="B1423" t="str">
        <f t="shared" si="44"/>
        <v>2023-05</v>
      </c>
      <c r="C1423" s="1">
        <v>45069</v>
      </c>
      <c r="D1423" s="5">
        <v>0.77500000000000002</v>
      </c>
      <c r="E1423">
        <v>100</v>
      </c>
      <c r="F1423" t="s">
        <v>14</v>
      </c>
      <c r="G1423">
        <v>43</v>
      </c>
      <c r="H1423" t="s">
        <v>15</v>
      </c>
      <c r="I1423">
        <v>3</v>
      </c>
      <c r="J1423" s="6">
        <v>300</v>
      </c>
      <c r="K1423">
        <v>153</v>
      </c>
      <c r="L1423">
        <v>900</v>
      </c>
      <c r="M1423" t="str">
        <f>IF(OR(I1423="",J1423="",L1423=""),"Incomplete","Complete")</f>
        <v>Complete</v>
      </c>
      <c r="N1423" t="str">
        <f>IF(M1423="Incomplete","Not checked",IF(ROUND(I1423*J1423,2)=ROUND(L1423,2),"Valid","Mismatch"))</f>
        <v>Valid</v>
      </c>
      <c r="O1423">
        <f t="shared" si="45"/>
        <v>747</v>
      </c>
    </row>
    <row r="1424" spans="1:15">
      <c r="A1424">
        <v>1430</v>
      </c>
      <c r="B1424" t="str">
        <f t="shared" si="44"/>
        <v>2023-10</v>
      </c>
      <c r="C1424" s="1">
        <v>45230</v>
      </c>
      <c r="D1424" s="5">
        <v>0.76736111111111116</v>
      </c>
      <c r="E1424">
        <v>22</v>
      </c>
      <c r="F1424" t="s">
        <v>14</v>
      </c>
      <c r="G1424">
        <v>43</v>
      </c>
      <c r="H1424" t="s">
        <v>15</v>
      </c>
      <c r="I1424">
        <v>3</v>
      </c>
      <c r="J1424" s="6">
        <v>300</v>
      </c>
      <c r="K1424">
        <v>132</v>
      </c>
      <c r="L1424">
        <v>900</v>
      </c>
      <c r="M1424" t="str">
        <f>IF(OR(I1424="",J1424="",L1424=""),"Incomplete","Complete")</f>
        <v>Complete</v>
      </c>
      <c r="N1424" t="str">
        <f>IF(M1424="Incomplete","Not checked",IF(ROUND(I1424*J1424,2)=ROUND(L1424,2),"Valid","Mismatch"))</f>
        <v>Valid</v>
      </c>
      <c r="O1424">
        <f t="shared" si="45"/>
        <v>768</v>
      </c>
    </row>
    <row r="1425" spans="1:15">
      <c r="A1425">
        <v>716</v>
      </c>
      <c r="B1425" t="str">
        <f t="shared" si="44"/>
        <v>2023-08</v>
      </c>
      <c r="C1425" s="1">
        <v>45151</v>
      </c>
      <c r="D1425" s="5">
        <v>0.82708333333333328</v>
      </c>
      <c r="E1425">
        <v>137</v>
      </c>
      <c r="F1425" t="s">
        <v>14</v>
      </c>
      <c r="G1425">
        <v>60</v>
      </c>
      <c r="H1425" t="s">
        <v>12</v>
      </c>
      <c r="I1425">
        <v>4</v>
      </c>
      <c r="J1425" s="6">
        <v>300</v>
      </c>
      <c r="K1425">
        <v>108</v>
      </c>
      <c r="L1425">
        <v>1200</v>
      </c>
      <c r="M1425" t="str">
        <f>IF(OR(I1425="",J1425="",L1425=""),"Incomplete","Complete")</f>
        <v>Complete</v>
      </c>
      <c r="N1425" t="str">
        <f>IF(M1425="Incomplete","Not checked",IF(ROUND(I1425*J1425,2)=ROUND(L1425,2),"Valid","Mismatch"))</f>
        <v>Valid</v>
      </c>
      <c r="O1425">
        <f t="shared" si="45"/>
        <v>1092</v>
      </c>
    </row>
    <row r="1426" spans="1:15">
      <c r="A1426">
        <v>1716</v>
      </c>
      <c r="B1426" t="str">
        <f t="shared" si="44"/>
        <v>2022-02</v>
      </c>
      <c r="C1426" s="1">
        <v>44604</v>
      </c>
      <c r="D1426" s="5">
        <v>0.80277777777777781</v>
      </c>
      <c r="E1426">
        <v>39</v>
      </c>
      <c r="F1426" t="s">
        <v>14</v>
      </c>
      <c r="G1426">
        <v>60</v>
      </c>
      <c r="H1426" t="s">
        <v>12</v>
      </c>
      <c r="I1426">
        <v>4</v>
      </c>
      <c r="J1426" s="6">
        <v>300</v>
      </c>
      <c r="K1426">
        <v>87</v>
      </c>
      <c r="L1426">
        <v>1200</v>
      </c>
      <c r="M1426" t="str">
        <f>IF(OR(I1426="",J1426="",L1426=""),"Incomplete","Complete")</f>
        <v>Complete</v>
      </c>
      <c r="N1426" t="str">
        <f>IF(M1426="Incomplete","Not checked",IF(ROUND(I1426*J1426,2)=ROUND(L1426,2),"Valid","Mismatch"))</f>
        <v>Valid</v>
      </c>
      <c r="O1426">
        <f t="shared" si="45"/>
        <v>1113</v>
      </c>
    </row>
    <row r="1427" spans="1:15">
      <c r="A1427">
        <v>443</v>
      </c>
      <c r="B1427" t="str">
        <f t="shared" si="44"/>
        <v>2023-09</v>
      </c>
      <c r="C1427" s="1">
        <v>45188</v>
      </c>
      <c r="D1427" s="5">
        <v>0.85069444444444442</v>
      </c>
      <c r="E1427">
        <v>98</v>
      </c>
      <c r="F1427" t="s">
        <v>11</v>
      </c>
      <c r="G1427">
        <v>29</v>
      </c>
      <c r="H1427" t="s">
        <v>12</v>
      </c>
      <c r="I1427">
        <v>2</v>
      </c>
      <c r="J1427" s="6">
        <v>300</v>
      </c>
      <c r="K1427">
        <v>114</v>
      </c>
      <c r="L1427">
        <v>600</v>
      </c>
      <c r="M1427" t="str">
        <f>IF(OR(I1427="",J1427="",L1427=""),"Incomplete","Complete")</f>
        <v>Complete</v>
      </c>
      <c r="N1427" t="str">
        <f>IF(M1427="Incomplete","Not checked",IF(ROUND(I1427*J1427,2)=ROUND(L1427,2),"Valid","Mismatch"))</f>
        <v>Valid</v>
      </c>
      <c r="O1427">
        <f t="shared" si="45"/>
        <v>486</v>
      </c>
    </row>
    <row r="1428" spans="1:15">
      <c r="A1428">
        <v>1443</v>
      </c>
      <c r="B1428" t="str">
        <f t="shared" si="44"/>
        <v>2022-06</v>
      </c>
      <c r="C1428" s="1">
        <v>44730</v>
      </c>
      <c r="D1428" s="5">
        <v>0.81736111111111109</v>
      </c>
      <c r="E1428">
        <v>81</v>
      </c>
      <c r="F1428" t="s">
        <v>11</v>
      </c>
      <c r="G1428">
        <v>29</v>
      </c>
      <c r="H1428" t="s">
        <v>12</v>
      </c>
      <c r="I1428">
        <v>2</v>
      </c>
      <c r="J1428" s="6">
        <v>300</v>
      </c>
      <c r="K1428">
        <v>147</v>
      </c>
      <c r="L1428">
        <v>600</v>
      </c>
      <c r="M1428" t="str">
        <f>IF(OR(I1428="",J1428="",L1428=""),"Incomplete","Complete")</f>
        <v>Complete</v>
      </c>
      <c r="N1428" t="str">
        <f>IF(M1428="Incomplete","Not checked",IF(ROUND(I1428*J1428,2)=ROUND(L1428,2),"Valid","Mismatch"))</f>
        <v>Valid</v>
      </c>
      <c r="O1428">
        <f t="shared" si="45"/>
        <v>453</v>
      </c>
    </row>
    <row r="1429" spans="1:15">
      <c r="A1429">
        <v>508</v>
      </c>
      <c r="B1429" t="str">
        <f t="shared" si="44"/>
        <v>2023-07</v>
      </c>
      <c r="C1429" s="1">
        <v>45112</v>
      </c>
      <c r="D1429" s="5">
        <v>0.95277777777777772</v>
      </c>
      <c r="E1429">
        <v>32</v>
      </c>
      <c r="F1429" t="s">
        <v>11</v>
      </c>
      <c r="G1429">
        <v>58</v>
      </c>
      <c r="H1429" t="s">
        <v>13</v>
      </c>
      <c r="I1429">
        <v>2</v>
      </c>
      <c r="J1429" s="6">
        <v>300</v>
      </c>
      <c r="K1429">
        <v>123</v>
      </c>
      <c r="L1429">
        <v>600</v>
      </c>
      <c r="M1429" t="str">
        <f>IF(OR(I1429="",J1429="",L1429=""),"Incomplete","Complete")</f>
        <v>Complete</v>
      </c>
      <c r="N1429" t="str">
        <f>IF(M1429="Incomplete","Not checked",IF(ROUND(I1429*J1429,2)=ROUND(L1429,2),"Valid","Mismatch"))</f>
        <v>Valid</v>
      </c>
      <c r="O1429">
        <f t="shared" si="45"/>
        <v>477</v>
      </c>
    </row>
    <row r="1430" spans="1:15">
      <c r="A1430">
        <v>1508</v>
      </c>
      <c r="B1430" t="str">
        <f t="shared" si="44"/>
        <v>2022-04</v>
      </c>
      <c r="C1430" s="1">
        <v>44659</v>
      </c>
      <c r="D1430" s="5">
        <v>0.85555555555555551</v>
      </c>
      <c r="E1430">
        <v>90</v>
      </c>
      <c r="F1430" t="s">
        <v>11</v>
      </c>
      <c r="G1430">
        <v>58</v>
      </c>
      <c r="H1430" t="s">
        <v>13</v>
      </c>
      <c r="I1430">
        <v>2</v>
      </c>
      <c r="J1430" s="6">
        <v>300</v>
      </c>
      <c r="K1430">
        <v>81</v>
      </c>
      <c r="L1430">
        <v>600</v>
      </c>
      <c r="M1430" t="str">
        <f>IF(OR(I1430="",J1430="",L1430=""),"Incomplete","Complete")</f>
        <v>Complete</v>
      </c>
      <c r="N1430" t="str">
        <f>IF(M1430="Incomplete","Not checked",IF(ROUND(I1430*J1430,2)=ROUND(L1430,2),"Valid","Mismatch"))</f>
        <v>Valid</v>
      </c>
      <c r="O1430">
        <f t="shared" si="45"/>
        <v>519</v>
      </c>
    </row>
    <row r="1431" spans="1:15">
      <c r="A1431">
        <v>648</v>
      </c>
      <c r="B1431" t="str">
        <f t="shared" si="44"/>
        <v>2023-02</v>
      </c>
      <c r="C1431" s="1">
        <v>44980</v>
      </c>
      <c r="D1431" s="5">
        <v>0.75902777777777775</v>
      </c>
      <c r="E1431">
        <v>41</v>
      </c>
      <c r="F1431" t="s">
        <v>11</v>
      </c>
      <c r="G1431">
        <v>53</v>
      </c>
      <c r="H1431" t="s">
        <v>13</v>
      </c>
      <c r="I1431">
        <v>4</v>
      </c>
      <c r="J1431" s="6">
        <v>300</v>
      </c>
      <c r="K1431">
        <v>138</v>
      </c>
      <c r="L1431">
        <v>1200</v>
      </c>
      <c r="M1431" t="str">
        <f>IF(OR(I1431="",J1431="",L1431=""),"Incomplete","Complete")</f>
        <v>Complete</v>
      </c>
      <c r="N1431" t="str">
        <f>IF(M1431="Incomplete","Not checked",IF(ROUND(I1431*J1431,2)=ROUND(L1431,2),"Valid","Mismatch"))</f>
        <v>Valid</v>
      </c>
      <c r="O1431">
        <f t="shared" si="45"/>
        <v>1062</v>
      </c>
    </row>
    <row r="1432" spans="1:15">
      <c r="A1432">
        <v>1648</v>
      </c>
      <c r="B1432" t="str">
        <f t="shared" si="44"/>
        <v>2023-07</v>
      </c>
      <c r="C1432" s="1">
        <v>45117</v>
      </c>
      <c r="D1432" s="5">
        <v>0.72083333333333333</v>
      </c>
      <c r="E1432">
        <v>16</v>
      </c>
      <c r="F1432" t="s">
        <v>11</v>
      </c>
      <c r="G1432">
        <v>53</v>
      </c>
      <c r="H1432" t="s">
        <v>13</v>
      </c>
      <c r="I1432">
        <v>4</v>
      </c>
      <c r="J1432" s="6">
        <v>300</v>
      </c>
      <c r="K1432">
        <v>87</v>
      </c>
      <c r="L1432">
        <v>1200</v>
      </c>
      <c r="M1432" t="str">
        <f>IF(OR(I1432="",J1432="",L1432=""),"Incomplete","Complete")</f>
        <v>Complete</v>
      </c>
      <c r="N1432" t="str">
        <f>IF(M1432="Incomplete","Not checked",IF(ROUND(I1432*J1432,2)=ROUND(L1432,2),"Valid","Mismatch"))</f>
        <v>Valid</v>
      </c>
      <c r="O1432">
        <f t="shared" si="45"/>
        <v>1113</v>
      </c>
    </row>
    <row r="1433" spans="1:15">
      <c r="A1433">
        <v>635</v>
      </c>
      <c r="B1433" t="str">
        <f t="shared" si="44"/>
        <v>2022-12</v>
      </c>
      <c r="C1433" s="1">
        <v>44899</v>
      </c>
      <c r="D1433" s="5">
        <v>0.87708333333333333</v>
      </c>
      <c r="E1433">
        <v>89</v>
      </c>
      <c r="F1433" t="s">
        <v>14</v>
      </c>
      <c r="G1433">
        <v>63</v>
      </c>
      <c r="H1433" t="s">
        <v>15</v>
      </c>
      <c r="I1433">
        <v>3</v>
      </c>
      <c r="J1433" s="6">
        <v>300</v>
      </c>
      <c r="K1433">
        <v>129</v>
      </c>
      <c r="L1433">
        <v>900</v>
      </c>
      <c r="M1433" t="str">
        <f>IF(OR(I1433="",J1433="",L1433=""),"Incomplete","Complete")</f>
        <v>Complete</v>
      </c>
      <c r="N1433" t="str">
        <f>IF(M1433="Incomplete","Not checked",IF(ROUND(I1433*J1433,2)=ROUND(L1433,2),"Valid","Mismatch"))</f>
        <v>Valid</v>
      </c>
      <c r="O1433">
        <f t="shared" si="45"/>
        <v>771</v>
      </c>
    </row>
    <row r="1434" spans="1:15">
      <c r="A1434">
        <v>1635</v>
      </c>
      <c r="B1434" t="str">
        <f t="shared" si="44"/>
        <v>2023-04</v>
      </c>
      <c r="C1434" s="1">
        <v>45033</v>
      </c>
      <c r="D1434" s="5">
        <v>0.75555555555555554</v>
      </c>
      <c r="E1434">
        <v>36</v>
      </c>
      <c r="F1434" t="s">
        <v>14</v>
      </c>
      <c r="G1434">
        <v>63</v>
      </c>
      <c r="H1434" t="s">
        <v>15</v>
      </c>
      <c r="I1434">
        <v>3</v>
      </c>
      <c r="J1434" s="6">
        <v>300</v>
      </c>
      <c r="K1434">
        <v>159</v>
      </c>
      <c r="L1434">
        <v>900</v>
      </c>
      <c r="M1434" t="str">
        <f>IF(OR(I1434="",J1434="",L1434=""),"Incomplete","Complete")</f>
        <v>Complete</v>
      </c>
      <c r="N1434" t="str">
        <f>IF(M1434="Incomplete","Not checked",IF(ROUND(I1434*J1434,2)=ROUND(L1434,2),"Valid","Mismatch"))</f>
        <v>Valid</v>
      </c>
      <c r="O1434">
        <f t="shared" si="45"/>
        <v>741</v>
      </c>
    </row>
    <row r="1435" spans="1:15">
      <c r="A1435">
        <v>725</v>
      </c>
      <c r="B1435" t="str">
        <f t="shared" si="44"/>
        <v>2023-09</v>
      </c>
      <c r="C1435" s="1">
        <v>45190</v>
      </c>
      <c r="D1435" s="5">
        <v>0.85555555555555551</v>
      </c>
      <c r="E1435">
        <v>2</v>
      </c>
      <c r="F1435" t="s">
        <v>11</v>
      </c>
      <c r="G1435">
        <v>61</v>
      </c>
      <c r="H1435" t="s">
        <v>15</v>
      </c>
      <c r="I1435">
        <v>1</v>
      </c>
      <c r="J1435" s="6">
        <v>300</v>
      </c>
      <c r="K1435">
        <v>153</v>
      </c>
      <c r="L1435">
        <v>300</v>
      </c>
      <c r="M1435" t="str">
        <f>IF(OR(I1435="",J1435="",L1435=""),"Incomplete","Complete")</f>
        <v>Complete</v>
      </c>
      <c r="N1435" t="str">
        <f>IF(M1435="Incomplete","Not checked",IF(ROUND(I1435*J1435,2)=ROUND(L1435,2),"Valid","Mismatch"))</f>
        <v>Valid</v>
      </c>
      <c r="O1435">
        <f t="shared" si="45"/>
        <v>147</v>
      </c>
    </row>
    <row r="1436" spans="1:15">
      <c r="A1436">
        <v>1725</v>
      </c>
      <c r="B1436" t="str">
        <f t="shared" si="44"/>
        <v>2022-05</v>
      </c>
      <c r="C1436" s="1">
        <v>44697</v>
      </c>
      <c r="D1436" s="5">
        <v>0.87638888888888888</v>
      </c>
      <c r="E1436">
        <v>109</v>
      </c>
      <c r="F1436" t="s">
        <v>11</v>
      </c>
      <c r="G1436">
        <v>61</v>
      </c>
      <c r="H1436" t="s">
        <v>15</v>
      </c>
      <c r="I1436">
        <v>1</v>
      </c>
      <c r="J1436" s="6">
        <v>300</v>
      </c>
      <c r="K1436">
        <v>105</v>
      </c>
      <c r="L1436">
        <v>300</v>
      </c>
      <c r="M1436" t="str">
        <f>IF(OR(I1436="",J1436="",L1436=""),"Incomplete","Complete")</f>
        <v>Complete</v>
      </c>
      <c r="N1436" t="str">
        <f>IF(M1436="Incomplete","Not checked",IF(ROUND(I1436*J1436,2)=ROUND(L1436,2),"Valid","Mismatch"))</f>
        <v>Valid</v>
      </c>
      <c r="O1436">
        <f t="shared" si="45"/>
        <v>195</v>
      </c>
    </row>
    <row r="1437" spans="1:15">
      <c r="A1437">
        <v>597</v>
      </c>
      <c r="B1437" t="str">
        <f t="shared" si="44"/>
        <v>2022-11</v>
      </c>
      <c r="C1437" s="1">
        <v>44866</v>
      </c>
      <c r="D1437" s="5">
        <v>0.81180555555555556</v>
      </c>
      <c r="E1437">
        <v>84</v>
      </c>
      <c r="F1437" t="s">
        <v>11</v>
      </c>
      <c r="G1437">
        <v>22</v>
      </c>
      <c r="H1437" t="s">
        <v>13</v>
      </c>
      <c r="I1437">
        <v>4</v>
      </c>
      <c r="J1437" s="6">
        <v>300</v>
      </c>
      <c r="K1437">
        <v>111</v>
      </c>
      <c r="L1437">
        <v>1200</v>
      </c>
      <c r="M1437" t="str">
        <f>IF(OR(I1437="",J1437="",L1437=""),"Incomplete","Complete")</f>
        <v>Complete</v>
      </c>
      <c r="N1437" t="str">
        <f>IF(M1437="Incomplete","Not checked",IF(ROUND(I1437*J1437,2)=ROUND(L1437,2),"Valid","Mismatch"))</f>
        <v>Valid</v>
      </c>
      <c r="O1437">
        <f t="shared" si="45"/>
        <v>1089</v>
      </c>
    </row>
    <row r="1438" spans="1:15">
      <c r="A1438">
        <v>1597</v>
      </c>
      <c r="B1438" t="str">
        <f t="shared" si="44"/>
        <v>2023-08</v>
      </c>
      <c r="C1438" s="1">
        <v>45166</v>
      </c>
      <c r="D1438" s="5">
        <v>0.76458333333333328</v>
      </c>
      <c r="E1438">
        <v>32</v>
      </c>
      <c r="F1438" t="s">
        <v>11</v>
      </c>
      <c r="G1438">
        <v>22</v>
      </c>
      <c r="H1438" t="s">
        <v>13</v>
      </c>
      <c r="I1438">
        <v>4</v>
      </c>
      <c r="J1438" s="6">
        <v>300</v>
      </c>
      <c r="K1438">
        <v>78</v>
      </c>
      <c r="L1438">
        <v>1200</v>
      </c>
      <c r="M1438" t="str">
        <f>IF(OR(I1438="",J1438="",L1438=""),"Incomplete","Complete")</f>
        <v>Complete</v>
      </c>
      <c r="N1438" t="str">
        <f>IF(M1438="Incomplete","Not checked",IF(ROUND(I1438*J1438,2)=ROUND(L1438,2),"Valid","Mismatch"))</f>
        <v>Valid</v>
      </c>
      <c r="O1438">
        <f t="shared" si="45"/>
        <v>1122</v>
      </c>
    </row>
    <row r="1439" spans="1:15">
      <c r="A1439">
        <v>368</v>
      </c>
      <c r="B1439" t="str">
        <f t="shared" si="44"/>
        <v>2023-01</v>
      </c>
      <c r="C1439" s="1">
        <v>44957</v>
      </c>
      <c r="D1439" s="5">
        <v>0.88263888888888886</v>
      </c>
      <c r="E1439">
        <v>90</v>
      </c>
      <c r="F1439" t="s">
        <v>14</v>
      </c>
      <c r="G1439">
        <v>56</v>
      </c>
      <c r="H1439" t="s">
        <v>12</v>
      </c>
      <c r="I1439">
        <v>4</v>
      </c>
      <c r="J1439" s="6">
        <v>300</v>
      </c>
      <c r="K1439">
        <v>132</v>
      </c>
      <c r="L1439">
        <v>1200</v>
      </c>
      <c r="M1439" t="str">
        <f>IF(OR(I1439="",J1439="",L1439=""),"Incomplete","Complete")</f>
        <v>Complete</v>
      </c>
      <c r="N1439" t="str">
        <f>IF(M1439="Incomplete","Not checked",IF(ROUND(I1439*J1439,2)=ROUND(L1439,2),"Valid","Mismatch"))</f>
        <v>Valid</v>
      </c>
      <c r="O1439">
        <f t="shared" si="45"/>
        <v>1068</v>
      </c>
    </row>
    <row r="1440" spans="1:15">
      <c r="A1440">
        <v>1368</v>
      </c>
      <c r="B1440" t="str">
        <f t="shared" si="44"/>
        <v>2022-03</v>
      </c>
      <c r="C1440" s="1">
        <v>44628</v>
      </c>
      <c r="D1440" s="5">
        <v>0.89513888888888893</v>
      </c>
      <c r="E1440">
        <v>145</v>
      </c>
      <c r="F1440" t="s">
        <v>14</v>
      </c>
      <c r="G1440">
        <v>56</v>
      </c>
      <c r="H1440" t="s">
        <v>12</v>
      </c>
      <c r="I1440">
        <v>4</v>
      </c>
      <c r="J1440" s="6">
        <v>300</v>
      </c>
      <c r="K1440">
        <v>132</v>
      </c>
      <c r="L1440">
        <v>1200</v>
      </c>
      <c r="M1440" t="str">
        <f>IF(OR(I1440="",J1440="",L1440=""),"Incomplete","Complete")</f>
        <v>Complete</v>
      </c>
      <c r="N1440" t="str">
        <f>IF(M1440="Incomplete","Not checked",IF(ROUND(I1440*J1440,2)=ROUND(L1440,2),"Valid","Mismatch"))</f>
        <v>Valid</v>
      </c>
      <c r="O1440">
        <f t="shared" si="45"/>
        <v>1068</v>
      </c>
    </row>
    <row r="1441" spans="1:15">
      <c r="A1441">
        <v>479</v>
      </c>
      <c r="B1441" t="str">
        <f t="shared" si="44"/>
        <v>2022-11</v>
      </c>
      <c r="C1441" s="1">
        <v>44868</v>
      </c>
      <c r="D1441" s="5">
        <v>0.89930555555555558</v>
      </c>
      <c r="E1441">
        <v>90</v>
      </c>
      <c r="F1441" t="s">
        <v>11</v>
      </c>
      <c r="G1441">
        <v>52</v>
      </c>
      <c r="H1441" t="s">
        <v>15</v>
      </c>
      <c r="I1441">
        <v>4</v>
      </c>
      <c r="J1441" s="6">
        <v>300</v>
      </c>
      <c r="K1441">
        <v>105</v>
      </c>
      <c r="L1441">
        <v>1200</v>
      </c>
      <c r="M1441" t="str">
        <f>IF(OR(I1441="",J1441="",L1441=""),"Incomplete","Complete")</f>
        <v>Complete</v>
      </c>
      <c r="N1441" t="str">
        <f>IF(M1441="Incomplete","Not checked",IF(ROUND(I1441*J1441,2)=ROUND(L1441,2),"Valid","Mismatch"))</f>
        <v>Valid</v>
      </c>
      <c r="O1441">
        <f t="shared" si="45"/>
        <v>1095</v>
      </c>
    </row>
    <row r="1442" spans="1:15">
      <c r="A1442">
        <v>1479</v>
      </c>
      <c r="B1442" t="str">
        <f t="shared" si="44"/>
        <v>2022-05</v>
      </c>
      <c r="C1442" s="1">
        <v>44712</v>
      </c>
      <c r="D1442" s="5">
        <v>0.93333333333333335</v>
      </c>
      <c r="E1442">
        <v>108</v>
      </c>
      <c r="F1442" t="s">
        <v>11</v>
      </c>
      <c r="G1442">
        <v>52</v>
      </c>
      <c r="H1442" t="s">
        <v>15</v>
      </c>
      <c r="I1442">
        <v>4</v>
      </c>
      <c r="J1442" s="6">
        <v>300</v>
      </c>
      <c r="K1442">
        <v>162</v>
      </c>
      <c r="L1442">
        <v>1200</v>
      </c>
      <c r="M1442" t="str">
        <f>IF(OR(I1442="",J1442="",L1442=""),"Incomplete","Complete")</f>
        <v>Complete</v>
      </c>
      <c r="N1442" t="str">
        <f>IF(M1442="Incomplete","Not checked",IF(ROUND(I1442*J1442,2)=ROUND(L1442,2),"Valid","Mismatch"))</f>
        <v>Valid</v>
      </c>
      <c r="O1442">
        <f t="shared" si="45"/>
        <v>1038</v>
      </c>
    </row>
    <row r="1443" spans="1:15">
      <c r="A1443">
        <v>624</v>
      </c>
      <c r="B1443" t="str">
        <f t="shared" si="44"/>
        <v>2022-02</v>
      </c>
      <c r="C1443" s="1">
        <v>44597</v>
      </c>
      <c r="D1443" s="5">
        <v>0.79722222222222228</v>
      </c>
      <c r="E1443">
        <v>48</v>
      </c>
      <c r="F1443" t="s">
        <v>14</v>
      </c>
      <c r="G1443">
        <v>34</v>
      </c>
      <c r="H1443" t="s">
        <v>13</v>
      </c>
      <c r="I1443">
        <v>3</v>
      </c>
      <c r="J1443" s="6">
        <v>300</v>
      </c>
      <c r="K1443">
        <v>342</v>
      </c>
      <c r="L1443">
        <v>900</v>
      </c>
      <c r="M1443" t="str">
        <f>IF(OR(I1443="",J1443="",L1443=""),"Incomplete","Complete")</f>
        <v>Complete</v>
      </c>
      <c r="N1443" t="str">
        <f>IF(M1443="Incomplete","Not checked",IF(ROUND(I1443*J1443,2)=ROUND(L1443,2),"Valid","Mismatch"))</f>
        <v>Valid</v>
      </c>
      <c r="O1443">
        <f t="shared" si="45"/>
        <v>558</v>
      </c>
    </row>
    <row r="1444" spans="1:15">
      <c r="A1444">
        <v>1624</v>
      </c>
      <c r="B1444" t="str">
        <f t="shared" si="44"/>
        <v>2022-11</v>
      </c>
      <c r="C1444" s="1">
        <v>44883</v>
      </c>
      <c r="D1444" s="5">
        <v>0.8666666666666667</v>
      </c>
      <c r="E1444">
        <v>121</v>
      </c>
      <c r="F1444" t="s">
        <v>14</v>
      </c>
      <c r="G1444">
        <v>34</v>
      </c>
      <c r="H1444" t="s">
        <v>13</v>
      </c>
      <c r="I1444">
        <v>3</v>
      </c>
      <c r="J1444" s="6">
        <v>300</v>
      </c>
      <c r="K1444">
        <v>363</v>
      </c>
      <c r="L1444">
        <v>900</v>
      </c>
      <c r="M1444" t="str">
        <f>IF(OR(I1444="",J1444="",L1444=""),"Incomplete","Complete")</f>
        <v>Complete</v>
      </c>
      <c r="N1444" t="str">
        <f>IF(M1444="Incomplete","Not checked",IF(ROUND(I1444*J1444,2)=ROUND(L1444,2),"Valid","Mismatch"))</f>
        <v>Valid</v>
      </c>
      <c r="O1444">
        <f t="shared" si="45"/>
        <v>537</v>
      </c>
    </row>
    <row r="1445" spans="1:15">
      <c r="A1445">
        <v>568</v>
      </c>
      <c r="B1445" t="str">
        <f t="shared" si="44"/>
        <v>2023-08</v>
      </c>
      <c r="C1445" s="1">
        <v>45149</v>
      </c>
      <c r="D1445" s="5">
        <v>0.8354166666666667</v>
      </c>
      <c r="E1445">
        <v>32</v>
      </c>
      <c r="F1445" t="s">
        <v>14</v>
      </c>
      <c r="G1445">
        <v>51</v>
      </c>
      <c r="H1445" t="s">
        <v>15</v>
      </c>
      <c r="I1445">
        <v>1</v>
      </c>
      <c r="J1445" s="6">
        <v>300</v>
      </c>
      <c r="K1445">
        <v>372</v>
      </c>
      <c r="L1445">
        <v>300</v>
      </c>
      <c r="M1445" t="str">
        <f>IF(OR(I1445="",J1445="",L1445=""),"Incomplete","Complete")</f>
        <v>Complete</v>
      </c>
      <c r="N1445" t="str">
        <f>IF(M1445="Incomplete","Not checked",IF(ROUND(I1445*J1445,2)=ROUND(L1445,2),"Valid","Mismatch"))</f>
        <v>Valid</v>
      </c>
      <c r="O1445">
        <f t="shared" si="45"/>
        <v>-72</v>
      </c>
    </row>
    <row r="1446" spans="1:15">
      <c r="A1446">
        <v>756</v>
      </c>
      <c r="B1446" t="str">
        <f t="shared" si="44"/>
        <v>2023-07</v>
      </c>
      <c r="C1446" s="1">
        <v>45124</v>
      </c>
      <c r="D1446" s="5">
        <v>0.85624999999999996</v>
      </c>
      <c r="E1446">
        <v>4</v>
      </c>
      <c r="F1446" t="s">
        <v>14</v>
      </c>
      <c r="G1446">
        <v>62</v>
      </c>
      <c r="H1446" t="s">
        <v>15</v>
      </c>
      <c r="I1446">
        <v>4</v>
      </c>
      <c r="J1446" s="6">
        <v>300</v>
      </c>
      <c r="K1446">
        <v>333</v>
      </c>
      <c r="L1446">
        <v>1200</v>
      </c>
      <c r="M1446" t="str">
        <f>IF(OR(I1446="",J1446="",L1446=""),"Incomplete","Complete")</f>
        <v>Complete</v>
      </c>
      <c r="N1446" t="str">
        <f>IF(M1446="Incomplete","Not checked",IF(ROUND(I1446*J1446,2)=ROUND(L1446,2),"Valid","Mismatch"))</f>
        <v>Valid</v>
      </c>
      <c r="O1446">
        <f t="shared" si="45"/>
        <v>867</v>
      </c>
    </row>
    <row r="1447" spans="1:15">
      <c r="A1447">
        <v>1568</v>
      </c>
      <c r="B1447" t="str">
        <f t="shared" si="44"/>
        <v>2022-10</v>
      </c>
      <c r="C1447" s="1">
        <v>44843</v>
      </c>
      <c r="D1447" s="5">
        <v>0.94027777777777777</v>
      </c>
      <c r="E1447">
        <v>51</v>
      </c>
      <c r="F1447" t="s">
        <v>14</v>
      </c>
      <c r="G1447">
        <v>51</v>
      </c>
      <c r="H1447" t="s">
        <v>15</v>
      </c>
      <c r="I1447">
        <v>1</v>
      </c>
      <c r="J1447" s="6">
        <v>300</v>
      </c>
      <c r="K1447">
        <v>336</v>
      </c>
      <c r="L1447">
        <v>300</v>
      </c>
      <c r="M1447" t="str">
        <f>IF(OR(I1447="",J1447="",L1447=""),"Incomplete","Complete")</f>
        <v>Complete</v>
      </c>
      <c r="N1447" t="str">
        <f>IF(M1447="Incomplete","Not checked",IF(ROUND(I1447*J1447,2)=ROUND(L1447,2),"Valid","Mismatch"))</f>
        <v>Valid</v>
      </c>
      <c r="O1447">
        <f t="shared" si="45"/>
        <v>-36</v>
      </c>
    </row>
    <row r="1448" spans="1:15">
      <c r="A1448">
        <v>1756</v>
      </c>
      <c r="B1448" t="str">
        <f t="shared" si="44"/>
        <v>2022-05</v>
      </c>
      <c r="C1448" s="1">
        <v>44693</v>
      </c>
      <c r="D1448" s="5">
        <v>0.92777777777777781</v>
      </c>
      <c r="E1448">
        <v>119</v>
      </c>
      <c r="F1448" t="s">
        <v>14</v>
      </c>
      <c r="G1448">
        <v>62</v>
      </c>
      <c r="H1448" t="s">
        <v>15</v>
      </c>
      <c r="I1448">
        <v>4</v>
      </c>
      <c r="J1448" s="6">
        <v>300</v>
      </c>
      <c r="K1448">
        <v>297</v>
      </c>
      <c r="L1448">
        <v>1200</v>
      </c>
      <c r="M1448" t="str">
        <f>IF(OR(I1448="",J1448="",L1448=""),"Incomplete","Complete")</f>
        <v>Complete</v>
      </c>
      <c r="N1448" t="str">
        <f>IF(M1448="Incomplete","Not checked",IF(ROUND(I1448*J1448,2)=ROUND(L1448,2),"Valid","Mismatch"))</f>
        <v>Valid</v>
      </c>
      <c r="O1448">
        <f t="shared" si="45"/>
        <v>903</v>
      </c>
    </row>
    <row r="1449" spans="1:15">
      <c r="A1449">
        <v>594</v>
      </c>
      <c r="B1449" t="str">
        <f t="shared" si="44"/>
        <v>2023-09</v>
      </c>
      <c r="C1449" s="1">
        <v>45176</v>
      </c>
      <c r="D1449" s="5">
        <v>0.90902777777777777</v>
      </c>
      <c r="E1449">
        <v>72</v>
      </c>
      <c r="F1449" t="s">
        <v>14</v>
      </c>
      <c r="G1449">
        <v>19</v>
      </c>
      <c r="H1449" t="s">
        <v>15</v>
      </c>
      <c r="I1449">
        <v>2</v>
      </c>
      <c r="J1449" s="6">
        <v>300</v>
      </c>
      <c r="K1449">
        <v>291</v>
      </c>
      <c r="L1449">
        <v>600</v>
      </c>
      <c r="M1449" t="str">
        <f>IF(OR(I1449="",J1449="",L1449=""),"Incomplete","Complete")</f>
        <v>Complete</v>
      </c>
      <c r="N1449" t="str">
        <f>IF(M1449="Incomplete","Not checked",IF(ROUND(I1449*J1449,2)=ROUND(L1449,2),"Valid","Mismatch"))</f>
        <v>Valid</v>
      </c>
      <c r="O1449">
        <f t="shared" si="45"/>
        <v>309</v>
      </c>
    </row>
    <row r="1450" spans="1:15">
      <c r="A1450">
        <v>637</v>
      </c>
      <c r="B1450" t="str">
        <f t="shared" si="44"/>
        <v>2022-12</v>
      </c>
      <c r="C1450" s="1">
        <v>44897</v>
      </c>
      <c r="D1450" s="5">
        <v>0.78749999999999998</v>
      </c>
      <c r="E1450">
        <v>21</v>
      </c>
      <c r="F1450" t="s">
        <v>11</v>
      </c>
      <c r="G1450">
        <v>43</v>
      </c>
      <c r="H1450" t="s">
        <v>12</v>
      </c>
      <c r="I1450">
        <v>2</v>
      </c>
      <c r="J1450" s="6">
        <v>300</v>
      </c>
      <c r="K1450">
        <v>321</v>
      </c>
      <c r="L1450">
        <v>600</v>
      </c>
      <c r="M1450" t="str">
        <f>IF(OR(I1450="",J1450="",L1450=""),"Incomplete","Complete")</f>
        <v>Complete</v>
      </c>
      <c r="N1450" t="str">
        <f>IF(M1450="Incomplete","Not checked",IF(ROUND(I1450*J1450,2)=ROUND(L1450,2),"Valid","Mismatch"))</f>
        <v>Valid</v>
      </c>
      <c r="O1450">
        <f t="shared" si="45"/>
        <v>279</v>
      </c>
    </row>
    <row r="1451" spans="1:15">
      <c r="A1451">
        <v>1594</v>
      </c>
      <c r="B1451" t="str">
        <f t="shared" si="44"/>
        <v>2023-10</v>
      </c>
      <c r="C1451" s="1">
        <v>45200</v>
      </c>
      <c r="D1451" s="5">
        <v>0.79305555555555551</v>
      </c>
      <c r="E1451">
        <v>31</v>
      </c>
      <c r="F1451" t="s">
        <v>14</v>
      </c>
      <c r="G1451">
        <v>19</v>
      </c>
      <c r="H1451" t="s">
        <v>15</v>
      </c>
      <c r="I1451">
        <v>2</v>
      </c>
      <c r="J1451" s="6">
        <v>300</v>
      </c>
      <c r="K1451">
        <v>345</v>
      </c>
      <c r="L1451">
        <v>600</v>
      </c>
      <c r="M1451" t="str">
        <f>IF(OR(I1451="",J1451="",L1451=""),"Incomplete","Complete")</f>
        <v>Complete</v>
      </c>
      <c r="N1451" t="str">
        <f>IF(M1451="Incomplete","Not checked",IF(ROUND(I1451*J1451,2)=ROUND(L1451,2),"Valid","Mismatch"))</f>
        <v>Valid</v>
      </c>
      <c r="O1451">
        <f t="shared" si="45"/>
        <v>255</v>
      </c>
    </row>
    <row r="1452" spans="1:15">
      <c r="A1452">
        <v>1637</v>
      </c>
      <c r="B1452" t="str">
        <f t="shared" si="44"/>
        <v>2022-10</v>
      </c>
      <c r="C1452" s="1">
        <v>44859</v>
      </c>
      <c r="D1452" s="5">
        <v>0.86805555555555558</v>
      </c>
      <c r="E1452">
        <v>97</v>
      </c>
      <c r="F1452" t="s">
        <v>11</v>
      </c>
      <c r="G1452">
        <v>43</v>
      </c>
      <c r="H1452" t="s">
        <v>12</v>
      </c>
      <c r="I1452">
        <v>2</v>
      </c>
      <c r="J1452" s="6">
        <v>300</v>
      </c>
      <c r="K1452">
        <v>297</v>
      </c>
      <c r="L1452">
        <v>600</v>
      </c>
      <c r="M1452" t="str">
        <f>IF(OR(I1452="",J1452="",L1452=""),"Incomplete","Complete")</f>
        <v>Complete</v>
      </c>
      <c r="N1452" t="str">
        <f>IF(M1452="Incomplete","Not checked",IF(ROUND(I1452*J1452,2)=ROUND(L1452,2),"Valid","Mismatch"))</f>
        <v>Valid</v>
      </c>
      <c r="O1452">
        <f t="shared" si="45"/>
        <v>303</v>
      </c>
    </row>
    <row r="1453" spans="1:15">
      <c r="A1453">
        <v>682</v>
      </c>
      <c r="B1453" t="str">
        <f t="shared" si="44"/>
        <v>2023-10</v>
      </c>
      <c r="C1453" s="1">
        <v>45222</v>
      </c>
      <c r="D1453" s="5">
        <v>0.86875000000000002</v>
      </c>
      <c r="E1453">
        <v>60</v>
      </c>
      <c r="F1453" t="s">
        <v>11</v>
      </c>
      <c r="G1453">
        <v>46</v>
      </c>
      <c r="H1453" t="s">
        <v>13</v>
      </c>
      <c r="I1453">
        <v>4</v>
      </c>
      <c r="J1453" s="6">
        <v>300</v>
      </c>
      <c r="K1453">
        <v>354</v>
      </c>
      <c r="L1453">
        <v>1200</v>
      </c>
      <c r="M1453" t="str">
        <f>IF(OR(I1453="",J1453="",L1453=""),"Incomplete","Complete")</f>
        <v>Complete</v>
      </c>
      <c r="N1453" t="str">
        <f>IF(M1453="Incomplete","Not checked",IF(ROUND(I1453*J1453,2)=ROUND(L1453,2),"Valid","Mismatch"))</f>
        <v>Valid</v>
      </c>
      <c r="O1453">
        <f t="shared" si="45"/>
        <v>846</v>
      </c>
    </row>
    <row r="1454" spans="1:15">
      <c r="A1454">
        <v>1682</v>
      </c>
      <c r="B1454" t="str">
        <f t="shared" si="44"/>
        <v>2022-12</v>
      </c>
      <c r="C1454" s="1">
        <v>44925</v>
      </c>
      <c r="D1454" s="5">
        <v>0.8125</v>
      </c>
      <c r="E1454">
        <v>71</v>
      </c>
      <c r="F1454" t="s">
        <v>11</v>
      </c>
      <c r="G1454">
        <v>46</v>
      </c>
      <c r="H1454" t="s">
        <v>13</v>
      </c>
      <c r="I1454">
        <v>4</v>
      </c>
      <c r="J1454" s="6">
        <v>300</v>
      </c>
      <c r="K1454">
        <v>315</v>
      </c>
      <c r="L1454">
        <v>1200</v>
      </c>
      <c r="M1454" t="str">
        <f>IF(OR(I1454="",J1454="",L1454=""),"Incomplete","Complete")</f>
        <v>Complete</v>
      </c>
      <c r="N1454" t="str">
        <f>IF(M1454="Incomplete","Not checked",IF(ROUND(I1454*J1454,2)=ROUND(L1454,2),"Valid","Mismatch"))</f>
        <v>Valid</v>
      </c>
      <c r="O1454">
        <f t="shared" si="45"/>
        <v>885</v>
      </c>
    </row>
    <row r="1455" spans="1:15">
      <c r="A1455">
        <v>925</v>
      </c>
      <c r="B1455" t="str">
        <f t="shared" si="44"/>
        <v>2022-12</v>
      </c>
      <c r="C1455" s="1">
        <v>44915</v>
      </c>
      <c r="D1455" s="5">
        <v>0.71666666666666667</v>
      </c>
      <c r="E1455">
        <v>54</v>
      </c>
      <c r="F1455" t="s">
        <v>11</v>
      </c>
      <c r="G1455">
        <v>25</v>
      </c>
      <c r="H1455" t="s">
        <v>15</v>
      </c>
      <c r="I1455">
        <v>1</v>
      </c>
      <c r="J1455" s="6">
        <v>300</v>
      </c>
      <c r="K1455">
        <v>315</v>
      </c>
      <c r="L1455">
        <v>300</v>
      </c>
      <c r="M1455" t="str">
        <f>IF(OR(I1455="",J1455="",L1455=""),"Incomplete","Complete")</f>
        <v>Complete</v>
      </c>
      <c r="N1455" t="str">
        <f>IF(M1455="Incomplete","Not checked",IF(ROUND(I1455*J1455,2)=ROUND(L1455,2),"Valid","Mismatch"))</f>
        <v>Valid</v>
      </c>
      <c r="O1455">
        <f t="shared" si="45"/>
        <v>-15</v>
      </c>
    </row>
    <row r="1456" spans="1:15">
      <c r="A1456">
        <v>1925</v>
      </c>
      <c r="B1456" t="str">
        <f t="shared" si="44"/>
        <v>2023-12</v>
      </c>
      <c r="C1456" s="1">
        <v>45281</v>
      </c>
      <c r="D1456" s="5">
        <v>0.71180555555555558</v>
      </c>
      <c r="E1456">
        <v>81</v>
      </c>
      <c r="F1456" t="s">
        <v>11</v>
      </c>
      <c r="G1456">
        <v>25</v>
      </c>
      <c r="H1456" t="s">
        <v>15</v>
      </c>
      <c r="I1456">
        <v>1</v>
      </c>
      <c r="J1456" s="6">
        <v>300</v>
      </c>
      <c r="K1456">
        <v>366</v>
      </c>
      <c r="L1456">
        <v>300</v>
      </c>
      <c r="M1456" t="str">
        <f>IF(OR(I1456="",J1456="",L1456=""),"Incomplete","Complete")</f>
        <v>Complete</v>
      </c>
      <c r="N1456" t="str">
        <f>IF(M1456="Incomplete","Not checked",IF(ROUND(I1456*J1456,2)=ROUND(L1456,2),"Valid","Mismatch"))</f>
        <v>Valid</v>
      </c>
      <c r="O1456">
        <f t="shared" si="45"/>
        <v>-66</v>
      </c>
    </row>
    <row r="1457" spans="1:15">
      <c r="A1457">
        <v>296</v>
      </c>
      <c r="B1457" t="str">
        <f t="shared" si="44"/>
        <v>2022-12</v>
      </c>
      <c r="C1457" s="1">
        <v>44926</v>
      </c>
      <c r="D1457" s="5">
        <v>0.94722222222222219</v>
      </c>
      <c r="E1457">
        <v>73</v>
      </c>
      <c r="F1457" t="s">
        <v>14</v>
      </c>
      <c r="G1457">
        <v>22</v>
      </c>
      <c r="H1457" t="s">
        <v>12</v>
      </c>
      <c r="I1457">
        <v>4</v>
      </c>
      <c r="J1457" s="6">
        <v>300</v>
      </c>
      <c r="K1457">
        <v>369</v>
      </c>
      <c r="L1457">
        <v>1200</v>
      </c>
      <c r="M1457" t="str">
        <f>IF(OR(I1457="",J1457="",L1457=""),"Incomplete","Complete")</f>
        <v>Complete</v>
      </c>
      <c r="N1457" t="str">
        <f>IF(M1457="Incomplete","Not checked",IF(ROUND(I1457*J1457,2)=ROUND(L1457,2),"Valid","Mismatch"))</f>
        <v>Valid</v>
      </c>
      <c r="O1457">
        <f t="shared" si="45"/>
        <v>831</v>
      </c>
    </row>
    <row r="1458" spans="1:15">
      <c r="A1458">
        <v>1296</v>
      </c>
      <c r="B1458" t="str">
        <f t="shared" si="44"/>
        <v>2022-11</v>
      </c>
      <c r="C1458" s="1">
        <v>44891</v>
      </c>
      <c r="D1458" s="5">
        <v>0.86250000000000004</v>
      </c>
      <c r="E1458">
        <v>45</v>
      </c>
      <c r="F1458" t="s">
        <v>14</v>
      </c>
      <c r="G1458">
        <v>22</v>
      </c>
      <c r="H1458" t="s">
        <v>12</v>
      </c>
      <c r="I1458">
        <v>4</v>
      </c>
      <c r="J1458" s="6">
        <v>300</v>
      </c>
      <c r="K1458">
        <v>342</v>
      </c>
      <c r="L1458">
        <v>1200</v>
      </c>
      <c r="M1458" t="str">
        <f>IF(OR(I1458="",J1458="",L1458=""),"Incomplete","Complete")</f>
        <v>Complete</v>
      </c>
      <c r="N1458" t="str">
        <f>IF(M1458="Incomplete","Not checked",IF(ROUND(I1458*J1458,2)=ROUND(L1458,2),"Valid","Mismatch"))</f>
        <v>Valid</v>
      </c>
      <c r="O1458">
        <f t="shared" si="45"/>
        <v>858</v>
      </c>
    </row>
    <row r="1459" spans="1:15">
      <c r="A1459">
        <v>183</v>
      </c>
      <c r="B1459" t="str">
        <f t="shared" si="44"/>
        <v>2022-09</v>
      </c>
      <c r="C1459" s="1">
        <v>44805</v>
      </c>
      <c r="D1459" s="5">
        <v>0.80694444444444446</v>
      </c>
      <c r="E1459">
        <v>28</v>
      </c>
      <c r="F1459" t="s">
        <v>14</v>
      </c>
      <c r="G1459">
        <v>43</v>
      </c>
      <c r="H1459" t="s">
        <v>13</v>
      </c>
      <c r="I1459">
        <v>3</v>
      </c>
      <c r="J1459" s="6">
        <v>300</v>
      </c>
      <c r="K1459">
        <v>375</v>
      </c>
      <c r="L1459">
        <v>900</v>
      </c>
      <c r="M1459" t="str">
        <f>IF(OR(I1459="",J1459="",L1459=""),"Incomplete","Complete")</f>
        <v>Complete</v>
      </c>
      <c r="N1459" t="str">
        <f>IF(M1459="Incomplete","Not checked",IF(ROUND(I1459*J1459,2)=ROUND(L1459,2),"Valid","Mismatch"))</f>
        <v>Valid</v>
      </c>
      <c r="O1459">
        <f t="shared" si="45"/>
        <v>525</v>
      </c>
    </row>
    <row r="1460" spans="1:15">
      <c r="A1460">
        <v>1183</v>
      </c>
      <c r="B1460" t="str">
        <f t="shared" si="44"/>
        <v>2022-12</v>
      </c>
      <c r="C1460" s="1">
        <v>44923</v>
      </c>
      <c r="D1460" s="5">
        <v>0.71527777777777779</v>
      </c>
      <c r="E1460">
        <v>54</v>
      </c>
      <c r="F1460" t="s">
        <v>14</v>
      </c>
      <c r="G1460">
        <v>43</v>
      </c>
      <c r="H1460" t="s">
        <v>13</v>
      </c>
      <c r="I1460">
        <v>3</v>
      </c>
      <c r="J1460" s="6">
        <v>300</v>
      </c>
      <c r="K1460">
        <v>342</v>
      </c>
      <c r="L1460">
        <v>900</v>
      </c>
      <c r="M1460" t="str">
        <f>IF(OR(I1460="",J1460="",L1460=""),"Incomplete","Complete")</f>
        <v>Complete</v>
      </c>
      <c r="N1460" t="str">
        <f>IF(M1460="Incomplete","Not checked",IF(ROUND(I1460*J1460,2)=ROUND(L1460,2),"Valid","Mismatch"))</f>
        <v>Valid</v>
      </c>
      <c r="O1460">
        <f t="shared" si="45"/>
        <v>558</v>
      </c>
    </row>
    <row r="1461" spans="1:15">
      <c r="A1461">
        <v>165</v>
      </c>
      <c r="B1461" t="str">
        <f t="shared" si="44"/>
        <v>2022-09</v>
      </c>
      <c r="C1461" s="1">
        <v>44828</v>
      </c>
      <c r="D1461" s="5">
        <v>0.79236111111111107</v>
      </c>
      <c r="E1461">
        <v>75</v>
      </c>
      <c r="F1461" t="s">
        <v>14</v>
      </c>
      <c r="G1461">
        <v>60</v>
      </c>
      <c r="H1461" t="s">
        <v>12</v>
      </c>
      <c r="I1461">
        <v>4</v>
      </c>
      <c r="J1461" s="6">
        <v>300</v>
      </c>
      <c r="K1461">
        <v>318</v>
      </c>
      <c r="L1461">
        <v>1200</v>
      </c>
      <c r="M1461" t="str">
        <f>IF(OR(I1461="",J1461="",L1461=""),"Incomplete","Complete")</f>
        <v>Complete</v>
      </c>
      <c r="N1461" t="str">
        <f>IF(M1461="Incomplete","Not checked",IF(ROUND(I1461*J1461,2)=ROUND(L1461,2),"Valid","Mismatch"))</f>
        <v>Valid</v>
      </c>
      <c r="O1461">
        <f t="shared" si="45"/>
        <v>882</v>
      </c>
    </row>
    <row r="1462" spans="1:15">
      <c r="A1462">
        <v>1165</v>
      </c>
      <c r="B1462" t="str">
        <f t="shared" si="44"/>
        <v>2023-12</v>
      </c>
      <c r="C1462" s="1">
        <v>45261</v>
      </c>
      <c r="D1462" s="5">
        <v>0.71111111111111114</v>
      </c>
      <c r="E1462">
        <v>29</v>
      </c>
      <c r="F1462" t="s">
        <v>14</v>
      </c>
      <c r="G1462">
        <v>60</v>
      </c>
      <c r="H1462" t="s">
        <v>12</v>
      </c>
      <c r="I1462">
        <v>4</v>
      </c>
      <c r="J1462" s="6">
        <v>300</v>
      </c>
      <c r="K1462">
        <v>291</v>
      </c>
      <c r="L1462">
        <v>1200</v>
      </c>
      <c r="M1462" t="str">
        <f>IF(OR(I1462="",J1462="",L1462=""),"Incomplete","Complete")</f>
        <v>Complete</v>
      </c>
      <c r="N1462" t="str">
        <f>IF(M1462="Incomplete","Not checked",IF(ROUND(I1462*J1462,2)=ROUND(L1462,2),"Valid","Mismatch"))</f>
        <v>Valid</v>
      </c>
      <c r="O1462">
        <f t="shared" si="45"/>
        <v>909</v>
      </c>
    </row>
    <row r="1463" spans="1:15">
      <c r="A1463">
        <v>794</v>
      </c>
      <c r="B1463" t="str">
        <f t="shared" si="44"/>
        <v>2022-11</v>
      </c>
      <c r="C1463" s="1">
        <v>44867</v>
      </c>
      <c r="D1463" s="5">
        <v>0.90763888888888888</v>
      </c>
      <c r="E1463">
        <v>145</v>
      </c>
      <c r="F1463" t="s">
        <v>14</v>
      </c>
      <c r="G1463">
        <v>60</v>
      </c>
      <c r="H1463" t="s">
        <v>13</v>
      </c>
      <c r="I1463">
        <v>1</v>
      </c>
      <c r="J1463" s="6">
        <v>300</v>
      </c>
      <c r="K1463">
        <v>315</v>
      </c>
      <c r="L1463">
        <v>300</v>
      </c>
      <c r="M1463" t="str">
        <f>IF(OR(I1463="",J1463="",L1463=""),"Incomplete","Complete")</f>
        <v>Complete</v>
      </c>
      <c r="N1463" t="str">
        <f>IF(M1463="Incomplete","Not checked",IF(ROUND(I1463*J1463,2)=ROUND(L1463,2),"Valid","Mismatch"))</f>
        <v>Valid</v>
      </c>
      <c r="O1463">
        <f t="shared" si="45"/>
        <v>-15</v>
      </c>
    </row>
    <row r="1464" spans="1:15">
      <c r="A1464">
        <v>1794</v>
      </c>
      <c r="B1464" t="str">
        <f t="shared" si="44"/>
        <v>2022-12</v>
      </c>
      <c r="C1464" s="1">
        <v>44917</v>
      </c>
      <c r="D1464" s="5">
        <v>0.81944444444444442</v>
      </c>
      <c r="E1464">
        <v>26</v>
      </c>
      <c r="F1464" t="s">
        <v>14</v>
      </c>
      <c r="G1464">
        <v>60</v>
      </c>
      <c r="H1464" t="s">
        <v>13</v>
      </c>
      <c r="I1464">
        <v>1</v>
      </c>
      <c r="J1464" s="6">
        <v>300</v>
      </c>
      <c r="K1464">
        <v>351</v>
      </c>
      <c r="L1464">
        <v>300</v>
      </c>
      <c r="M1464" t="str">
        <f>IF(OR(I1464="",J1464="",L1464=""),"Incomplete","Complete")</f>
        <v>Complete</v>
      </c>
      <c r="N1464" t="str">
        <f>IF(M1464="Incomplete","Not checked",IF(ROUND(I1464*J1464,2)=ROUND(L1464,2),"Valid","Mismatch"))</f>
        <v>Valid</v>
      </c>
      <c r="O1464">
        <f t="shared" si="45"/>
        <v>-51</v>
      </c>
    </row>
    <row r="1465" spans="1:15">
      <c r="A1465">
        <v>131</v>
      </c>
      <c r="B1465" t="str">
        <f t="shared" si="44"/>
        <v>2023-09</v>
      </c>
      <c r="C1465" s="1">
        <v>45198</v>
      </c>
      <c r="D1465" s="5">
        <v>0.93888888888888888</v>
      </c>
      <c r="E1465">
        <v>44</v>
      </c>
      <c r="F1465" t="s">
        <v>14</v>
      </c>
      <c r="G1465">
        <v>21</v>
      </c>
      <c r="H1465" t="s">
        <v>13</v>
      </c>
      <c r="I1465">
        <v>2</v>
      </c>
      <c r="J1465" s="6">
        <v>300</v>
      </c>
      <c r="K1465">
        <v>375</v>
      </c>
      <c r="L1465">
        <v>600</v>
      </c>
      <c r="M1465" t="str">
        <f>IF(OR(I1465="",J1465="",L1465=""),"Incomplete","Complete")</f>
        <v>Complete</v>
      </c>
      <c r="N1465" t="str">
        <f>IF(M1465="Incomplete","Not checked",IF(ROUND(I1465*J1465,2)=ROUND(L1465,2),"Valid","Mismatch"))</f>
        <v>Valid</v>
      </c>
      <c r="O1465">
        <f t="shared" si="45"/>
        <v>225</v>
      </c>
    </row>
    <row r="1466" spans="1:15">
      <c r="A1466">
        <v>1131</v>
      </c>
      <c r="B1466" t="str">
        <f t="shared" si="44"/>
        <v>2022-12</v>
      </c>
      <c r="C1466" s="1">
        <v>44926</v>
      </c>
      <c r="D1466" s="5">
        <v>0.80277777777777781</v>
      </c>
      <c r="E1466">
        <v>130</v>
      </c>
      <c r="F1466" t="s">
        <v>14</v>
      </c>
      <c r="G1466">
        <v>21</v>
      </c>
      <c r="H1466" t="s">
        <v>13</v>
      </c>
      <c r="I1466">
        <v>2</v>
      </c>
      <c r="J1466" s="6">
        <v>300</v>
      </c>
      <c r="K1466">
        <v>336</v>
      </c>
      <c r="L1466">
        <v>600</v>
      </c>
      <c r="M1466" t="str">
        <f>IF(OR(I1466="",J1466="",L1466=""),"Incomplete","Complete")</f>
        <v>Complete</v>
      </c>
      <c r="N1466" t="str">
        <f>IF(M1466="Incomplete","Not checked",IF(ROUND(I1466*J1466,2)=ROUND(L1466,2),"Valid","Mismatch"))</f>
        <v>Valid</v>
      </c>
      <c r="O1466">
        <f t="shared" si="45"/>
        <v>264</v>
      </c>
    </row>
    <row r="1467" spans="1:15">
      <c r="A1467">
        <v>523</v>
      </c>
      <c r="B1467" t="str">
        <f t="shared" si="44"/>
        <v>2023-11</v>
      </c>
      <c r="C1467" s="1">
        <v>45243</v>
      </c>
      <c r="D1467" s="5">
        <v>0.8041666666666667</v>
      </c>
      <c r="E1467">
        <v>110</v>
      </c>
      <c r="F1467" t="s">
        <v>14</v>
      </c>
      <c r="G1467">
        <v>62</v>
      </c>
      <c r="H1467" t="s">
        <v>15</v>
      </c>
      <c r="I1467">
        <v>1</v>
      </c>
      <c r="J1467" s="6">
        <v>300</v>
      </c>
      <c r="K1467">
        <v>375</v>
      </c>
      <c r="L1467">
        <v>300</v>
      </c>
      <c r="M1467" t="str">
        <f>IF(OR(I1467="",J1467="",L1467=""),"Incomplete","Complete")</f>
        <v>Complete</v>
      </c>
      <c r="N1467" t="str">
        <f>IF(M1467="Incomplete","Not checked",IF(ROUND(I1467*J1467,2)=ROUND(L1467,2),"Valid","Mismatch"))</f>
        <v>Valid</v>
      </c>
      <c r="O1467">
        <f t="shared" si="45"/>
        <v>-75</v>
      </c>
    </row>
    <row r="1468" spans="1:15">
      <c r="A1468">
        <v>1523</v>
      </c>
      <c r="B1468" t="str">
        <f t="shared" si="44"/>
        <v>2023-12</v>
      </c>
      <c r="C1468" s="1">
        <v>45291</v>
      </c>
      <c r="D1468" s="5">
        <v>0.86111111111111116</v>
      </c>
      <c r="E1468">
        <v>150</v>
      </c>
      <c r="F1468" t="s">
        <v>14</v>
      </c>
      <c r="G1468">
        <v>62</v>
      </c>
      <c r="H1468" t="s">
        <v>15</v>
      </c>
      <c r="I1468">
        <v>1</v>
      </c>
      <c r="J1468" s="6">
        <v>300</v>
      </c>
      <c r="K1468">
        <v>330</v>
      </c>
      <c r="L1468">
        <v>300</v>
      </c>
      <c r="M1468" t="str">
        <f>IF(OR(I1468="",J1468="",L1468=""),"Incomplete","Complete")</f>
        <v>Complete</v>
      </c>
      <c r="N1468" t="str">
        <f>IF(M1468="Incomplete","Not checked",IF(ROUND(I1468*J1468,2)=ROUND(L1468,2),"Valid","Mismatch"))</f>
        <v>Valid</v>
      </c>
      <c r="O1468">
        <f t="shared" si="45"/>
        <v>-30</v>
      </c>
    </row>
    <row r="1469" spans="1:15">
      <c r="A1469">
        <v>954</v>
      </c>
      <c r="B1469" t="str">
        <f t="shared" si="44"/>
        <v>2023-09</v>
      </c>
      <c r="C1469" s="1">
        <v>45174</v>
      </c>
      <c r="D1469" s="5">
        <v>0.87708333333333333</v>
      </c>
      <c r="E1469">
        <v>87</v>
      </c>
      <c r="F1469" t="s">
        <v>14</v>
      </c>
      <c r="G1469">
        <v>50</v>
      </c>
      <c r="H1469" t="s">
        <v>15</v>
      </c>
      <c r="I1469">
        <v>3</v>
      </c>
      <c r="J1469" s="6">
        <v>300</v>
      </c>
      <c r="K1469">
        <v>321</v>
      </c>
      <c r="L1469">
        <v>900</v>
      </c>
      <c r="M1469" t="str">
        <f>IF(OR(I1469="",J1469="",L1469=""),"Incomplete","Complete")</f>
        <v>Complete</v>
      </c>
      <c r="N1469" t="str">
        <f>IF(M1469="Incomplete","Not checked",IF(ROUND(I1469*J1469,2)=ROUND(L1469,2),"Valid","Mismatch"))</f>
        <v>Valid</v>
      </c>
      <c r="O1469">
        <f t="shared" si="45"/>
        <v>579</v>
      </c>
    </row>
    <row r="1470" spans="1:15">
      <c r="A1470">
        <v>1954</v>
      </c>
      <c r="B1470" t="str">
        <f t="shared" si="44"/>
        <v>2023-10</v>
      </c>
      <c r="C1470" s="1">
        <v>45228</v>
      </c>
      <c r="D1470" s="5">
        <v>0.72916666666666663</v>
      </c>
      <c r="E1470">
        <v>93</v>
      </c>
      <c r="F1470" t="s">
        <v>14</v>
      </c>
      <c r="G1470">
        <v>50</v>
      </c>
      <c r="H1470" t="s">
        <v>15</v>
      </c>
      <c r="I1470">
        <v>3</v>
      </c>
      <c r="J1470" s="6">
        <v>300</v>
      </c>
      <c r="K1470">
        <v>318</v>
      </c>
      <c r="L1470">
        <v>900</v>
      </c>
      <c r="M1470" t="str">
        <f>IF(OR(I1470="",J1470="",L1470=""),"Incomplete","Complete")</f>
        <v>Complete</v>
      </c>
      <c r="N1470" t="str">
        <f>IF(M1470="Incomplete","Not checked",IF(ROUND(I1470*J1470,2)=ROUND(L1470,2),"Valid","Mismatch"))</f>
        <v>Valid</v>
      </c>
      <c r="O1470">
        <f t="shared" si="45"/>
        <v>582</v>
      </c>
    </row>
    <row r="1471" spans="1:15">
      <c r="A1471">
        <v>147</v>
      </c>
      <c r="B1471" t="str">
        <f t="shared" si="44"/>
        <v>2022-11</v>
      </c>
      <c r="C1471" s="1">
        <v>44877</v>
      </c>
      <c r="D1471" s="5">
        <v>0.85416666666666663</v>
      </c>
      <c r="E1471">
        <v>101</v>
      </c>
      <c r="F1471" t="s">
        <v>11</v>
      </c>
      <c r="G1471">
        <v>23</v>
      </c>
      <c r="H1471" t="s">
        <v>15</v>
      </c>
      <c r="I1471">
        <v>1</v>
      </c>
      <c r="J1471" s="6">
        <v>300</v>
      </c>
      <c r="K1471">
        <v>297</v>
      </c>
      <c r="L1471">
        <v>300</v>
      </c>
      <c r="M1471" t="str">
        <f>IF(OR(I1471="",J1471="",L1471=""),"Incomplete","Complete")</f>
        <v>Complete</v>
      </c>
      <c r="N1471" t="str">
        <f>IF(M1471="Incomplete","Not checked",IF(ROUND(I1471*J1471,2)=ROUND(L1471,2),"Valid","Mismatch"))</f>
        <v>Valid</v>
      </c>
      <c r="O1471">
        <f t="shared" si="45"/>
        <v>3</v>
      </c>
    </row>
    <row r="1472" spans="1:15">
      <c r="A1472">
        <v>1147</v>
      </c>
      <c r="B1472" t="str">
        <f t="shared" si="44"/>
        <v>2023-11</v>
      </c>
      <c r="C1472" s="1">
        <v>45255</v>
      </c>
      <c r="D1472" s="5">
        <v>0.92638888888888893</v>
      </c>
      <c r="E1472">
        <v>35</v>
      </c>
      <c r="F1472" t="s">
        <v>11</v>
      </c>
      <c r="G1472">
        <v>23</v>
      </c>
      <c r="H1472" t="s">
        <v>15</v>
      </c>
      <c r="I1472">
        <v>1</v>
      </c>
      <c r="J1472" s="6">
        <v>300</v>
      </c>
      <c r="K1472">
        <v>330</v>
      </c>
      <c r="L1472">
        <v>300</v>
      </c>
      <c r="M1472" t="str">
        <f>IF(OR(I1472="",J1472="",L1472=""),"Incomplete","Complete")</f>
        <v>Complete</v>
      </c>
      <c r="N1472" t="str">
        <f>IF(M1472="Incomplete","Not checked",IF(ROUND(I1472*J1472,2)=ROUND(L1472,2),"Valid","Mismatch"))</f>
        <v>Valid</v>
      </c>
      <c r="O1472">
        <f t="shared" si="45"/>
        <v>-30</v>
      </c>
    </row>
    <row r="1473" spans="1:15">
      <c r="A1473">
        <v>179</v>
      </c>
      <c r="B1473" t="str">
        <f t="shared" si="44"/>
        <v>2023-10</v>
      </c>
      <c r="C1473" s="1">
        <v>45206</v>
      </c>
      <c r="D1473" s="5">
        <v>0.86250000000000004</v>
      </c>
      <c r="E1473">
        <v>121</v>
      </c>
      <c r="F1473" t="s">
        <v>11</v>
      </c>
      <c r="G1473">
        <v>31</v>
      </c>
      <c r="H1473" t="s">
        <v>15</v>
      </c>
      <c r="I1473">
        <v>1</v>
      </c>
      <c r="J1473" s="6">
        <v>300</v>
      </c>
      <c r="K1473">
        <v>375</v>
      </c>
      <c r="L1473">
        <v>300</v>
      </c>
      <c r="M1473" t="str">
        <f>IF(OR(I1473="",J1473="",L1473=""),"Incomplete","Complete")</f>
        <v>Complete</v>
      </c>
      <c r="N1473" t="str">
        <f>IF(M1473="Incomplete","Not checked",IF(ROUND(I1473*J1473,2)=ROUND(L1473,2),"Valid","Mismatch"))</f>
        <v>Valid</v>
      </c>
      <c r="O1473">
        <f t="shared" si="45"/>
        <v>-75</v>
      </c>
    </row>
    <row r="1474" spans="1:15">
      <c r="A1474">
        <v>1179</v>
      </c>
      <c r="B1474" t="str">
        <f t="shared" ref="B1474:B1537" si="46">TEXT(C1474,"yyyy-mm")</f>
        <v>2023-12</v>
      </c>
      <c r="C1474" s="1">
        <v>45272</v>
      </c>
      <c r="D1474" s="5">
        <v>0.72777777777777775</v>
      </c>
      <c r="E1474">
        <v>122</v>
      </c>
      <c r="F1474" t="s">
        <v>11</v>
      </c>
      <c r="G1474">
        <v>31</v>
      </c>
      <c r="H1474" t="s">
        <v>15</v>
      </c>
      <c r="I1474">
        <v>1</v>
      </c>
      <c r="J1474" s="6">
        <v>300</v>
      </c>
      <c r="K1474">
        <v>354</v>
      </c>
      <c r="L1474">
        <v>300</v>
      </c>
      <c r="M1474" t="str">
        <f>IF(OR(I1474="",J1474="",L1474=""),"Incomplete","Complete")</f>
        <v>Complete</v>
      </c>
      <c r="N1474" t="str">
        <f>IF(M1474="Incomplete","Not checked",IF(ROUND(I1474*J1474,2)=ROUND(L1474,2),"Valid","Mismatch"))</f>
        <v>Valid</v>
      </c>
      <c r="O1474">
        <f t="shared" ref="O1474:O1537" si="47">IF(M1474="Incomplete","",L1474-K1474)</f>
        <v>-54</v>
      </c>
    </row>
    <row r="1475" spans="1:15">
      <c r="A1475">
        <v>196</v>
      </c>
      <c r="B1475" t="str">
        <f t="shared" si="46"/>
        <v>2023-12</v>
      </c>
      <c r="C1475" s="1">
        <v>45289</v>
      </c>
      <c r="D1475" s="5">
        <v>0.80138888888888893</v>
      </c>
      <c r="E1475">
        <v>43</v>
      </c>
      <c r="F1475" t="s">
        <v>14</v>
      </c>
      <c r="G1475">
        <v>32</v>
      </c>
      <c r="H1475" t="s">
        <v>12</v>
      </c>
      <c r="I1475">
        <v>3</v>
      </c>
      <c r="J1475" s="6">
        <v>300</v>
      </c>
      <c r="K1475">
        <v>312</v>
      </c>
      <c r="L1475">
        <v>900</v>
      </c>
      <c r="M1475" t="str">
        <f>IF(OR(I1475="",J1475="",L1475=""),"Incomplete","Complete")</f>
        <v>Complete</v>
      </c>
      <c r="N1475" t="str">
        <f>IF(M1475="Incomplete","Not checked",IF(ROUND(I1475*J1475,2)=ROUND(L1475,2),"Valid","Mismatch"))</f>
        <v>Valid</v>
      </c>
      <c r="O1475">
        <f t="shared" si="47"/>
        <v>588</v>
      </c>
    </row>
    <row r="1476" spans="1:15">
      <c r="A1476">
        <v>1196</v>
      </c>
      <c r="B1476" t="str">
        <f t="shared" si="46"/>
        <v>2022-12</v>
      </c>
      <c r="C1476" s="1">
        <v>44926</v>
      </c>
      <c r="D1476" s="5">
        <v>0.88749999999999996</v>
      </c>
      <c r="E1476">
        <v>93</v>
      </c>
      <c r="F1476" t="s">
        <v>14</v>
      </c>
      <c r="G1476">
        <v>32</v>
      </c>
      <c r="H1476" t="s">
        <v>12</v>
      </c>
      <c r="I1476">
        <v>3</v>
      </c>
      <c r="J1476" s="6">
        <v>300</v>
      </c>
      <c r="K1476">
        <v>306</v>
      </c>
      <c r="L1476">
        <v>900</v>
      </c>
      <c r="M1476" t="str">
        <f>IF(OR(I1476="",J1476="",L1476=""),"Incomplete","Complete")</f>
        <v>Complete</v>
      </c>
      <c r="N1476" t="str">
        <f>IF(M1476="Incomplete","Not checked",IF(ROUND(I1476*J1476,2)=ROUND(L1476,2),"Valid","Mismatch"))</f>
        <v>Valid</v>
      </c>
      <c r="O1476">
        <f t="shared" si="47"/>
        <v>594</v>
      </c>
    </row>
    <row r="1477" spans="1:15">
      <c r="A1477">
        <v>909</v>
      </c>
      <c r="B1477" t="str">
        <f t="shared" si="46"/>
        <v>2023-10</v>
      </c>
      <c r="C1477" s="1">
        <v>45228</v>
      </c>
      <c r="D1477" s="5">
        <v>0.82152777777777775</v>
      </c>
      <c r="E1477">
        <v>71</v>
      </c>
      <c r="F1477" t="s">
        <v>11</v>
      </c>
      <c r="G1477">
        <v>26</v>
      </c>
      <c r="H1477" t="s">
        <v>15</v>
      </c>
      <c r="I1477">
        <v>1</v>
      </c>
      <c r="J1477" s="6">
        <v>300</v>
      </c>
      <c r="K1477">
        <v>288</v>
      </c>
      <c r="L1477">
        <v>300</v>
      </c>
      <c r="M1477" t="str">
        <f>IF(OR(I1477="",J1477="",L1477=""),"Incomplete","Complete")</f>
        <v>Complete</v>
      </c>
      <c r="N1477" t="str">
        <f>IF(M1477="Incomplete","Not checked",IF(ROUND(I1477*J1477,2)=ROUND(L1477,2),"Valid","Mismatch"))</f>
        <v>Valid</v>
      </c>
      <c r="O1477">
        <f t="shared" si="47"/>
        <v>12</v>
      </c>
    </row>
    <row r="1478" spans="1:15">
      <c r="A1478">
        <v>1909</v>
      </c>
      <c r="B1478" t="str">
        <f t="shared" si="46"/>
        <v>2022-10</v>
      </c>
      <c r="C1478" s="1">
        <v>44856</v>
      </c>
      <c r="D1478" s="5">
        <v>0.82013888888888886</v>
      </c>
      <c r="E1478">
        <v>17</v>
      </c>
      <c r="F1478" t="s">
        <v>11</v>
      </c>
      <c r="G1478">
        <v>26</v>
      </c>
      <c r="H1478" t="s">
        <v>15</v>
      </c>
      <c r="I1478">
        <v>1</v>
      </c>
      <c r="J1478" s="6">
        <v>300</v>
      </c>
      <c r="K1478">
        <v>339</v>
      </c>
      <c r="L1478">
        <v>300</v>
      </c>
      <c r="M1478" t="str">
        <f>IF(OR(I1478="",J1478="",L1478=""),"Incomplete","Complete")</f>
        <v>Complete</v>
      </c>
      <c r="N1478" t="str">
        <f>IF(M1478="Incomplete","Not checked",IF(ROUND(I1478*J1478,2)=ROUND(L1478,2),"Valid","Mismatch"))</f>
        <v>Valid</v>
      </c>
      <c r="O1478">
        <f t="shared" si="47"/>
        <v>-39</v>
      </c>
    </row>
    <row r="1479" spans="1:15">
      <c r="A1479">
        <v>154</v>
      </c>
      <c r="B1479" t="str">
        <f t="shared" si="46"/>
        <v>2022-12</v>
      </c>
      <c r="C1479" s="1">
        <v>44919</v>
      </c>
      <c r="D1479" s="5">
        <v>0.74097222222222225</v>
      </c>
      <c r="E1479">
        <v>24</v>
      </c>
      <c r="F1479" t="s">
        <v>11</v>
      </c>
      <c r="G1479">
        <v>51</v>
      </c>
      <c r="H1479" t="s">
        <v>15</v>
      </c>
      <c r="I1479">
        <v>3</v>
      </c>
      <c r="J1479" s="6">
        <v>300</v>
      </c>
      <c r="K1479">
        <v>321</v>
      </c>
      <c r="L1479">
        <v>900</v>
      </c>
      <c r="M1479" t="str">
        <f>IF(OR(I1479="",J1479="",L1479=""),"Incomplete","Complete")</f>
        <v>Complete</v>
      </c>
      <c r="N1479" t="str">
        <f>IF(M1479="Incomplete","Not checked",IF(ROUND(I1479*J1479,2)=ROUND(L1479,2),"Valid","Mismatch"))</f>
        <v>Valid</v>
      </c>
      <c r="O1479">
        <f t="shared" si="47"/>
        <v>579</v>
      </c>
    </row>
    <row r="1480" spans="1:15">
      <c r="A1480">
        <v>1154</v>
      </c>
      <c r="B1480" t="str">
        <f t="shared" si="46"/>
        <v>2023-12</v>
      </c>
      <c r="C1480" s="1">
        <v>45276</v>
      </c>
      <c r="D1480" s="5">
        <v>0.90555555555555556</v>
      </c>
      <c r="E1480">
        <v>29</v>
      </c>
      <c r="F1480" t="s">
        <v>11</v>
      </c>
      <c r="G1480">
        <v>51</v>
      </c>
      <c r="H1480" t="s">
        <v>15</v>
      </c>
      <c r="I1480">
        <v>3</v>
      </c>
      <c r="J1480" s="6">
        <v>300</v>
      </c>
      <c r="K1480">
        <v>291</v>
      </c>
      <c r="L1480">
        <v>900</v>
      </c>
      <c r="M1480" t="str">
        <f>IF(OR(I1480="",J1480="",L1480=""),"Incomplete","Complete")</f>
        <v>Complete</v>
      </c>
      <c r="N1480" t="str">
        <f>IF(M1480="Incomplete","Not checked",IF(ROUND(I1480*J1480,2)=ROUND(L1480,2),"Valid","Mismatch"))</f>
        <v>Valid</v>
      </c>
      <c r="O1480">
        <f t="shared" si="47"/>
        <v>609</v>
      </c>
    </row>
    <row r="1481" spans="1:15">
      <c r="A1481">
        <v>373</v>
      </c>
      <c r="B1481" t="str">
        <f t="shared" si="46"/>
        <v>2022-09</v>
      </c>
      <c r="C1481" s="1">
        <v>44827</v>
      </c>
      <c r="D1481" s="5">
        <v>0.92986111111111114</v>
      </c>
      <c r="E1481">
        <v>78</v>
      </c>
      <c r="F1481" t="s">
        <v>14</v>
      </c>
      <c r="G1481">
        <v>25</v>
      </c>
      <c r="H1481" t="s">
        <v>13</v>
      </c>
      <c r="I1481">
        <v>2</v>
      </c>
      <c r="J1481" s="6">
        <v>300</v>
      </c>
      <c r="K1481">
        <v>333</v>
      </c>
      <c r="L1481">
        <v>600</v>
      </c>
      <c r="M1481" t="str">
        <f>IF(OR(I1481="",J1481="",L1481=""),"Incomplete","Complete")</f>
        <v>Complete</v>
      </c>
      <c r="N1481" t="str">
        <f>IF(M1481="Incomplete","Not checked",IF(ROUND(I1481*J1481,2)=ROUND(L1481,2),"Valid","Mismatch"))</f>
        <v>Valid</v>
      </c>
      <c r="O1481">
        <f t="shared" si="47"/>
        <v>267</v>
      </c>
    </row>
    <row r="1482" spans="1:15">
      <c r="A1482">
        <v>524</v>
      </c>
      <c r="B1482" t="str">
        <f t="shared" si="46"/>
        <v>2023-09</v>
      </c>
      <c r="C1482" s="1">
        <v>45186</v>
      </c>
      <c r="D1482" s="5">
        <v>0.82777777777777772</v>
      </c>
      <c r="E1482">
        <v>12</v>
      </c>
      <c r="F1482" t="s">
        <v>11</v>
      </c>
      <c r="G1482">
        <v>46</v>
      </c>
      <c r="H1482" t="s">
        <v>13</v>
      </c>
      <c r="I1482">
        <v>4</v>
      </c>
      <c r="J1482" s="6">
        <v>300</v>
      </c>
      <c r="K1482">
        <v>297</v>
      </c>
      <c r="L1482">
        <v>1200</v>
      </c>
      <c r="M1482" t="str">
        <f>IF(OR(I1482="",J1482="",L1482=""),"Incomplete","Complete")</f>
        <v>Complete</v>
      </c>
      <c r="N1482" t="str">
        <f>IF(M1482="Incomplete","Not checked",IF(ROUND(I1482*J1482,2)=ROUND(L1482,2),"Valid","Mismatch"))</f>
        <v>Valid</v>
      </c>
      <c r="O1482">
        <f t="shared" si="47"/>
        <v>903</v>
      </c>
    </row>
    <row r="1483" spans="1:15">
      <c r="A1483">
        <v>1373</v>
      </c>
      <c r="B1483" t="str">
        <f t="shared" si="46"/>
        <v>2023-10</v>
      </c>
      <c r="C1483" s="1">
        <v>45201</v>
      </c>
      <c r="D1483" s="5">
        <v>0.85138888888888886</v>
      </c>
      <c r="E1483">
        <v>64</v>
      </c>
      <c r="F1483" t="s">
        <v>14</v>
      </c>
      <c r="G1483">
        <v>25</v>
      </c>
      <c r="H1483" t="s">
        <v>13</v>
      </c>
      <c r="I1483">
        <v>2</v>
      </c>
      <c r="J1483" s="6">
        <v>300</v>
      </c>
      <c r="K1483">
        <v>294</v>
      </c>
      <c r="L1483">
        <v>600</v>
      </c>
      <c r="M1483" t="str">
        <f>IF(OR(I1483="",J1483="",L1483=""),"Incomplete","Complete")</f>
        <v>Complete</v>
      </c>
      <c r="N1483" t="str">
        <f>IF(M1483="Incomplete","Not checked",IF(ROUND(I1483*J1483,2)=ROUND(L1483,2),"Valid","Mismatch"))</f>
        <v>Valid</v>
      </c>
      <c r="O1483">
        <f t="shared" si="47"/>
        <v>306</v>
      </c>
    </row>
    <row r="1484" spans="1:15">
      <c r="A1484">
        <v>1524</v>
      </c>
      <c r="B1484" t="str">
        <f t="shared" si="46"/>
        <v>2022-10</v>
      </c>
      <c r="C1484" s="1">
        <v>44860</v>
      </c>
      <c r="D1484" s="5">
        <v>0.92361111111111116</v>
      </c>
      <c r="E1484">
        <v>115</v>
      </c>
      <c r="F1484" t="s">
        <v>11</v>
      </c>
      <c r="G1484">
        <v>46</v>
      </c>
      <c r="H1484" t="s">
        <v>13</v>
      </c>
      <c r="I1484">
        <v>4</v>
      </c>
      <c r="J1484" s="6">
        <v>300</v>
      </c>
      <c r="K1484">
        <v>321</v>
      </c>
      <c r="L1484">
        <v>1200</v>
      </c>
      <c r="M1484" t="str">
        <f>IF(OR(I1484="",J1484="",L1484=""),"Incomplete","Complete")</f>
        <v>Complete</v>
      </c>
      <c r="N1484" t="str">
        <f>IF(M1484="Incomplete","Not checked",IF(ROUND(I1484*J1484,2)=ROUND(L1484,2),"Valid","Mismatch"))</f>
        <v>Valid</v>
      </c>
      <c r="O1484">
        <f t="shared" si="47"/>
        <v>879</v>
      </c>
    </row>
    <row r="1485" spans="1:15">
      <c r="A1485">
        <v>290</v>
      </c>
      <c r="B1485" t="str">
        <f t="shared" si="46"/>
        <v>2023-12</v>
      </c>
      <c r="C1485" s="1">
        <v>45268</v>
      </c>
      <c r="D1485" s="5">
        <v>0.90208333333333335</v>
      </c>
      <c r="E1485">
        <v>86</v>
      </c>
      <c r="F1485" t="s">
        <v>14</v>
      </c>
      <c r="G1485">
        <v>30</v>
      </c>
      <c r="H1485" t="s">
        <v>13</v>
      </c>
      <c r="I1485">
        <v>2</v>
      </c>
      <c r="J1485" s="6">
        <v>300</v>
      </c>
      <c r="K1485">
        <v>342</v>
      </c>
      <c r="L1485">
        <v>600</v>
      </c>
      <c r="M1485" t="str">
        <f>IF(OR(I1485="",J1485="",L1485=""),"Incomplete","Complete")</f>
        <v>Complete</v>
      </c>
      <c r="N1485" t="str">
        <f>IF(M1485="Incomplete","Not checked",IF(ROUND(I1485*J1485,2)=ROUND(L1485,2),"Valid","Mismatch"))</f>
        <v>Valid</v>
      </c>
      <c r="O1485">
        <f t="shared" si="47"/>
        <v>258</v>
      </c>
    </row>
    <row r="1486" spans="1:15">
      <c r="A1486">
        <v>1290</v>
      </c>
      <c r="B1486" t="str">
        <f t="shared" si="46"/>
        <v>2022-12</v>
      </c>
      <c r="C1486" s="1">
        <v>44925</v>
      </c>
      <c r="D1486" s="5">
        <v>0.94444444444444442</v>
      </c>
      <c r="E1486">
        <v>66</v>
      </c>
      <c r="F1486" t="s">
        <v>14</v>
      </c>
      <c r="G1486">
        <v>30</v>
      </c>
      <c r="H1486" t="s">
        <v>13</v>
      </c>
      <c r="I1486">
        <v>2</v>
      </c>
      <c r="J1486" s="6">
        <v>300</v>
      </c>
      <c r="K1486">
        <v>318</v>
      </c>
      <c r="L1486">
        <v>600</v>
      </c>
      <c r="M1486" t="str">
        <f>IF(OR(I1486="",J1486="",L1486=""),"Incomplete","Complete")</f>
        <v>Complete</v>
      </c>
      <c r="N1486" t="str">
        <f>IF(M1486="Incomplete","Not checked",IF(ROUND(I1486*J1486,2)=ROUND(L1486,2),"Valid","Mismatch"))</f>
        <v>Valid</v>
      </c>
      <c r="O1486">
        <f t="shared" si="47"/>
        <v>282</v>
      </c>
    </row>
    <row r="1487" spans="1:15">
      <c r="A1487">
        <v>437</v>
      </c>
      <c r="B1487" t="str">
        <f t="shared" si="46"/>
        <v>2023-11</v>
      </c>
      <c r="C1487" s="1">
        <v>45256</v>
      </c>
      <c r="D1487" s="5">
        <v>0.78680555555555554</v>
      </c>
      <c r="E1487">
        <v>56</v>
      </c>
      <c r="F1487" t="s">
        <v>14</v>
      </c>
      <c r="G1487">
        <v>35</v>
      </c>
      <c r="H1487" t="s">
        <v>15</v>
      </c>
      <c r="I1487">
        <v>4</v>
      </c>
      <c r="J1487" s="6">
        <v>300</v>
      </c>
      <c r="K1487">
        <v>345</v>
      </c>
      <c r="L1487">
        <v>1200</v>
      </c>
      <c r="M1487" t="str">
        <f>IF(OR(I1487="",J1487="",L1487=""),"Incomplete","Complete")</f>
        <v>Complete</v>
      </c>
      <c r="N1487" t="str">
        <f>IF(M1487="Incomplete","Not checked",IF(ROUND(I1487*J1487,2)=ROUND(L1487,2),"Valid","Mismatch"))</f>
        <v>Valid</v>
      </c>
      <c r="O1487">
        <f t="shared" si="47"/>
        <v>855</v>
      </c>
    </row>
    <row r="1488" spans="1:15">
      <c r="A1488">
        <v>1437</v>
      </c>
      <c r="B1488" t="str">
        <f t="shared" si="46"/>
        <v>2023-09</v>
      </c>
      <c r="C1488" s="1">
        <v>45173</v>
      </c>
      <c r="D1488" s="5">
        <v>0.80486111111111114</v>
      </c>
      <c r="E1488">
        <v>76</v>
      </c>
      <c r="F1488" t="s">
        <v>14</v>
      </c>
      <c r="G1488">
        <v>35</v>
      </c>
      <c r="H1488" t="s">
        <v>15</v>
      </c>
      <c r="I1488">
        <v>4</v>
      </c>
      <c r="J1488" s="6">
        <v>300</v>
      </c>
      <c r="K1488">
        <v>372</v>
      </c>
      <c r="L1488">
        <v>1200</v>
      </c>
      <c r="M1488" t="str">
        <f>IF(OR(I1488="",J1488="",L1488=""),"Incomplete","Complete")</f>
        <v>Complete</v>
      </c>
      <c r="N1488" t="str">
        <f>IF(M1488="Incomplete","Not checked",IF(ROUND(I1488*J1488,2)=ROUND(L1488,2),"Valid","Mismatch"))</f>
        <v>Valid</v>
      </c>
      <c r="O1488">
        <f t="shared" si="47"/>
        <v>828</v>
      </c>
    </row>
    <row r="1489" spans="1:15">
      <c r="A1489">
        <v>441</v>
      </c>
      <c r="B1489" t="str">
        <f t="shared" si="46"/>
        <v>2023-11</v>
      </c>
      <c r="C1489" s="1">
        <v>45236</v>
      </c>
      <c r="D1489" s="5">
        <v>0.91666666666666663</v>
      </c>
      <c r="E1489">
        <v>85</v>
      </c>
      <c r="F1489" t="s">
        <v>11</v>
      </c>
      <c r="G1489">
        <v>57</v>
      </c>
      <c r="H1489" t="s">
        <v>13</v>
      </c>
      <c r="I1489">
        <v>4</v>
      </c>
      <c r="J1489" s="6">
        <v>300</v>
      </c>
      <c r="K1489">
        <v>351</v>
      </c>
      <c r="L1489">
        <v>1200</v>
      </c>
      <c r="M1489" t="str">
        <f>IF(OR(I1489="",J1489="",L1489=""),"Incomplete","Complete")</f>
        <v>Complete</v>
      </c>
      <c r="N1489" t="str">
        <f>IF(M1489="Incomplete","Not checked",IF(ROUND(I1489*J1489,2)=ROUND(L1489,2),"Valid","Mismatch"))</f>
        <v>Valid</v>
      </c>
      <c r="O1489">
        <f t="shared" si="47"/>
        <v>849</v>
      </c>
    </row>
    <row r="1490" spans="1:15">
      <c r="A1490">
        <v>976</v>
      </c>
      <c r="B1490" t="str">
        <f t="shared" si="46"/>
        <v>2023-10</v>
      </c>
      <c r="C1490" s="1">
        <v>45207</v>
      </c>
      <c r="D1490" s="5">
        <v>0.82638888888888884</v>
      </c>
      <c r="E1490">
        <v>56</v>
      </c>
      <c r="F1490" t="s">
        <v>14</v>
      </c>
      <c r="G1490">
        <v>48</v>
      </c>
      <c r="H1490" t="s">
        <v>13</v>
      </c>
      <c r="I1490">
        <v>2</v>
      </c>
      <c r="J1490" s="6">
        <v>300</v>
      </c>
      <c r="K1490">
        <v>345</v>
      </c>
      <c r="L1490">
        <v>600</v>
      </c>
      <c r="M1490" t="str">
        <f>IF(OR(I1490="",J1490="",L1490=""),"Incomplete","Complete")</f>
        <v>Complete</v>
      </c>
      <c r="N1490" t="str">
        <f>IF(M1490="Incomplete","Not checked",IF(ROUND(I1490*J1490,2)=ROUND(L1490,2),"Valid","Mismatch"))</f>
        <v>Valid</v>
      </c>
      <c r="O1490">
        <f t="shared" si="47"/>
        <v>255</v>
      </c>
    </row>
    <row r="1491" spans="1:15">
      <c r="A1491">
        <v>1441</v>
      </c>
      <c r="B1491" t="str">
        <f t="shared" si="46"/>
        <v>2023-10</v>
      </c>
      <c r="C1491" s="1">
        <v>45203</v>
      </c>
      <c r="D1491" s="5">
        <v>0.90138888888888891</v>
      </c>
      <c r="E1491">
        <v>63</v>
      </c>
      <c r="F1491" t="s">
        <v>11</v>
      </c>
      <c r="G1491">
        <v>57</v>
      </c>
      <c r="H1491" t="s">
        <v>13</v>
      </c>
      <c r="I1491">
        <v>4</v>
      </c>
      <c r="J1491" s="6">
        <v>300</v>
      </c>
      <c r="K1491">
        <v>354</v>
      </c>
      <c r="L1491">
        <v>1200</v>
      </c>
      <c r="M1491" t="str">
        <f>IF(OR(I1491="",J1491="",L1491=""),"Incomplete","Complete")</f>
        <v>Complete</v>
      </c>
      <c r="N1491" t="str">
        <f>IF(M1491="Incomplete","Not checked",IF(ROUND(I1491*J1491,2)=ROUND(L1491,2),"Valid","Mismatch"))</f>
        <v>Valid</v>
      </c>
      <c r="O1491">
        <f t="shared" si="47"/>
        <v>846</v>
      </c>
    </row>
    <row r="1492" spans="1:15">
      <c r="A1492">
        <v>1976</v>
      </c>
      <c r="B1492" t="str">
        <f t="shared" si="46"/>
        <v>2023-10</v>
      </c>
      <c r="C1492" s="1">
        <v>45214</v>
      </c>
      <c r="D1492" s="5">
        <v>0.88194444444444442</v>
      </c>
      <c r="E1492">
        <v>108</v>
      </c>
      <c r="F1492" t="s">
        <v>14</v>
      </c>
      <c r="G1492">
        <v>48</v>
      </c>
      <c r="H1492" t="s">
        <v>13</v>
      </c>
      <c r="I1492">
        <v>2</v>
      </c>
      <c r="J1492" s="6">
        <v>300</v>
      </c>
      <c r="K1492">
        <v>360</v>
      </c>
      <c r="L1492">
        <v>600</v>
      </c>
      <c r="M1492" t="str">
        <f>IF(OR(I1492="",J1492="",L1492=""),"Incomplete","Complete")</f>
        <v>Complete</v>
      </c>
      <c r="N1492" t="str">
        <f>IF(M1492="Incomplete","Not checked",IF(ROUND(I1492*J1492,2)=ROUND(L1492,2),"Valid","Mismatch"))</f>
        <v>Valid</v>
      </c>
      <c r="O1492">
        <f t="shared" si="47"/>
        <v>240</v>
      </c>
    </row>
    <row r="1493" spans="1:15">
      <c r="A1493">
        <v>401</v>
      </c>
      <c r="B1493" t="str">
        <f t="shared" si="46"/>
        <v>2023-12</v>
      </c>
      <c r="C1493" s="1">
        <v>45263</v>
      </c>
      <c r="D1493" s="5">
        <v>0.79374999999999996</v>
      </c>
      <c r="E1493">
        <v>51</v>
      </c>
      <c r="F1493" t="s">
        <v>14</v>
      </c>
      <c r="G1493">
        <v>62</v>
      </c>
      <c r="H1493" t="s">
        <v>12</v>
      </c>
      <c r="I1493">
        <v>1</v>
      </c>
      <c r="J1493" s="6">
        <v>300</v>
      </c>
      <c r="K1493">
        <v>372</v>
      </c>
      <c r="L1493">
        <v>300</v>
      </c>
      <c r="M1493" t="str">
        <f>IF(OR(I1493="",J1493="",L1493=""),"Incomplete","Complete")</f>
        <v>Complete</v>
      </c>
      <c r="N1493" t="str">
        <f>IF(M1493="Incomplete","Not checked",IF(ROUND(I1493*J1493,2)=ROUND(L1493,2),"Valid","Mismatch"))</f>
        <v>Valid</v>
      </c>
      <c r="O1493">
        <f t="shared" si="47"/>
        <v>-72</v>
      </c>
    </row>
    <row r="1494" spans="1:15">
      <c r="A1494">
        <v>1401</v>
      </c>
      <c r="B1494" t="str">
        <f t="shared" si="46"/>
        <v>2022-10</v>
      </c>
      <c r="C1494" s="1">
        <v>44835</v>
      </c>
      <c r="D1494" s="5">
        <v>0.88888888888888884</v>
      </c>
      <c r="E1494">
        <v>85</v>
      </c>
      <c r="F1494" t="s">
        <v>14</v>
      </c>
      <c r="G1494">
        <v>62</v>
      </c>
      <c r="H1494" t="s">
        <v>12</v>
      </c>
      <c r="I1494">
        <v>1</v>
      </c>
      <c r="J1494" s="6">
        <v>300</v>
      </c>
      <c r="K1494">
        <v>294</v>
      </c>
      <c r="L1494">
        <v>300</v>
      </c>
      <c r="M1494" t="str">
        <f>IF(OR(I1494="",J1494="",L1494=""),"Incomplete","Complete")</f>
        <v>Complete</v>
      </c>
      <c r="N1494" t="str">
        <f>IF(M1494="Incomplete","Not checked",IF(ROUND(I1494*J1494,2)=ROUND(L1494,2),"Valid","Mismatch"))</f>
        <v>Valid</v>
      </c>
      <c r="O1494">
        <f t="shared" si="47"/>
        <v>6</v>
      </c>
    </row>
    <row r="1495" spans="1:15">
      <c r="A1495">
        <v>852</v>
      </c>
      <c r="B1495" t="str">
        <f t="shared" si="46"/>
        <v>2022-10</v>
      </c>
      <c r="C1495" s="1">
        <v>44835</v>
      </c>
      <c r="D1495" s="5">
        <v>0.81597222222222221</v>
      </c>
      <c r="E1495">
        <v>82</v>
      </c>
      <c r="F1495" t="s">
        <v>14</v>
      </c>
      <c r="G1495">
        <v>41</v>
      </c>
      <c r="H1495" t="s">
        <v>12</v>
      </c>
      <c r="I1495">
        <v>1</v>
      </c>
      <c r="J1495" s="6">
        <v>300</v>
      </c>
      <c r="K1495">
        <v>375</v>
      </c>
      <c r="L1495">
        <v>300</v>
      </c>
      <c r="M1495" t="str">
        <f>IF(OR(I1495="",J1495="",L1495=""),"Incomplete","Complete")</f>
        <v>Complete</v>
      </c>
      <c r="N1495" t="str">
        <f>IF(M1495="Incomplete","Not checked",IF(ROUND(I1495*J1495,2)=ROUND(L1495,2),"Valid","Mismatch"))</f>
        <v>Valid</v>
      </c>
      <c r="O1495">
        <f t="shared" si="47"/>
        <v>-75</v>
      </c>
    </row>
    <row r="1496" spans="1:15">
      <c r="A1496">
        <v>1852</v>
      </c>
      <c r="B1496" t="str">
        <f t="shared" si="46"/>
        <v>2023-10</v>
      </c>
      <c r="C1496" s="1">
        <v>45210</v>
      </c>
      <c r="D1496" s="5">
        <v>0.75624999999999998</v>
      </c>
      <c r="E1496">
        <v>109</v>
      </c>
      <c r="F1496" t="s">
        <v>14</v>
      </c>
      <c r="G1496">
        <v>41</v>
      </c>
      <c r="H1496" t="s">
        <v>12</v>
      </c>
      <c r="I1496">
        <v>1</v>
      </c>
      <c r="J1496" s="6">
        <v>300</v>
      </c>
      <c r="K1496">
        <v>333</v>
      </c>
      <c r="L1496">
        <v>300</v>
      </c>
      <c r="M1496" t="str">
        <f>IF(OR(I1496="",J1496="",L1496=""),"Incomplete","Complete")</f>
        <v>Complete</v>
      </c>
      <c r="N1496" t="str">
        <f>IF(M1496="Incomplete","Not checked",IF(ROUND(I1496*J1496,2)=ROUND(L1496,2),"Valid","Mismatch"))</f>
        <v>Valid</v>
      </c>
      <c r="O1496">
        <f t="shared" si="47"/>
        <v>-33</v>
      </c>
    </row>
    <row r="1497" spans="1:15">
      <c r="A1497">
        <v>431</v>
      </c>
      <c r="B1497" t="str">
        <f t="shared" si="46"/>
        <v>2022-10</v>
      </c>
      <c r="C1497" s="1">
        <v>44863</v>
      </c>
      <c r="D1497" s="5">
        <v>0.91805555555555551</v>
      </c>
      <c r="E1497">
        <v>99</v>
      </c>
      <c r="F1497" t="s">
        <v>11</v>
      </c>
      <c r="G1497">
        <v>63</v>
      </c>
      <c r="H1497" t="s">
        <v>15</v>
      </c>
      <c r="I1497">
        <v>4</v>
      </c>
      <c r="J1497" s="6">
        <v>300</v>
      </c>
      <c r="K1497">
        <v>345</v>
      </c>
      <c r="L1497">
        <v>1200</v>
      </c>
      <c r="M1497" t="str">
        <f>IF(OR(I1497="",J1497="",L1497=""),"Incomplete","Complete")</f>
        <v>Complete</v>
      </c>
      <c r="N1497" t="str">
        <f>IF(M1497="Incomplete","Not checked",IF(ROUND(I1497*J1497,2)=ROUND(L1497,2),"Valid","Mismatch"))</f>
        <v>Valid</v>
      </c>
      <c r="O1497">
        <f t="shared" si="47"/>
        <v>855</v>
      </c>
    </row>
    <row r="1498" spans="1:15">
      <c r="A1498">
        <v>1431</v>
      </c>
      <c r="B1498" t="str">
        <f t="shared" si="46"/>
        <v>2023-09</v>
      </c>
      <c r="C1498" s="1">
        <v>45197</v>
      </c>
      <c r="D1498" s="5">
        <v>0.89444444444444449</v>
      </c>
      <c r="E1498">
        <v>114</v>
      </c>
      <c r="F1498" t="s">
        <v>11</v>
      </c>
      <c r="G1498">
        <v>63</v>
      </c>
      <c r="H1498" t="s">
        <v>15</v>
      </c>
      <c r="I1498">
        <v>4</v>
      </c>
      <c r="J1498" s="6">
        <v>300</v>
      </c>
      <c r="K1498">
        <v>312</v>
      </c>
      <c r="L1498">
        <v>1200</v>
      </c>
      <c r="M1498" t="str">
        <f>IF(OR(I1498="",J1498="",L1498=""),"Incomplete","Complete")</f>
        <v>Complete</v>
      </c>
      <c r="N1498" t="str">
        <f>IF(M1498="Incomplete","Not checked",IF(ROUND(I1498*J1498,2)=ROUND(L1498,2),"Valid","Mismatch"))</f>
        <v>Valid</v>
      </c>
      <c r="O1498">
        <f t="shared" si="47"/>
        <v>888</v>
      </c>
    </row>
    <row r="1499" spans="1:15">
      <c r="A1499">
        <v>943</v>
      </c>
      <c r="B1499" t="str">
        <f t="shared" si="46"/>
        <v>2022-11</v>
      </c>
      <c r="C1499" s="1">
        <v>44870</v>
      </c>
      <c r="D1499" s="5">
        <v>0.81180555555555556</v>
      </c>
      <c r="E1499">
        <v>90</v>
      </c>
      <c r="F1499" t="s">
        <v>14</v>
      </c>
      <c r="G1499">
        <v>57</v>
      </c>
      <c r="H1499" t="s">
        <v>12</v>
      </c>
      <c r="I1499">
        <v>4</v>
      </c>
      <c r="J1499" s="6">
        <v>300</v>
      </c>
      <c r="K1499">
        <v>318</v>
      </c>
      <c r="L1499">
        <v>1200</v>
      </c>
      <c r="M1499" t="str">
        <f>IF(OR(I1499="",J1499="",L1499=""),"Incomplete","Complete")</f>
        <v>Complete</v>
      </c>
      <c r="N1499" t="str">
        <f>IF(M1499="Incomplete","Not checked",IF(ROUND(I1499*J1499,2)=ROUND(L1499,2),"Valid","Mismatch"))</f>
        <v>Valid</v>
      </c>
      <c r="O1499">
        <f t="shared" si="47"/>
        <v>882</v>
      </c>
    </row>
    <row r="1500" spans="1:15">
      <c r="A1500">
        <v>1943</v>
      </c>
      <c r="B1500" t="str">
        <f t="shared" si="46"/>
        <v>2023-11</v>
      </c>
      <c r="C1500" s="1">
        <v>45247</v>
      </c>
      <c r="D1500" s="5">
        <v>0.875</v>
      </c>
      <c r="E1500">
        <v>108</v>
      </c>
      <c r="F1500" t="s">
        <v>14</v>
      </c>
      <c r="G1500">
        <v>57</v>
      </c>
      <c r="H1500" t="s">
        <v>12</v>
      </c>
      <c r="I1500">
        <v>4</v>
      </c>
      <c r="J1500" s="6">
        <v>300</v>
      </c>
      <c r="K1500">
        <v>321</v>
      </c>
      <c r="L1500">
        <v>1200</v>
      </c>
      <c r="M1500" t="str">
        <f>IF(OR(I1500="",J1500="",L1500=""),"Incomplete","Complete")</f>
        <v>Complete</v>
      </c>
      <c r="N1500" t="str">
        <f>IF(M1500="Incomplete","Not checked",IF(ROUND(I1500*J1500,2)=ROUND(L1500,2),"Valid","Mismatch"))</f>
        <v>Valid</v>
      </c>
      <c r="O1500">
        <f t="shared" si="47"/>
        <v>879</v>
      </c>
    </row>
    <row r="1501" spans="1:15">
      <c r="A1501">
        <v>340</v>
      </c>
      <c r="B1501" t="str">
        <f t="shared" si="46"/>
        <v>2023-09</v>
      </c>
      <c r="C1501" s="1">
        <v>45188</v>
      </c>
      <c r="D1501" s="5">
        <v>0.95763888888888893</v>
      </c>
      <c r="E1501">
        <v>54</v>
      </c>
      <c r="F1501" t="s">
        <v>14</v>
      </c>
      <c r="G1501">
        <v>36</v>
      </c>
      <c r="H1501" t="s">
        <v>12</v>
      </c>
      <c r="I1501">
        <v>4</v>
      </c>
      <c r="J1501" s="6">
        <v>300</v>
      </c>
      <c r="K1501">
        <v>294</v>
      </c>
      <c r="L1501">
        <v>1200</v>
      </c>
      <c r="M1501" t="str">
        <f>IF(OR(I1501="",J1501="",L1501=""),"Incomplete","Complete")</f>
        <v>Complete</v>
      </c>
      <c r="N1501" t="str">
        <f>IF(M1501="Incomplete","Not checked",IF(ROUND(I1501*J1501,2)=ROUND(L1501,2),"Valid","Mismatch"))</f>
        <v>Valid</v>
      </c>
      <c r="O1501">
        <f t="shared" si="47"/>
        <v>906</v>
      </c>
    </row>
    <row r="1502" spans="1:15">
      <c r="A1502">
        <v>555</v>
      </c>
      <c r="B1502" t="str">
        <f t="shared" si="46"/>
        <v>2022-12</v>
      </c>
      <c r="C1502" s="1">
        <v>44909</v>
      </c>
      <c r="D1502" s="5">
        <v>0.81597222222222221</v>
      </c>
      <c r="E1502">
        <v>103</v>
      </c>
      <c r="F1502" t="s">
        <v>11</v>
      </c>
      <c r="G1502">
        <v>25</v>
      </c>
      <c r="H1502" t="s">
        <v>13</v>
      </c>
      <c r="I1502">
        <v>1</v>
      </c>
      <c r="J1502" s="6">
        <v>300</v>
      </c>
      <c r="K1502">
        <v>360</v>
      </c>
      <c r="L1502">
        <v>300</v>
      </c>
      <c r="M1502" t="str">
        <f>IF(OR(I1502="",J1502="",L1502=""),"Incomplete","Complete")</f>
        <v>Complete</v>
      </c>
      <c r="N1502" t="str">
        <f>IF(M1502="Incomplete","Not checked",IF(ROUND(I1502*J1502,2)=ROUND(L1502,2),"Valid","Mismatch"))</f>
        <v>Valid</v>
      </c>
      <c r="O1502">
        <f t="shared" si="47"/>
        <v>-60</v>
      </c>
    </row>
    <row r="1503" spans="1:15">
      <c r="A1503">
        <v>826</v>
      </c>
      <c r="B1503" t="str">
        <f t="shared" si="46"/>
        <v>2022-12</v>
      </c>
      <c r="C1503" s="1">
        <v>44919</v>
      </c>
      <c r="D1503" s="5">
        <v>0.79722222222222228</v>
      </c>
      <c r="E1503">
        <v>81</v>
      </c>
      <c r="F1503" t="s">
        <v>14</v>
      </c>
      <c r="G1503">
        <v>46</v>
      </c>
      <c r="H1503" t="s">
        <v>12</v>
      </c>
      <c r="I1503">
        <v>1</v>
      </c>
      <c r="J1503" s="6">
        <v>300</v>
      </c>
      <c r="K1503">
        <v>303</v>
      </c>
      <c r="L1503">
        <v>300</v>
      </c>
      <c r="M1503" t="str">
        <f>IF(OR(I1503="",J1503="",L1503=""),"Incomplete","Complete")</f>
        <v>Complete</v>
      </c>
      <c r="N1503" t="str">
        <f>IF(M1503="Incomplete","Not checked",IF(ROUND(I1503*J1503,2)=ROUND(L1503,2),"Valid","Mismatch"))</f>
        <v>Valid</v>
      </c>
      <c r="O1503">
        <f t="shared" si="47"/>
        <v>-3</v>
      </c>
    </row>
    <row r="1504" spans="1:15">
      <c r="A1504">
        <v>1340</v>
      </c>
      <c r="B1504" t="str">
        <f t="shared" si="46"/>
        <v>2023-10</v>
      </c>
      <c r="C1504" s="1">
        <v>45229</v>
      </c>
      <c r="D1504" s="5">
        <v>0.87152777777777779</v>
      </c>
      <c r="E1504">
        <v>92</v>
      </c>
      <c r="F1504" t="s">
        <v>14</v>
      </c>
      <c r="G1504">
        <v>36</v>
      </c>
      <c r="H1504" t="s">
        <v>12</v>
      </c>
      <c r="I1504">
        <v>4</v>
      </c>
      <c r="J1504" s="6">
        <v>300</v>
      </c>
      <c r="K1504">
        <v>348</v>
      </c>
      <c r="L1504">
        <v>1200</v>
      </c>
      <c r="M1504" t="str">
        <f>IF(OR(I1504="",J1504="",L1504=""),"Incomplete","Complete")</f>
        <v>Complete</v>
      </c>
      <c r="N1504" t="str">
        <f>IF(M1504="Incomplete","Not checked",IF(ROUND(I1504*J1504,2)=ROUND(L1504,2),"Valid","Mismatch"))</f>
        <v>Valid</v>
      </c>
      <c r="O1504">
        <f t="shared" si="47"/>
        <v>852</v>
      </c>
    </row>
    <row r="1505" spans="1:15">
      <c r="A1505">
        <v>1555</v>
      </c>
      <c r="B1505" t="str">
        <f t="shared" si="46"/>
        <v>2022-12</v>
      </c>
      <c r="C1505" s="1">
        <v>44914</v>
      </c>
      <c r="D1505" s="5">
        <v>0.78749999999999998</v>
      </c>
      <c r="E1505">
        <v>55</v>
      </c>
      <c r="F1505" t="s">
        <v>11</v>
      </c>
      <c r="G1505">
        <v>25</v>
      </c>
      <c r="H1505" t="s">
        <v>13</v>
      </c>
      <c r="I1505">
        <v>1</v>
      </c>
      <c r="J1505" s="6">
        <v>300</v>
      </c>
      <c r="K1505">
        <v>312</v>
      </c>
      <c r="L1505">
        <v>300</v>
      </c>
      <c r="M1505" t="str">
        <f>IF(OR(I1505="",J1505="",L1505=""),"Incomplete","Complete")</f>
        <v>Complete</v>
      </c>
      <c r="N1505" t="str">
        <f>IF(M1505="Incomplete","Not checked",IF(ROUND(I1505*J1505,2)=ROUND(L1505,2),"Valid","Mismatch"))</f>
        <v>Valid</v>
      </c>
      <c r="O1505">
        <f t="shared" si="47"/>
        <v>-12</v>
      </c>
    </row>
    <row r="1506" spans="1:15">
      <c r="A1506">
        <v>1826</v>
      </c>
      <c r="B1506" t="str">
        <f t="shared" si="46"/>
        <v>2022-12</v>
      </c>
      <c r="C1506" s="1">
        <v>44925</v>
      </c>
      <c r="D1506" s="5">
        <v>0.92013888888888884</v>
      </c>
      <c r="E1506">
        <v>104</v>
      </c>
      <c r="F1506" t="s">
        <v>14</v>
      </c>
      <c r="G1506">
        <v>46</v>
      </c>
      <c r="H1506" t="s">
        <v>12</v>
      </c>
      <c r="I1506">
        <v>1</v>
      </c>
      <c r="J1506" s="6">
        <v>300</v>
      </c>
      <c r="K1506">
        <v>297</v>
      </c>
      <c r="L1506">
        <v>300</v>
      </c>
      <c r="M1506" t="str">
        <f>IF(OR(I1506="",J1506="",L1506=""),"Incomplete","Complete")</f>
        <v>Complete</v>
      </c>
      <c r="N1506" t="str">
        <f>IF(M1506="Incomplete","Not checked",IF(ROUND(I1506*J1506,2)=ROUND(L1506,2),"Valid","Mismatch"))</f>
        <v>Valid</v>
      </c>
      <c r="O1506">
        <f t="shared" si="47"/>
        <v>3</v>
      </c>
    </row>
    <row r="1507" spans="1:15">
      <c r="A1507">
        <v>680</v>
      </c>
      <c r="B1507" t="str">
        <f t="shared" si="46"/>
        <v>2022-12</v>
      </c>
      <c r="C1507" s="1">
        <v>44896</v>
      </c>
      <c r="D1507" s="5">
        <v>0.9194444444444444</v>
      </c>
      <c r="E1507">
        <v>110</v>
      </c>
      <c r="F1507" t="s">
        <v>14</v>
      </c>
      <c r="G1507">
        <v>53</v>
      </c>
      <c r="H1507" t="s">
        <v>12</v>
      </c>
      <c r="I1507">
        <v>3</v>
      </c>
      <c r="J1507" s="6">
        <v>300</v>
      </c>
      <c r="K1507">
        <v>330</v>
      </c>
      <c r="L1507">
        <v>900</v>
      </c>
      <c r="M1507" t="str">
        <f>IF(OR(I1507="",J1507="",L1507=""),"Incomplete","Complete")</f>
        <v>Complete</v>
      </c>
      <c r="N1507" t="str">
        <f>IF(M1507="Incomplete","Not checked",IF(ROUND(I1507*J1507,2)=ROUND(L1507,2),"Valid","Mismatch"))</f>
        <v>Valid</v>
      </c>
      <c r="O1507">
        <f t="shared" si="47"/>
        <v>570</v>
      </c>
    </row>
    <row r="1508" spans="1:15">
      <c r="A1508">
        <v>1680</v>
      </c>
      <c r="B1508" t="str">
        <f t="shared" si="46"/>
        <v>2023-09</v>
      </c>
      <c r="C1508" s="1">
        <v>45172</v>
      </c>
      <c r="D1508" s="5">
        <v>0.71666666666666667</v>
      </c>
      <c r="E1508">
        <v>72</v>
      </c>
      <c r="F1508" t="s">
        <v>14</v>
      </c>
      <c r="G1508">
        <v>53</v>
      </c>
      <c r="H1508" t="s">
        <v>12</v>
      </c>
      <c r="I1508">
        <v>3</v>
      </c>
      <c r="J1508" s="6">
        <v>300</v>
      </c>
      <c r="K1508">
        <v>324</v>
      </c>
      <c r="L1508">
        <v>900</v>
      </c>
      <c r="M1508" t="str">
        <f>IF(OR(I1508="",J1508="",L1508=""),"Incomplete","Complete")</f>
        <v>Complete</v>
      </c>
      <c r="N1508" t="str">
        <f>IF(M1508="Incomplete","Not checked",IF(ROUND(I1508*J1508,2)=ROUND(L1508,2),"Valid","Mismatch"))</f>
        <v>Valid</v>
      </c>
      <c r="O1508">
        <f t="shared" si="47"/>
        <v>576</v>
      </c>
    </row>
    <row r="1509" spans="1:15">
      <c r="A1509">
        <v>440</v>
      </c>
      <c r="B1509" t="str">
        <f t="shared" si="46"/>
        <v>2023-11</v>
      </c>
      <c r="C1509" s="1">
        <v>45252</v>
      </c>
      <c r="D1509" s="5">
        <v>0.84375</v>
      </c>
      <c r="E1509">
        <v>110</v>
      </c>
      <c r="F1509" t="s">
        <v>11</v>
      </c>
      <c r="G1509">
        <v>64</v>
      </c>
      <c r="H1509" t="s">
        <v>12</v>
      </c>
      <c r="I1509">
        <v>2</v>
      </c>
      <c r="J1509" s="6">
        <v>300</v>
      </c>
      <c r="K1509">
        <v>348</v>
      </c>
      <c r="L1509">
        <v>600</v>
      </c>
      <c r="M1509" t="str">
        <f>IF(OR(I1509="",J1509="",L1509=""),"Incomplete","Complete")</f>
        <v>Complete</v>
      </c>
      <c r="N1509" t="str">
        <f>IF(M1509="Incomplete","Not checked",IF(ROUND(I1509*J1509,2)=ROUND(L1509,2),"Valid","Mismatch"))</f>
        <v>Valid</v>
      </c>
      <c r="O1509">
        <f t="shared" si="47"/>
        <v>252</v>
      </c>
    </row>
    <row r="1510" spans="1:15">
      <c r="A1510">
        <v>1440</v>
      </c>
      <c r="B1510" t="str">
        <f t="shared" si="46"/>
        <v>2023-09</v>
      </c>
      <c r="C1510" s="1">
        <v>45170</v>
      </c>
      <c r="D1510" s="5">
        <v>0.80555555555555558</v>
      </c>
      <c r="E1510">
        <v>86</v>
      </c>
      <c r="F1510" t="s">
        <v>11</v>
      </c>
      <c r="G1510">
        <v>64</v>
      </c>
      <c r="H1510" t="s">
        <v>12</v>
      </c>
      <c r="I1510">
        <v>2</v>
      </c>
      <c r="J1510" s="6">
        <v>300</v>
      </c>
      <c r="K1510">
        <v>354</v>
      </c>
      <c r="L1510">
        <v>600</v>
      </c>
      <c r="M1510" t="str">
        <f>IF(OR(I1510="",J1510="",L1510=""),"Incomplete","Complete")</f>
        <v>Complete</v>
      </c>
      <c r="N1510" t="str">
        <f>IF(M1510="Incomplete","Not checked",IF(ROUND(I1510*J1510,2)=ROUND(L1510,2),"Valid","Mismatch"))</f>
        <v>Valid</v>
      </c>
      <c r="O1510">
        <f t="shared" si="47"/>
        <v>246</v>
      </c>
    </row>
    <row r="1511" spans="1:15">
      <c r="A1511">
        <v>30</v>
      </c>
      <c r="B1511" t="str">
        <f t="shared" si="46"/>
        <v>2023-10</v>
      </c>
      <c r="C1511" s="1">
        <v>45209</v>
      </c>
      <c r="D1511" s="5">
        <v>0.83680555555555558</v>
      </c>
      <c r="E1511">
        <v>59</v>
      </c>
      <c r="F1511" t="s">
        <v>14</v>
      </c>
      <c r="G1511">
        <v>39</v>
      </c>
      <c r="H1511" t="s">
        <v>13</v>
      </c>
      <c r="I1511">
        <v>3</v>
      </c>
      <c r="J1511" s="6">
        <v>300</v>
      </c>
      <c r="K1511">
        <v>285</v>
      </c>
      <c r="L1511">
        <v>900</v>
      </c>
      <c r="M1511" t="str">
        <f>IF(OR(I1511="",J1511="",L1511=""),"Incomplete","Complete")</f>
        <v>Complete</v>
      </c>
      <c r="N1511" t="str">
        <f>IF(M1511="Incomplete","Not checked",IF(ROUND(I1511*J1511,2)=ROUND(L1511,2),"Valid","Mismatch"))</f>
        <v>Valid</v>
      </c>
      <c r="O1511">
        <f t="shared" si="47"/>
        <v>615</v>
      </c>
    </row>
    <row r="1512" spans="1:15">
      <c r="A1512">
        <v>1030</v>
      </c>
      <c r="B1512" t="str">
        <f t="shared" si="46"/>
        <v>2022-11</v>
      </c>
      <c r="C1512" s="1">
        <v>44892</v>
      </c>
      <c r="D1512" s="5">
        <v>0.75138888888888888</v>
      </c>
      <c r="E1512">
        <v>96</v>
      </c>
      <c r="F1512" t="s">
        <v>14</v>
      </c>
      <c r="G1512">
        <v>39</v>
      </c>
      <c r="H1512" t="s">
        <v>13</v>
      </c>
      <c r="I1512">
        <v>3</v>
      </c>
      <c r="J1512" s="6">
        <v>300</v>
      </c>
      <c r="K1512">
        <v>309</v>
      </c>
      <c r="L1512">
        <v>900</v>
      </c>
      <c r="M1512" t="str">
        <f>IF(OR(I1512="",J1512="",L1512=""),"Incomplete","Complete")</f>
        <v>Complete</v>
      </c>
      <c r="N1512" t="str">
        <f>IF(M1512="Incomplete","Not checked",IF(ROUND(I1512*J1512,2)=ROUND(L1512,2),"Valid","Mismatch"))</f>
        <v>Valid</v>
      </c>
      <c r="O1512">
        <f t="shared" si="47"/>
        <v>591</v>
      </c>
    </row>
    <row r="1513" spans="1:15">
      <c r="A1513">
        <v>334</v>
      </c>
      <c r="B1513" t="str">
        <f t="shared" si="46"/>
        <v>2022-10</v>
      </c>
      <c r="C1513" s="1">
        <v>44850</v>
      </c>
      <c r="D1513" s="5">
        <v>0.85902777777777772</v>
      </c>
      <c r="E1513">
        <v>103</v>
      </c>
      <c r="F1513" t="s">
        <v>11</v>
      </c>
      <c r="G1513">
        <v>31</v>
      </c>
      <c r="H1513" t="s">
        <v>15</v>
      </c>
      <c r="I1513">
        <v>3</v>
      </c>
      <c r="J1513" s="6">
        <v>300</v>
      </c>
      <c r="K1513">
        <v>360</v>
      </c>
      <c r="L1513">
        <v>900</v>
      </c>
      <c r="M1513" t="str">
        <f>IF(OR(I1513="",J1513="",L1513=""),"Incomplete","Complete")</f>
        <v>Complete</v>
      </c>
      <c r="N1513" t="str">
        <f>IF(M1513="Incomplete","Not checked",IF(ROUND(I1513*J1513,2)=ROUND(L1513,2),"Valid","Mismatch"))</f>
        <v>Valid</v>
      </c>
      <c r="O1513">
        <f t="shared" si="47"/>
        <v>540</v>
      </c>
    </row>
    <row r="1514" spans="1:15">
      <c r="A1514">
        <v>983</v>
      </c>
      <c r="B1514" t="str">
        <f t="shared" si="46"/>
        <v>2022-10</v>
      </c>
      <c r="C1514" s="1">
        <v>44844</v>
      </c>
      <c r="D1514" s="5">
        <v>0.84166666666666667</v>
      </c>
      <c r="E1514">
        <v>61</v>
      </c>
      <c r="F1514" t="s">
        <v>14</v>
      </c>
      <c r="G1514">
        <v>29</v>
      </c>
      <c r="H1514" t="s">
        <v>12</v>
      </c>
      <c r="I1514">
        <v>1</v>
      </c>
      <c r="J1514" s="6">
        <v>300</v>
      </c>
      <c r="K1514">
        <v>345</v>
      </c>
      <c r="L1514">
        <v>300</v>
      </c>
      <c r="M1514" t="str">
        <f>IF(OR(I1514="",J1514="",L1514=""),"Incomplete","Complete")</f>
        <v>Complete</v>
      </c>
      <c r="N1514" t="str">
        <f>IF(M1514="Incomplete","Not checked",IF(ROUND(I1514*J1514,2)=ROUND(L1514,2),"Valid","Mismatch"))</f>
        <v>Valid</v>
      </c>
      <c r="O1514">
        <f t="shared" si="47"/>
        <v>-45</v>
      </c>
    </row>
    <row r="1515" spans="1:15">
      <c r="A1515">
        <v>1334</v>
      </c>
      <c r="B1515" t="str">
        <f t="shared" si="46"/>
        <v>2022-09</v>
      </c>
      <c r="C1515" s="1">
        <v>44825</v>
      </c>
      <c r="D1515" s="5">
        <v>0.85902777777777772</v>
      </c>
      <c r="E1515">
        <v>60</v>
      </c>
      <c r="F1515" t="s">
        <v>11</v>
      </c>
      <c r="G1515">
        <v>31</v>
      </c>
      <c r="H1515" t="s">
        <v>15</v>
      </c>
      <c r="I1515">
        <v>3</v>
      </c>
      <c r="J1515" s="6">
        <v>300</v>
      </c>
      <c r="K1515">
        <v>366</v>
      </c>
      <c r="L1515">
        <v>900</v>
      </c>
      <c r="M1515" t="str">
        <f>IF(OR(I1515="",J1515="",L1515=""),"Incomplete","Complete")</f>
        <v>Complete</v>
      </c>
      <c r="N1515" t="str">
        <f>IF(M1515="Incomplete","Not checked",IF(ROUND(I1515*J1515,2)=ROUND(L1515,2),"Valid","Mismatch"))</f>
        <v>Valid</v>
      </c>
      <c r="O1515">
        <f t="shared" si="47"/>
        <v>534</v>
      </c>
    </row>
    <row r="1516" spans="1:15">
      <c r="A1516">
        <v>1983</v>
      </c>
      <c r="B1516" t="str">
        <f t="shared" si="46"/>
        <v>2022-12</v>
      </c>
      <c r="C1516" s="1">
        <v>44916</v>
      </c>
      <c r="D1516" s="5">
        <v>0.90138888888888891</v>
      </c>
      <c r="E1516">
        <v>114</v>
      </c>
      <c r="F1516" t="s">
        <v>14</v>
      </c>
      <c r="G1516">
        <v>29</v>
      </c>
      <c r="H1516" t="s">
        <v>12</v>
      </c>
      <c r="I1516">
        <v>1</v>
      </c>
      <c r="J1516" s="6">
        <v>300</v>
      </c>
      <c r="K1516">
        <v>303</v>
      </c>
      <c r="L1516">
        <v>300</v>
      </c>
      <c r="M1516" t="str">
        <f>IF(OR(I1516="",J1516="",L1516=""),"Incomplete","Complete")</f>
        <v>Complete</v>
      </c>
      <c r="N1516" t="str">
        <f>IF(M1516="Incomplete","Not checked",IF(ROUND(I1516*J1516,2)=ROUND(L1516,2),"Valid","Mismatch"))</f>
        <v>Valid</v>
      </c>
      <c r="O1516">
        <f t="shared" si="47"/>
        <v>-3</v>
      </c>
    </row>
    <row r="1517" spans="1:15">
      <c r="A1517">
        <v>181</v>
      </c>
      <c r="B1517" t="str">
        <f t="shared" si="46"/>
        <v>2023-11</v>
      </c>
      <c r="C1517" s="1">
        <v>45236</v>
      </c>
      <c r="D1517" s="5">
        <v>0.83263888888888893</v>
      </c>
      <c r="E1517">
        <v>79</v>
      </c>
      <c r="F1517" t="s">
        <v>11</v>
      </c>
      <c r="G1517">
        <v>19</v>
      </c>
      <c r="H1517" t="s">
        <v>15</v>
      </c>
      <c r="I1517">
        <v>4</v>
      </c>
      <c r="J1517" s="6">
        <v>300</v>
      </c>
      <c r="K1517">
        <v>327</v>
      </c>
      <c r="L1517">
        <v>1200</v>
      </c>
      <c r="M1517" t="str">
        <f>IF(OR(I1517="",J1517="",L1517=""),"Incomplete","Complete")</f>
        <v>Complete</v>
      </c>
      <c r="N1517" t="str">
        <f>IF(M1517="Incomplete","Not checked",IF(ROUND(I1517*J1517,2)=ROUND(L1517,2),"Valid","Mismatch"))</f>
        <v>Valid</v>
      </c>
      <c r="O1517">
        <f t="shared" si="47"/>
        <v>873</v>
      </c>
    </row>
    <row r="1518" spans="1:15">
      <c r="A1518">
        <v>1181</v>
      </c>
      <c r="B1518" t="str">
        <f t="shared" si="46"/>
        <v>2022-11</v>
      </c>
      <c r="C1518" s="1">
        <v>44871</v>
      </c>
      <c r="D1518" s="5">
        <v>0.76944444444444449</v>
      </c>
      <c r="E1518">
        <v>84</v>
      </c>
      <c r="F1518" t="s">
        <v>11</v>
      </c>
      <c r="G1518">
        <v>19</v>
      </c>
      <c r="H1518" t="s">
        <v>15</v>
      </c>
      <c r="I1518">
        <v>4</v>
      </c>
      <c r="J1518" s="6">
        <v>300</v>
      </c>
      <c r="K1518">
        <v>354</v>
      </c>
      <c r="L1518">
        <v>1200</v>
      </c>
      <c r="M1518" t="str">
        <f>IF(OR(I1518="",J1518="",L1518=""),"Incomplete","Complete")</f>
        <v>Complete</v>
      </c>
      <c r="N1518" t="str">
        <f>IF(M1518="Incomplete","Not checked",IF(ROUND(I1518*J1518,2)=ROUND(L1518,2),"Valid","Mismatch"))</f>
        <v>Valid</v>
      </c>
      <c r="O1518">
        <f t="shared" si="47"/>
        <v>846</v>
      </c>
    </row>
    <row r="1519" spans="1:15">
      <c r="A1519">
        <v>20</v>
      </c>
      <c r="B1519" t="str">
        <f t="shared" si="46"/>
        <v>2023-12</v>
      </c>
      <c r="C1519" s="1">
        <v>45272</v>
      </c>
      <c r="D1519" s="5">
        <v>0.89930555555555558</v>
      </c>
      <c r="E1519">
        <v>85</v>
      </c>
      <c r="F1519" t="s">
        <v>11</v>
      </c>
      <c r="G1519">
        <v>22</v>
      </c>
      <c r="H1519" t="s">
        <v>12</v>
      </c>
      <c r="I1519">
        <v>3</v>
      </c>
      <c r="J1519" s="6">
        <v>300</v>
      </c>
      <c r="K1519">
        <v>345</v>
      </c>
      <c r="L1519">
        <v>900</v>
      </c>
      <c r="M1519" t="str">
        <f>IF(OR(I1519="",J1519="",L1519=""),"Incomplete","Complete")</f>
        <v>Complete</v>
      </c>
      <c r="N1519" t="str">
        <f>IF(M1519="Incomplete","Not checked",IF(ROUND(I1519*J1519,2)=ROUND(L1519,2),"Valid","Mismatch"))</f>
        <v>Valid</v>
      </c>
      <c r="O1519">
        <f t="shared" si="47"/>
        <v>555</v>
      </c>
    </row>
    <row r="1520" spans="1:15">
      <c r="A1520">
        <v>690</v>
      </c>
      <c r="B1520" t="str">
        <f t="shared" si="46"/>
        <v>2023-12</v>
      </c>
      <c r="C1520" s="1">
        <v>45279</v>
      </c>
      <c r="D1520" s="5">
        <v>0.77708333333333335</v>
      </c>
      <c r="E1520">
        <v>91</v>
      </c>
      <c r="F1520" t="s">
        <v>14</v>
      </c>
      <c r="G1520">
        <v>52</v>
      </c>
      <c r="H1520" t="s">
        <v>12</v>
      </c>
      <c r="I1520">
        <v>3</v>
      </c>
      <c r="J1520" s="6">
        <v>300</v>
      </c>
      <c r="K1520">
        <v>324</v>
      </c>
      <c r="L1520">
        <v>900</v>
      </c>
      <c r="M1520" t="str">
        <f>IF(OR(I1520="",J1520="",L1520=""),"Incomplete","Complete")</f>
        <v>Complete</v>
      </c>
      <c r="N1520" t="str">
        <f>IF(M1520="Incomplete","Not checked",IF(ROUND(I1520*J1520,2)=ROUND(L1520,2),"Valid","Mismatch"))</f>
        <v>Valid</v>
      </c>
      <c r="O1520">
        <f t="shared" si="47"/>
        <v>576</v>
      </c>
    </row>
    <row r="1521" spans="1:15">
      <c r="A1521">
        <v>1020</v>
      </c>
      <c r="B1521" t="str">
        <f t="shared" si="46"/>
        <v>2022-11</v>
      </c>
      <c r="C1521" s="1">
        <v>44887</v>
      </c>
      <c r="D1521" s="5">
        <v>0.77083333333333337</v>
      </c>
      <c r="E1521">
        <v>86</v>
      </c>
      <c r="F1521" t="s">
        <v>11</v>
      </c>
      <c r="G1521">
        <v>22</v>
      </c>
      <c r="H1521" t="s">
        <v>12</v>
      </c>
      <c r="I1521">
        <v>3</v>
      </c>
      <c r="J1521" s="6">
        <v>300</v>
      </c>
      <c r="K1521">
        <v>300</v>
      </c>
      <c r="L1521">
        <v>900</v>
      </c>
      <c r="M1521" t="str">
        <f>IF(OR(I1521="",J1521="",L1521=""),"Incomplete","Complete")</f>
        <v>Complete</v>
      </c>
      <c r="N1521" t="str">
        <f>IF(M1521="Incomplete","Not checked",IF(ROUND(I1521*J1521,2)=ROUND(L1521,2),"Valid","Mismatch"))</f>
        <v>Valid</v>
      </c>
      <c r="O1521">
        <f t="shared" si="47"/>
        <v>600</v>
      </c>
    </row>
    <row r="1522" spans="1:15">
      <c r="A1522">
        <v>1690</v>
      </c>
      <c r="B1522" t="str">
        <f t="shared" si="46"/>
        <v>2023-09</v>
      </c>
      <c r="C1522" s="1">
        <v>45174</v>
      </c>
      <c r="D1522" s="5">
        <v>0.73333333333333328</v>
      </c>
      <c r="E1522">
        <v>101</v>
      </c>
      <c r="F1522" t="s">
        <v>14</v>
      </c>
      <c r="G1522">
        <v>52</v>
      </c>
      <c r="H1522" t="s">
        <v>12</v>
      </c>
      <c r="I1522">
        <v>3</v>
      </c>
      <c r="J1522" s="6">
        <v>300</v>
      </c>
      <c r="K1522">
        <v>369</v>
      </c>
      <c r="L1522">
        <v>900</v>
      </c>
      <c r="M1522" t="str">
        <f>IF(OR(I1522="",J1522="",L1522=""),"Incomplete","Complete")</f>
        <v>Complete</v>
      </c>
      <c r="N1522" t="str">
        <f>IF(M1522="Incomplete","Not checked",IF(ROUND(I1522*J1522,2)=ROUND(L1522,2),"Valid","Mismatch"))</f>
        <v>Valid</v>
      </c>
      <c r="O1522">
        <f t="shared" si="47"/>
        <v>531</v>
      </c>
    </row>
    <row r="1523" spans="1:15">
      <c r="A1523">
        <v>405</v>
      </c>
      <c r="B1523" t="str">
        <f t="shared" si="46"/>
        <v>2022-10</v>
      </c>
      <c r="C1523" s="1">
        <v>44851</v>
      </c>
      <c r="D1523" s="5">
        <v>0.74652777777777779</v>
      </c>
      <c r="E1523">
        <v>79</v>
      </c>
      <c r="F1523" t="s">
        <v>14</v>
      </c>
      <c r="G1523">
        <v>25</v>
      </c>
      <c r="H1523" t="s">
        <v>12</v>
      </c>
      <c r="I1523">
        <v>4</v>
      </c>
      <c r="J1523" s="6">
        <v>300</v>
      </c>
      <c r="K1523">
        <v>324</v>
      </c>
      <c r="L1523">
        <v>1200</v>
      </c>
      <c r="M1523" t="str">
        <f>IF(OR(I1523="",J1523="",L1523=""),"Incomplete","Complete")</f>
        <v>Complete</v>
      </c>
      <c r="N1523" t="str">
        <f>IF(M1523="Incomplete","Not checked",IF(ROUND(I1523*J1523,2)=ROUND(L1523,2),"Valid","Mismatch"))</f>
        <v>Valid</v>
      </c>
      <c r="O1523">
        <f t="shared" si="47"/>
        <v>876</v>
      </c>
    </row>
    <row r="1524" spans="1:15">
      <c r="A1524">
        <v>1405</v>
      </c>
      <c r="B1524" t="str">
        <f t="shared" si="46"/>
        <v>2023-10</v>
      </c>
      <c r="C1524" s="1">
        <v>45227</v>
      </c>
      <c r="D1524" s="5">
        <v>0.83888888888888891</v>
      </c>
      <c r="E1524">
        <v>91</v>
      </c>
      <c r="F1524" t="s">
        <v>14</v>
      </c>
      <c r="G1524">
        <v>25</v>
      </c>
      <c r="H1524" t="s">
        <v>12</v>
      </c>
      <c r="I1524">
        <v>4</v>
      </c>
      <c r="J1524" s="6">
        <v>300</v>
      </c>
      <c r="K1524">
        <v>342</v>
      </c>
      <c r="L1524">
        <v>1200</v>
      </c>
      <c r="M1524" t="str">
        <f>IF(OR(I1524="",J1524="",L1524=""),"Incomplete","Complete")</f>
        <v>Complete</v>
      </c>
      <c r="N1524" t="str">
        <f>IF(M1524="Incomplete","Not checked",IF(ROUND(I1524*J1524,2)=ROUND(L1524,2),"Valid","Mismatch"))</f>
        <v>Valid</v>
      </c>
      <c r="O1524">
        <f t="shared" si="47"/>
        <v>858</v>
      </c>
    </row>
    <row r="1525" spans="1:15">
      <c r="A1525">
        <v>950</v>
      </c>
      <c r="B1525" t="str">
        <f t="shared" si="46"/>
        <v>2022-09</v>
      </c>
      <c r="C1525" s="1">
        <v>44826</v>
      </c>
      <c r="D1525" s="5">
        <v>0.89375000000000004</v>
      </c>
      <c r="E1525">
        <v>75</v>
      </c>
      <c r="F1525" t="s">
        <v>11</v>
      </c>
      <c r="G1525">
        <v>36</v>
      </c>
      <c r="H1525" t="s">
        <v>12</v>
      </c>
      <c r="I1525">
        <v>3</v>
      </c>
      <c r="J1525" s="6">
        <v>300</v>
      </c>
      <c r="K1525">
        <v>144</v>
      </c>
      <c r="L1525">
        <v>900</v>
      </c>
      <c r="M1525" t="str">
        <f>IF(OR(I1525="",J1525="",L1525=""),"Incomplete","Complete")</f>
        <v>Complete</v>
      </c>
      <c r="N1525" t="str">
        <f>IF(M1525="Incomplete","Not checked",IF(ROUND(I1525*J1525,2)=ROUND(L1525,2),"Valid","Mismatch"))</f>
        <v>Valid</v>
      </c>
      <c r="O1525">
        <f t="shared" si="47"/>
        <v>756</v>
      </c>
    </row>
    <row r="1526" spans="1:15">
      <c r="A1526">
        <v>1950</v>
      </c>
      <c r="B1526" t="str">
        <f t="shared" si="46"/>
        <v>2022-12</v>
      </c>
      <c r="C1526" s="1">
        <v>44899</v>
      </c>
      <c r="D1526" s="5">
        <v>0.80763888888888891</v>
      </c>
      <c r="E1526">
        <v>50</v>
      </c>
      <c r="F1526" t="s">
        <v>11</v>
      </c>
      <c r="G1526">
        <v>36</v>
      </c>
      <c r="H1526" t="s">
        <v>12</v>
      </c>
      <c r="I1526">
        <v>3</v>
      </c>
      <c r="J1526" s="6">
        <v>300</v>
      </c>
      <c r="K1526">
        <v>84</v>
      </c>
      <c r="L1526">
        <v>900</v>
      </c>
      <c r="M1526" t="str">
        <f>IF(OR(I1526="",J1526="",L1526=""),"Incomplete","Complete")</f>
        <v>Complete</v>
      </c>
      <c r="N1526" t="str">
        <f>IF(M1526="Incomplete","Not checked",IF(ROUND(I1526*J1526,2)=ROUND(L1526,2),"Valid","Mismatch"))</f>
        <v>Valid</v>
      </c>
      <c r="O1526">
        <f t="shared" si="47"/>
        <v>816</v>
      </c>
    </row>
    <row r="1527" spans="1:15">
      <c r="A1527">
        <v>827</v>
      </c>
      <c r="B1527" t="str">
        <f t="shared" si="46"/>
        <v>2023-10</v>
      </c>
      <c r="C1527" s="1">
        <v>45227</v>
      </c>
      <c r="D1527" s="5">
        <v>0.80833333333333335</v>
      </c>
      <c r="E1527">
        <v>96</v>
      </c>
      <c r="F1527" t="s">
        <v>11</v>
      </c>
      <c r="G1527">
        <v>61</v>
      </c>
      <c r="H1527" t="s">
        <v>13</v>
      </c>
      <c r="I1527">
        <v>3</v>
      </c>
      <c r="J1527" s="6">
        <v>300</v>
      </c>
      <c r="K1527">
        <v>165</v>
      </c>
      <c r="L1527">
        <v>900</v>
      </c>
      <c r="M1527" t="str">
        <f>IF(OR(I1527="",J1527="",L1527=""),"Incomplete","Complete")</f>
        <v>Complete</v>
      </c>
      <c r="N1527" t="str">
        <f>IF(M1527="Incomplete","Not checked",IF(ROUND(I1527*J1527,2)=ROUND(L1527,2),"Valid","Mismatch"))</f>
        <v>Valid</v>
      </c>
      <c r="O1527">
        <f t="shared" si="47"/>
        <v>735</v>
      </c>
    </row>
    <row r="1528" spans="1:15">
      <c r="A1528">
        <v>1827</v>
      </c>
      <c r="B1528" t="str">
        <f t="shared" si="46"/>
        <v>2022-11</v>
      </c>
      <c r="C1528" s="1">
        <v>44874</v>
      </c>
      <c r="D1528" s="5">
        <v>0.83472222222222225</v>
      </c>
      <c r="E1528">
        <v>62</v>
      </c>
      <c r="F1528" t="s">
        <v>11</v>
      </c>
      <c r="G1528">
        <v>61</v>
      </c>
      <c r="H1528" t="s">
        <v>13</v>
      </c>
      <c r="I1528">
        <v>3</v>
      </c>
      <c r="J1528" s="6">
        <v>300</v>
      </c>
      <c r="K1528">
        <v>132</v>
      </c>
      <c r="L1528">
        <v>900</v>
      </c>
      <c r="M1528" t="str">
        <f>IF(OR(I1528="",J1528="",L1528=""),"Incomplete","Complete")</f>
        <v>Complete</v>
      </c>
      <c r="N1528" t="str">
        <f>IF(M1528="Incomplete","Not checked",IF(ROUND(I1528*J1528,2)=ROUND(L1528,2),"Valid","Mismatch"))</f>
        <v>Valid</v>
      </c>
      <c r="O1528">
        <f t="shared" si="47"/>
        <v>768</v>
      </c>
    </row>
    <row r="1529" spans="1:15">
      <c r="A1529">
        <v>58</v>
      </c>
      <c r="B1529" t="str">
        <f t="shared" si="46"/>
        <v>2023-09</v>
      </c>
      <c r="C1529" s="1">
        <v>45185</v>
      </c>
      <c r="D1529" s="5">
        <v>0.8041666666666667</v>
      </c>
      <c r="E1529">
        <v>53</v>
      </c>
      <c r="F1529" t="s">
        <v>11</v>
      </c>
      <c r="G1529">
        <v>18</v>
      </c>
      <c r="H1529" t="s">
        <v>12</v>
      </c>
      <c r="I1529">
        <v>4</v>
      </c>
      <c r="J1529" s="6">
        <v>300</v>
      </c>
      <c r="K1529">
        <v>75</v>
      </c>
      <c r="L1529">
        <v>1200</v>
      </c>
      <c r="M1529" t="str">
        <f>IF(OR(I1529="",J1529="",L1529=""),"Incomplete","Complete")</f>
        <v>Complete</v>
      </c>
      <c r="N1529" t="str">
        <f>IF(M1529="Incomplete","Not checked",IF(ROUND(I1529*J1529,2)=ROUND(L1529,2),"Valid","Mismatch"))</f>
        <v>Valid</v>
      </c>
      <c r="O1529">
        <f t="shared" si="47"/>
        <v>1125</v>
      </c>
    </row>
    <row r="1530" spans="1:15">
      <c r="A1530">
        <v>1058</v>
      </c>
      <c r="B1530" t="str">
        <f t="shared" si="46"/>
        <v>2022-10</v>
      </c>
      <c r="C1530" s="1">
        <v>44864</v>
      </c>
      <c r="D1530" s="5">
        <v>0.77152777777777781</v>
      </c>
      <c r="E1530">
        <v>100</v>
      </c>
      <c r="F1530" t="s">
        <v>11</v>
      </c>
      <c r="G1530">
        <v>18</v>
      </c>
      <c r="H1530" t="s">
        <v>12</v>
      </c>
      <c r="I1530">
        <v>4</v>
      </c>
      <c r="J1530" s="6">
        <v>300</v>
      </c>
      <c r="K1530">
        <v>153</v>
      </c>
      <c r="L1530">
        <v>1200</v>
      </c>
      <c r="M1530" t="str">
        <f>IF(OR(I1530="",J1530="",L1530=""),"Incomplete","Complete")</f>
        <v>Complete</v>
      </c>
      <c r="N1530" t="str">
        <f>IF(M1530="Incomplete","Not checked",IF(ROUND(I1530*J1530,2)=ROUND(L1530,2),"Valid","Mismatch"))</f>
        <v>Valid</v>
      </c>
      <c r="O1530">
        <f t="shared" si="47"/>
        <v>1047</v>
      </c>
    </row>
    <row r="1531" spans="1:15">
      <c r="A1531">
        <v>582</v>
      </c>
      <c r="B1531" t="str">
        <f t="shared" si="46"/>
        <v>2022-09</v>
      </c>
      <c r="C1531" s="1">
        <v>44834</v>
      </c>
      <c r="D1531" s="5">
        <v>0.90138888888888891</v>
      </c>
      <c r="E1531">
        <v>110</v>
      </c>
      <c r="F1531" t="s">
        <v>11</v>
      </c>
      <c r="G1531">
        <v>35</v>
      </c>
      <c r="H1531" t="s">
        <v>12</v>
      </c>
      <c r="I1531">
        <v>3</v>
      </c>
      <c r="J1531" s="6">
        <v>300</v>
      </c>
      <c r="K1531">
        <v>75</v>
      </c>
      <c r="L1531">
        <v>900</v>
      </c>
      <c r="M1531" t="str">
        <f>IF(OR(I1531="",J1531="",L1531=""),"Incomplete","Complete")</f>
        <v>Complete</v>
      </c>
      <c r="N1531" t="str">
        <f>IF(M1531="Incomplete","Not checked",IF(ROUND(I1531*J1531,2)=ROUND(L1531,2),"Valid","Mismatch"))</f>
        <v>Valid</v>
      </c>
      <c r="O1531">
        <f t="shared" si="47"/>
        <v>825</v>
      </c>
    </row>
    <row r="1532" spans="1:15">
      <c r="A1532">
        <v>1582</v>
      </c>
      <c r="B1532" t="str">
        <f t="shared" si="46"/>
        <v>2023-10</v>
      </c>
      <c r="C1532" s="1">
        <v>45216</v>
      </c>
      <c r="D1532" s="5">
        <v>0.8</v>
      </c>
      <c r="E1532">
        <v>56</v>
      </c>
      <c r="F1532" t="s">
        <v>11</v>
      </c>
      <c r="G1532">
        <v>35</v>
      </c>
      <c r="H1532" t="s">
        <v>12</v>
      </c>
      <c r="I1532">
        <v>3</v>
      </c>
      <c r="J1532" s="6">
        <v>300</v>
      </c>
      <c r="K1532">
        <v>114</v>
      </c>
      <c r="L1532">
        <v>900</v>
      </c>
      <c r="M1532" t="str">
        <f>IF(OR(I1532="",J1532="",L1532=""),"Incomplete","Complete")</f>
        <v>Complete</v>
      </c>
      <c r="N1532" t="str">
        <f>IF(M1532="Incomplete","Not checked",IF(ROUND(I1532*J1532,2)=ROUND(L1532,2),"Valid","Mismatch"))</f>
        <v>Valid</v>
      </c>
      <c r="O1532">
        <f t="shared" si="47"/>
        <v>786</v>
      </c>
    </row>
    <row r="1533" spans="1:15">
      <c r="A1533">
        <v>968</v>
      </c>
      <c r="B1533" t="str">
        <f t="shared" si="46"/>
        <v>2023-12</v>
      </c>
      <c r="C1533" s="1">
        <v>45278</v>
      </c>
      <c r="D1533" s="5">
        <v>0.8569444444444444</v>
      </c>
      <c r="E1533">
        <v>101</v>
      </c>
      <c r="F1533" t="s">
        <v>14</v>
      </c>
      <c r="G1533">
        <v>48</v>
      </c>
      <c r="H1533" t="s">
        <v>12</v>
      </c>
      <c r="I1533">
        <v>3</v>
      </c>
      <c r="J1533" s="6">
        <v>300</v>
      </c>
      <c r="K1533">
        <v>120</v>
      </c>
      <c r="L1533">
        <v>900</v>
      </c>
      <c r="M1533" t="str">
        <f>IF(OR(I1533="",J1533="",L1533=""),"Incomplete","Complete")</f>
        <v>Complete</v>
      </c>
      <c r="N1533" t="str">
        <f>IF(M1533="Incomplete","Not checked",IF(ROUND(I1533*J1533,2)=ROUND(L1533,2),"Valid","Mismatch"))</f>
        <v>Valid</v>
      </c>
      <c r="O1533">
        <f t="shared" si="47"/>
        <v>780</v>
      </c>
    </row>
    <row r="1534" spans="1:15">
      <c r="A1534">
        <v>1968</v>
      </c>
      <c r="B1534" t="str">
        <f t="shared" si="46"/>
        <v>2022-09</v>
      </c>
      <c r="C1534" s="1">
        <v>44825</v>
      </c>
      <c r="D1534" s="5">
        <v>0.79791666666666672</v>
      </c>
      <c r="E1534">
        <v>75</v>
      </c>
      <c r="F1534" t="s">
        <v>14</v>
      </c>
      <c r="G1534">
        <v>48</v>
      </c>
      <c r="H1534" t="s">
        <v>12</v>
      </c>
      <c r="I1534">
        <v>3</v>
      </c>
      <c r="J1534" s="6">
        <v>300</v>
      </c>
      <c r="K1534">
        <v>153</v>
      </c>
      <c r="L1534">
        <v>900</v>
      </c>
      <c r="M1534" t="str">
        <f>IF(OR(I1534="",J1534="",L1534=""),"Incomplete","Complete")</f>
        <v>Complete</v>
      </c>
      <c r="N1534" t="str">
        <f>IF(M1534="Incomplete","Not checked",IF(ROUND(I1534*J1534,2)=ROUND(L1534,2),"Valid","Mismatch"))</f>
        <v>Valid</v>
      </c>
      <c r="O1534">
        <f t="shared" si="47"/>
        <v>747</v>
      </c>
    </row>
    <row r="1535" spans="1:15">
      <c r="A1535">
        <v>417</v>
      </c>
      <c r="B1535" t="str">
        <f t="shared" si="46"/>
        <v>2023-10</v>
      </c>
      <c r="C1535" s="1">
        <v>45200</v>
      </c>
      <c r="D1535" s="5">
        <v>0.91874999999999996</v>
      </c>
      <c r="E1535">
        <v>109</v>
      </c>
      <c r="F1535" t="s">
        <v>11</v>
      </c>
      <c r="G1535">
        <v>43</v>
      </c>
      <c r="H1535" t="s">
        <v>15</v>
      </c>
      <c r="I1535">
        <v>3</v>
      </c>
      <c r="J1535" s="6">
        <v>300</v>
      </c>
      <c r="K1535">
        <v>162</v>
      </c>
      <c r="L1535">
        <v>900</v>
      </c>
      <c r="M1535" t="str">
        <f>IF(OR(I1535="",J1535="",L1535=""),"Incomplete","Complete")</f>
        <v>Complete</v>
      </c>
      <c r="N1535" t="str">
        <f>IF(M1535="Incomplete","Not checked",IF(ROUND(I1535*J1535,2)=ROUND(L1535,2),"Valid","Mismatch"))</f>
        <v>Valid</v>
      </c>
      <c r="O1535">
        <f t="shared" si="47"/>
        <v>738</v>
      </c>
    </row>
    <row r="1536" spans="1:15">
      <c r="A1536">
        <v>1417</v>
      </c>
      <c r="B1536" t="str">
        <f t="shared" si="46"/>
        <v>2022-12</v>
      </c>
      <c r="C1536" s="1">
        <v>44921</v>
      </c>
      <c r="D1536" s="5">
        <v>0.73819444444444449</v>
      </c>
      <c r="E1536">
        <v>54</v>
      </c>
      <c r="F1536" t="s">
        <v>11</v>
      </c>
      <c r="G1536">
        <v>43</v>
      </c>
      <c r="H1536" t="s">
        <v>15</v>
      </c>
      <c r="I1536">
        <v>3</v>
      </c>
      <c r="J1536" s="6">
        <v>300</v>
      </c>
      <c r="K1536">
        <v>147</v>
      </c>
      <c r="L1536">
        <v>900</v>
      </c>
      <c r="M1536" t="str">
        <f>IF(OR(I1536="",J1536="",L1536=""),"Incomplete","Complete")</f>
        <v>Complete</v>
      </c>
      <c r="N1536" t="str">
        <f>IF(M1536="Incomplete","Not checked",IF(ROUND(I1536*J1536,2)=ROUND(L1536,2),"Valid","Mismatch"))</f>
        <v>Valid</v>
      </c>
      <c r="O1536">
        <f t="shared" si="47"/>
        <v>753</v>
      </c>
    </row>
    <row r="1537" spans="1:15">
      <c r="A1537">
        <v>424</v>
      </c>
      <c r="B1537" t="str">
        <f t="shared" si="46"/>
        <v>2023-12</v>
      </c>
      <c r="C1537" s="1">
        <v>45280</v>
      </c>
      <c r="D1537" s="5">
        <v>0.80625000000000002</v>
      </c>
      <c r="E1537">
        <v>101</v>
      </c>
      <c r="F1537" t="s">
        <v>11</v>
      </c>
      <c r="G1537">
        <v>57</v>
      </c>
      <c r="H1537" t="s">
        <v>13</v>
      </c>
      <c r="I1537">
        <v>4</v>
      </c>
      <c r="J1537" s="6">
        <v>300</v>
      </c>
      <c r="K1537">
        <v>147</v>
      </c>
      <c r="L1537">
        <v>1200</v>
      </c>
      <c r="M1537" t="str">
        <f>IF(OR(I1537="",J1537="",L1537=""),"Incomplete","Complete")</f>
        <v>Complete</v>
      </c>
      <c r="N1537" t="str">
        <f>IF(M1537="Incomplete","Not checked",IF(ROUND(I1537*J1537,2)=ROUND(L1537,2),"Valid","Mismatch"))</f>
        <v>Valid</v>
      </c>
      <c r="O1537">
        <f t="shared" si="47"/>
        <v>1053</v>
      </c>
    </row>
    <row r="1538" spans="1:15">
      <c r="A1538">
        <v>641</v>
      </c>
      <c r="B1538" t="str">
        <f t="shared" ref="B1538:B1601" si="48">TEXT(C1538,"yyyy-mm")</f>
        <v>2023-12</v>
      </c>
      <c r="C1538" s="1">
        <v>45285</v>
      </c>
      <c r="D1538" s="5">
        <v>0.77083333333333337</v>
      </c>
      <c r="E1538">
        <v>105</v>
      </c>
      <c r="F1538" t="s">
        <v>14</v>
      </c>
      <c r="G1538">
        <v>40</v>
      </c>
      <c r="H1538" t="s">
        <v>15</v>
      </c>
      <c r="I1538">
        <v>1</v>
      </c>
      <c r="J1538" s="6">
        <v>300</v>
      </c>
      <c r="K1538">
        <v>144</v>
      </c>
      <c r="L1538">
        <v>300</v>
      </c>
      <c r="M1538" t="str">
        <f>IF(OR(I1538="",J1538="",L1538=""),"Incomplete","Complete")</f>
        <v>Complete</v>
      </c>
      <c r="N1538" t="str">
        <f>IF(M1538="Incomplete","Not checked",IF(ROUND(I1538*J1538,2)=ROUND(L1538,2),"Valid","Mismatch"))</f>
        <v>Valid</v>
      </c>
      <c r="O1538">
        <f t="shared" ref="O1538:O1601" si="49">IF(M1538="Incomplete","",L1538-K1538)</f>
        <v>156</v>
      </c>
    </row>
    <row r="1539" spans="1:15">
      <c r="A1539">
        <v>1424</v>
      </c>
      <c r="B1539" t="str">
        <f t="shared" si="48"/>
        <v>2023-09</v>
      </c>
      <c r="C1539" s="1">
        <v>45174</v>
      </c>
      <c r="D1539" s="5">
        <v>0.89722222222222225</v>
      </c>
      <c r="E1539">
        <v>54</v>
      </c>
      <c r="F1539" t="s">
        <v>11</v>
      </c>
      <c r="G1539">
        <v>57</v>
      </c>
      <c r="H1539" t="s">
        <v>13</v>
      </c>
      <c r="I1539">
        <v>4</v>
      </c>
      <c r="J1539" s="6">
        <v>300</v>
      </c>
      <c r="K1539">
        <v>111</v>
      </c>
      <c r="L1539">
        <v>1200</v>
      </c>
      <c r="M1539" t="str">
        <f>IF(OR(I1539="",J1539="",L1539=""),"Incomplete","Complete")</f>
        <v>Complete</v>
      </c>
      <c r="N1539" t="str">
        <f>IF(M1539="Incomplete","Not checked",IF(ROUND(I1539*J1539,2)=ROUND(L1539,2),"Valid","Mismatch"))</f>
        <v>Valid</v>
      </c>
      <c r="O1539">
        <f t="shared" si="49"/>
        <v>1089</v>
      </c>
    </row>
    <row r="1540" spans="1:15">
      <c r="A1540">
        <v>1641</v>
      </c>
      <c r="B1540" t="str">
        <f t="shared" si="48"/>
        <v>2022-09</v>
      </c>
      <c r="C1540" s="1">
        <v>44805</v>
      </c>
      <c r="D1540" s="5">
        <v>0.7368055555555556</v>
      </c>
      <c r="E1540">
        <v>65</v>
      </c>
      <c r="F1540" t="s">
        <v>14</v>
      </c>
      <c r="G1540">
        <v>40</v>
      </c>
      <c r="H1540" t="s">
        <v>15</v>
      </c>
      <c r="I1540">
        <v>1</v>
      </c>
      <c r="J1540" s="6">
        <v>300</v>
      </c>
      <c r="K1540">
        <v>165</v>
      </c>
      <c r="L1540">
        <v>300</v>
      </c>
      <c r="M1540" t="str">
        <f>IF(OR(I1540="",J1540="",L1540=""),"Incomplete","Complete")</f>
        <v>Complete</v>
      </c>
      <c r="N1540" t="str">
        <f>IF(M1540="Incomplete","Not checked",IF(ROUND(I1540*J1540,2)=ROUND(L1540,2),"Valid","Mismatch"))</f>
        <v>Valid</v>
      </c>
      <c r="O1540">
        <f t="shared" si="49"/>
        <v>135</v>
      </c>
    </row>
    <row r="1541" spans="1:15">
      <c r="A1541">
        <v>171</v>
      </c>
      <c r="B1541" t="str">
        <f t="shared" si="48"/>
        <v>2022-10</v>
      </c>
      <c r="C1541" s="1">
        <v>44848</v>
      </c>
      <c r="D1541" s="5">
        <v>0.84027777777777779</v>
      </c>
      <c r="E1541">
        <v>109</v>
      </c>
      <c r="F1541" t="s">
        <v>14</v>
      </c>
      <c r="G1541">
        <v>52</v>
      </c>
      <c r="H1541" t="s">
        <v>12</v>
      </c>
      <c r="I1541">
        <v>3</v>
      </c>
      <c r="J1541" s="6">
        <v>300</v>
      </c>
      <c r="K1541">
        <v>126</v>
      </c>
      <c r="L1541">
        <v>900</v>
      </c>
      <c r="M1541" t="str">
        <f>IF(OR(I1541="",J1541="",L1541=""),"Incomplete","Complete")</f>
        <v>Complete</v>
      </c>
      <c r="N1541" t="str">
        <f>IF(M1541="Incomplete","Not checked",IF(ROUND(I1541*J1541,2)=ROUND(L1541,2),"Valid","Mismatch"))</f>
        <v>Valid</v>
      </c>
      <c r="O1541">
        <f t="shared" si="49"/>
        <v>774</v>
      </c>
    </row>
    <row r="1542" spans="1:15">
      <c r="A1542">
        <v>1171</v>
      </c>
      <c r="B1542" t="str">
        <f t="shared" si="48"/>
        <v>2022-10</v>
      </c>
      <c r="C1542" s="1">
        <v>44839</v>
      </c>
      <c r="D1542" s="5">
        <v>0.87847222222222221</v>
      </c>
      <c r="E1542">
        <v>87</v>
      </c>
      <c r="F1542" t="s">
        <v>14</v>
      </c>
      <c r="G1542">
        <v>52</v>
      </c>
      <c r="H1542" t="s">
        <v>12</v>
      </c>
      <c r="I1542">
        <v>3</v>
      </c>
      <c r="J1542" s="6">
        <v>300</v>
      </c>
      <c r="K1542">
        <v>84</v>
      </c>
      <c r="L1542">
        <v>900</v>
      </c>
      <c r="M1542" t="str">
        <f>IF(OR(I1542="",J1542="",L1542=""),"Incomplete","Complete")</f>
        <v>Complete</v>
      </c>
      <c r="N1542" t="str">
        <f>IF(M1542="Incomplete","Not checked",IF(ROUND(I1542*J1542,2)=ROUND(L1542,2),"Valid","Mismatch"))</f>
        <v>Valid</v>
      </c>
      <c r="O1542">
        <f t="shared" si="49"/>
        <v>816</v>
      </c>
    </row>
    <row r="1543" spans="1:15">
      <c r="A1543">
        <v>795</v>
      </c>
      <c r="B1543" t="str">
        <f t="shared" si="48"/>
        <v>2023-10</v>
      </c>
      <c r="C1543" s="1">
        <v>45202</v>
      </c>
      <c r="D1543" s="5">
        <v>0.82708333333333328</v>
      </c>
      <c r="E1543">
        <v>71</v>
      </c>
      <c r="F1543" t="s">
        <v>11</v>
      </c>
      <c r="G1543">
        <v>57</v>
      </c>
      <c r="H1543" t="s">
        <v>15</v>
      </c>
      <c r="I1543">
        <v>1</v>
      </c>
      <c r="J1543" s="6">
        <v>300</v>
      </c>
      <c r="K1543">
        <v>102</v>
      </c>
      <c r="L1543">
        <v>300</v>
      </c>
      <c r="M1543" t="str">
        <f>IF(OR(I1543="",J1543="",L1543=""),"Incomplete","Complete")</f>
        <v>Complete</v>
      </c>
      <c r="N1543" t="str">
        <f>IF(M1543="Incomplete","Not checked",IF(ROUND(I1543*J1543,2)=ROUND(L1543,2),"Valid","Mismatch"))</f>
        <v>Valid</v>
      </c>
      <c r="O1543">
        <f t="shared" si="49"/>
        <v>198</v>
      </c>
    </row>
    <row r="1544" spans="1:15">
      <c r="A1544">
        <v>1795</v>
      </c>
      <c r="B1544" t="str">
        <f t="shared" si="48"/>
        <v>2023-12</v>
      </c>
      <c r="C1544" s="1">
        <v>45289</v>
      </c>
      <c r="D1544" s="5">
        <v>0.78472222222222221</v>
      </c>
      <c r="E1544">
        <v>86</v>
      </c>
      <c r="F1544" t="s">
        <v>11</v>
      </c>
      <c r="G1544">
        <v>57</v>
      </c>
      <c r="H1544" t="s">
        <v>15</v>
      </c>
      <c r="I1544">
        <v>1</v>
      </c>
      <c r="J1544" s="6">
        <v>300</v>
      </c>
      <c r="K1544">
        <v>105</v>
      </c>
      <c r="L1544">
        <v>300</v>
      </c>
      <c r="M1544" t="str">
        <f>IF(OR(I1544="",J1544="",L1544=""),"Incomplete","Complete")</f>
        <v>Complete</v>
      </c>
      <c r="N1544" t="str">
        <f>IF(M1544="Incomplete","Not checked",IF(ROUND(I1544*J1544,2)=ROUND(L1544,2),"Valid","Mismatch"))</f>
        <v>Valid</v>
      </c>
      <c r="O1544">
        <f t="shared" si="49"/>
        <v>195</v>
      </c>
    </row>
    <row r="1545" spans="1:15">
      <c r="A1545">
        <v>24</v>
      </c>
      <c r="B1545" t="str">
        <f t="shared" si="48"/>
        <v>2023-12</v>
      </c>
      <c r="C1545" s="1">
        <v>45274</v>
      </c>
      <c r="D1545" s="5">
        <v>0.95763888888888893</v>
      </c>
      <c r="E1545">
        <v>59</v>
      </c>
      <c r="F1545" t="s">
        <v>14</v>
      </c>
      <c r="G1545">
        <v>49</v>
      </c>
      <c r="H1545" t="s">
        <v>12</v>
      </c>
      <c r="I1545">
        <v>1</v>
      </c>
      <c r="J1545" s="6">
        <v>300</v>
      </c>
      <c r="K1545">
        <v>87</v>
      </c>
      <c r="L1545">
        <v>300</v>
      </c>
      <c r="M1545" t="str">
        <f>IF(OR(I1545="",J1545="",L1545=""),"Incomplete","Complete")</f>
        <v>Complete</v>
      </c>
      <c r="N1545" t="str">
        <f>IF(M1545="Incomplete","Not checked",IF(ROUND(I1545*J1545,2)=ROUND(L1545,2),"Valid","Mismatch"))</f>
        <v>Valid</v>
      </c>
      <c r="O1545">
        <f t="shared" si="49"/>
        <v>213</v>
      </c>
    </row>
    <row r="1546" spans="1:15">
      <c r="A1546">
        <v>1024</v>
      </c>
      <c r="B1546" t="str">
        <f t="shared" si="48"/>
        <v>2023-12</v>
      </c>
      <c r="C1546" s="1">
        <v>45263</v>
      </c>
      <c r="D1546" s="5">
        <v>0.91041666666666665</v>
      </c>
      <c r="E1546">
        <v>72</v>
      </c>
      <c r="F1546" t="s">
        <v>14</v>
      </c>
      <c r="G1546">
        <v>49</v>
      </c>
      <c r="H1546" t="s">
        <v>12</v>
      </c>
      <c r="I1546">
        <v>1</v>
      </c>
      <c r="J1546" s="6">
        <v>300</v>
      </c>
      <c r="K1546">
        <v>126</v>
      </c>
      <c r="L1546">
        <v>300</v>
      </c>
      <c r="M1546" t="str">
        <f>IF(OR(I1546="",J1546="",L1546=""),"Incomplete","Complete")</f>
        <v>Complete</v>
      </c>
      <c r="N1546" t="str">
        <f>IF(M1546="Incomplete","Not checked",IF(ROUND(I1546*J1546,2)=ROUND(L1546,2),"Valid","Mismatch"))</f>
        <v>Valid</v>
      </c>
      <c r="O1546">
        <f t="shared" si="49"/>
        <v>174</v>
      </c>
    </row>
    <row r="1547" spans="1:15">
      <c r="A1547">
        <v>741</v>
      </c>
      <c r="B1547" t="str">
        <f t="shared" si="48"/>
        <v>2022-12</v>
      </c>
      <c r="C1547" s="1">
        <v>44919</v>
      </c>
      <c r="D1547" s="5">
        <v>0.9375</v>
      </c>
      <c r="E1547">
        <v>53</v>
      </c>
      <c r="F1547" t="s">
        <v>11</v>
      </c>
      <c r="G1547">
        <v>48</v>
      </c>
      <c r="H1547" t="s">
        <v>12</v>
      </c>
      <c r="I1547">
        <v>1</v>
      </c>
      <c r="J1547" s="6">
        <v>300</v>
      </c>
      <c r="K1547">
        <v>141</v>
      </c>
      <c r="L1547">
        <v>300</v>
      </c>
      <c r="M1547" t="str">
        <f>IF(OR(I1547="",J1547="",L1547=""),"Incomplete","Complete")</f>
        <v>Complete</v>
      </c>
      <c r="N1547" t="str">
        <f>IF(M1547="Incomplete","Not checked",IF(ROUND(I1547*J1547,2)=ROUND(L1547,2),"Valid","Mismatch"))</f>
        <v>Valid</v>
      </c>
      <c r="O1547">
        <f t="shared" si="49"/>
        <v>159</v>
      </c>
    </row>
    <row r="1548" spans="1:15">
      <c r="A1548">
        <v>1741</v>
      </c>
      <c r="B1548" t="str">
        <f t="shared" si="48"/>
        <v>2023-09</v>
      </c>
      <c r="C1548" s="1">
        <v>45171</v>
      </c>
      <c r="D1548" s="5">
        <v>0.86597222222222225</v>
      </c>
      <c r="E1548">
        <v>70</v>
      </c>
      <c r="F1548" t="s">
        <v>11</v>
      </c>
      <c r="G1548">
        <v>48</v>
      </c>
      <c r="H1548" t="s">
        <v>12</v>
      </c>
      <c r="I1548">
        <v>1</v>
      </c>
      <c r="J1548" s="6">
        <v>300</v>
      </c>
      <c r="K1548">
        <v>132</v>
      </c>
      <c r="L1548">
        <v>300</v>
      </c>
      <c r="M1548" t="str">
        <f>IF(OR(I1548="",J1548="",L1548=""),"Incomplete","Complete")</f>
        <v>Complete</v>
      </c>
      <c r="N1548" t="str">
        <f>IF(M1548="Incomplete","Not checked",IF(ROUND(I1548*J1548,2)=ROUND(L1548,2),"Valid","Mismatch"))</f>
        <v>Valid</v>
      </c>
      <c r="O1548">
        <f t="shared" si="49"/>
        <v>168</v>
      </c>
    </row>
    <row r="1549" spans="1:15">
      <c r="A1549">
        <v>348</v>
      </c>
      <c r="B1549" t="str">
        <f t="shared" si="48"/>
        <v>2022-10</v>
      </c>
      <c r="C1549" s="1">
        <v>44851</v>
      </c>
      <c r="D1549" s="5">
        <v>0.84722222222222221</v>
      </c>
      <c r="E1549">
        <v>83</v>
      </c>
      <c r="F1549" t="s">
        <v>14</v>
      </c>
      <c r="G1549">
        <v>35</v>
      </c>
      <c r="H1549" t="s">
        <v>15</v>
      </c>
      <c r="I1549">
        <v>2</v>
      </c>
      <c r="J1549" s="6">
        <v>300</v>
      </c>
      <c r="K1549">
        <v>147</v>
      </c>
      <c r="L1549">
        <v>600</v>
      </c>
      <c r="M1549" t="str">
        <f>IF(OR(I1549="",J1549="",L1549=""),"Incomplete","Complete")</f>
        <v>Complete</v>
      </c>
      <c r="N1549" t="str">
        <f>IF(M1549="Incomplete","Not checked",IF(ROUND(I1549*J1549,2)=ROUND(L1549,2),"Valid","Mismatch"))</f>
        <v>Valid</v>
      </c>
      <c r="O1549">
        <f t="shared" si="49"/>
        <v>453</v>
      </c>
    </row>
    <row r="1550" spans="1:15">
      <c r="A1550">
        <v>1348</v>
      </c>
      <c r="B1550" t="str">
        <f t="shared" si="48"/>
        <v>2023-10</v>
      </c>
      <c r="C1550" s="1">
        <v>45224</v>
      </c>
      <c r="D1550" s="5">
        <v>0.72291666666666665</v>
      </c>
      <c r="E1550">
        <v>79</v>
      </c>
      <c r="F1550" t="s">
        <v>14</v>
      </c>
      <c r="G1550">
        <v>35</v>
      </c>
      <c r="H1550" t="s">
        <v>15</v>
      </c>
      <c r="I1550">
        <v>2</v>
      </c>
      <c r="J1550" s="6">
        <v>300</v>
      </c>
      <c r="K1550">
        <v>87</v>
      </c>
      <c r="L1550">
        <v>600</v>
      </c>
      <c r="M1550" t="str">
        <f>IF(OR(I1550="",J1550="",L1550=""),"Incomplete","Complete")</f>
        <v>Complete</v>
      </c>
      <c r="N1550" t="str">
        <f>IF(M1550="Incomplete","Not checked",IF(ROUND(I1550*J1550,2)=ROUND(L1550,2),"Valid","Mismatch"))</f>
        <v>Valid</v>
      </c>
      <c r="O1550">
        <f t="shared" si="49"/>
        <v>513</v>
      </c>
    </row>
    <row r="1551" spans="1:15">
      <c r="A1551">
        <v>868</v>
      </c>
      <c r="B1551" t="str">
        <f t="shared" si="48"/>
        <v>2023-12</v>
      </c>
      <c r="C1551" s="1">
        <v>45264</v>
      </c>
      <c r="D1551" s="5">
        <v>0.56874999999999998</v>
      </c>
      <c r="E1551">
        <v>110</v>
      </c>
      <c r="F1551" t="s">
        <v>14</v>
      </c>
      <c r="G1551">
        <v>25</v>
      </c>
      <c r="H1551" t="s">
        <v>15</v>
      </c>
      <c r="I1551">
        <v>1</v>
      </c>
      <c r="J1551" s="6">
        <v>300</v>
      </c>
      <c r="K1551">
        <v>111</v>
      </c>
      <c r="L1551">
        <v>300</v>
      </c>
      <c r="M1551" t="str">
        <f>IF(OR(I1551="",J1551="",L1551=""),"Incomplete","Complete")</f>
        <v>Complete</v>
      </c>
      <c r="N1551" t="str">
        <f>IF(M1551="Incomplete","Not checked",IF(ROUND(I1551*J1551,2)=ROUND(L1551,2),"Valid","Mismatch"))</f>
        <v>Valid</v>
      </c>
      <c r="O1551">
        <f t="shared" si="49"/>
        <v>189</v>
      </c>
    </row>
    <row r="1552" spans="1:15">
      <c r="A1552">
        <v>1868</v>
      </c>
      <c r="B1552" t="str">
        <f t="shared" si="48"/>
        <v>2022-12</v>
      </c>
      <c r="C1552" s="1">
        <v>44901</v>
      </c>
      <c r="D1552" s="5">
        <v>0.68263888888888891</v>
      </c>
      <c r="E1552">
        <v>78</v>
      </c>
      <c r="F1552" t="s">
        <v>14</v>
      </c>
      <c r="G1552">
        <v>25</v>
      </c>
      <c r="H1552" t="s">
        <v>15</v>
      </c>
      <c r="I1552">
        <v>1</v>
      </c>
      <c r="J1552" s="6">
        <v>300</v>
      </c>
      <c r="K1552">
        <v>138</v>
      </c>
      <c r="L1552">
        <v>300</v>
      </c>
      <c r="M1552" t="str">
        <f>IF(OR(I1552="",J1552="",L1552=""),"Incomplete","Complete")</f>
        <v>Complete</v>
      </c>
      <c r="N1552" t="str">
        <f>IF(M1552="Incomplete","Not checked",IF(ROUND(I1552*J1552,2)=ROUND(L1552,2),"Valid","Mismatch"))</f>
        <v>Valid</v>
      </c>
      <c r="O1552">
        <f t="shared" si="49"/>
        <v>162</v>
      </c>
    </row>
    <row r="1553" spans="1:15">
      <c r="A1553">
        <v>550</v>
      </c>
      <c r="B1553" t="str">
        <f t="shared" si="48"/>
        <v>2023-09</v>
      </c>
      <c r="C1553" s="1">
        <v>45196</v>
      </c>
      <c r="D1553" s="5">
        <v>0.70694444444444449</v>
      </c>
      <c r="E1553">
        <v>80</v>
      </c>
      <c r="F1553" t="s">
        <v>11</v>
      </c>
      <c r="G1553">
        <v>40</v>
      </c>
      <c r="H1553" t="s">
        <v>12</v>
      </c>
      <c r="I1553">
        <v>3</v>
      </c>
      <c r="J1553" s="6">
        <v>300</v>
      </c>
      <c r="K1553">
        <v>90</v>
      </c>
      <c r="L1553">
        <v>900</v>
      </c>
      <c r="M1553" t="str">
        <f>IF(OR(I1553="",J1553="",L1553=""),"Incomplete","Complete")</f>
        <v>Complete</v>
      </c>
      <c r="N1553" t="str">
        <f>IF(M1553="Incomplete","Not checked",IF(ROUND(I1553*J1553,2)=ROUND(L1553,2),"Valid","Mismatch"))</f>
        <v>Valid</v>
      </c>
      <c r="O1553">
        <f t="shared" si="49"/>
        <v>810</v>
      </c>
    </row>
    <row r="1554" spans="1:15">
      <c r="A1554">
        <v>1550</v>
      </c>
      <c r="B1554" t="str">
        <f t="shared" si="48"/>
        <v>2022-09</v>
      </c>
      <c r="C1554" s="1">
        <v>44834</v>
      </c>
      <c r="D1554" s="5">
        <v>0.5493055555555556</v>
      </c>
      <c r="E1554">
        <v>73</v>
      </c>
      <c r="F1554" t="s">
        <v>11</v>
      </c>
      <c r="G1554">
        <v>40</v>
      </c>
      <c r="H1554" t="s">
        <v>12</v>
      </c>
      <c r="I1554">
        <v>3</v>
      </c>
      <c r="J1554" s="6">
        <v>300</v>
      </c>
      <c r="K1554">
        <v>147</v>
      </c>
      <c r="L1554">
        <v>900</v>
      </c>
      <c r="M1554" t="str">
        <f>IF(OR(I1554="",J1554="",L1554=""),"Incomplete","Complete")</f>
        <v>Complete</v>
      </c>
      <c r="N1554" t="str">
        <f>IF(M1554="Incomplete","Not checked",IF(ROUND(I1554*J1554,2)=ROUND(L1554,2),"Valid","Mismatch"))</f>
        <v>Valid</v>
      </c>
      <c r="O1554">
        <f t="shared" si="49"/>
        <v>753</v>
      </c>
    </row>
    <row r="1555" spans="1:15">
      <c r="A1555">
        <v>392</v>
      </c>
      <c r="B1555" t="str">
        <f t="shared" si="48"/>
        <v>2022-12</v>
      </c>
      <c r="C1555" s="1">
        <v>44916</v>
      </c>
      <c r="D1555" s="5">
        <v>0.5493055555555556</v>
      </c>
      <c r="E1555">
        <v>77</v>
      </c>
      <c r="F1555" t="s">
        <v>11</v>
      </c>
      <c r="G1555">
        <v>27</v>
      </c>
      <c r="H1555" t="s">
        <v>12</v>
      </c>
      <c r="I1555">
        <v>2</v>
      </c>
      <c r="J1555" s="6">
        <v>300</v>
      </c>
      <c r="K1555">
        <v>78</v>
      </c>
      <c r="L1555">
        <v>600</v>
      </c>
      <c r="M1555" t="str">
        <f>IF(OR(I1555="",J1555="",L1555=""),"Incomplete","Complete")</f>
        <v>Complete</v>
      </c>
      <c r="N1555" t="str">
        <f>IF(M1555="Incomplete","Not checked",IF(ROUND(I1555*J1555,2)=ROUND(L1555,2),"Valid","Mismatch"))</f>
        <v>Valid</v>
      </c>
      <c r="O1555">
        <f t="shared" si="49"/>
        <v>522</v>
      </c>
    </row>
    <row r="1556" spans="1:15">
      <c r="A1556">
        <v>540</v>
      </c>
      <c r="B1556" t="str">
        <f t="shared" si="48"/>
        <v>2022-12</v>
      </c>
      <c r="C1556" s="1">
        <v>44917</v>
      </c>
      <c r="D1556" s="5">
        <v>0.67847222222222225</v>
      </c>
      <c r="E1556">
        <v>79</v>
      </c>
      <c r="F1556" t="s">
        <v>14</v>
      </c>
      <c r="G1556">
        <v>46</v>
      </c>
      <c r="H1556" t="s">
        <v>15</v>
      </c>
      <c r="I1556">
        <v>3</v>
      </c>
      <c r="J1556" s="6">
        <v>300</v>
      </c>
      <c r="K1556">
        <v>87</v>
      </c>
      <c r="L1556">
        <v>900</v>
      </c>
      <c r="M1556" t="str">
        <f>IF(OR(I1556="",J1556="",L1556=""),"Incomplete","Complete")</f>
        <v>Complete</v>
      </c>
      <c r="N1556" t="str">
        <f>IF(M1556="Incomplete","Not checked",IF(ROUND(I1556*J1556,2)=ROUND(L1556,2),"Valid","Mismatch"))</f>
        <v>Valid</v>
      </c>
      <c r="O1556">
        <f t="shared" si="49"/>
        <v>813</v>
      </c>
    </row>
    <row r="1557" spans="1:15">
      <c r="A1557">
        <v>625</v>
      </c>
      <c r="B1557" t="str">
        <f t="shared" si="48"/>
        <v>2022-12</v>
      </c>
      <c r="C1557" s="1">
        <v>44920</v>
      </c>
      <c r="D1557" s="5">
        <v>0.56666666666666665</v>
      </c>
      <c r="E1557">
        <v>68</v>
      </c>
      <c r="F1557" t="s">
        <v>11</v>
      </c>
      <c r="G1557">
        <v>31</v>
      </c>
      <c r="H1557" t="s">
        <v>12</v>
      </c>
      <c r="I1557">
        <v>1</v>
      </c>
      <c r="J1557" s="6">
        <v>300</v>
      </c>
      <c r="K1557">
        <v>123</v>
      </c>
      <c r="L1557">
        <v>300</v>
      </c>
      <c r="M1557" t="str">
        <f>IF(OR(I1557="",J1557="",L1557=""),"Incomplete","Complete")</f>
        <v>Complete</v>
      </c>
      <c r="N1557" t="str">
        <f>IF(M1557="Incomplete","Not checked",IF(ROUND(I1557*J1557,2)=ROUND(L1557,2),"Valid","Mismatch"))</f>
        <v>Valid</v>
      </c>
      <c r="O1557">
        <f t="shared" si="49"/>
        <v>177</v>
      </c>
    </row>
    <row r="1558" spans="1:15">
      <c r="A1558">
        <v>1392</v>
      </c>
      <c r="B1558" t="str">
        <f t="shared" si="48"/>
        <v>2022-09</v>
      </c>
      <c r="C1558" s="1">
        <v>44816</v>
      </c>
      <c r="D1558" s="5">
        <v>0.51944444444444449</v>
      </c>
      <c r="E1558">
        <v>70</v>
      </c>
      <c r="F1558" t="s">
        <v>11</v>
      </c>
      <c r="G1558">
        <v>27</v>
      </c>
      <c r="H1558" t="s">
        <v>12</v>
      </c>
      <c r="I1558">
        <v>2</v>
      </c>
      <c r="J1558" s="6">
        <v>300</v>
      </c>
      <c r="K1558">
        <v>90</v>
      </c>
      <c r="L1558">
        <v>600</v>
      </c>
      <c r="M1558" t="str">
        <f>IF(OR(I1558="",J1558="",L1558=""),"Incomplete","Complete")</f>
        <v>Complete</v>
      </c>
      <c r="N1558" t="str">
        <f>IF(M1558="Incomplete","Not checked",IF(ROUND(I1558*J1558,2)=ROUND(L1558,2),"Valid","Mismatch"))</f>
        <v>Valid</v>
      </c>
      <c r="O1558">
        <f t="shared" si="49"/>
        <v>510</v>
      </c>
    </row>
    <row r="1559" spans="1:15">
      <c r="A1559">
        <v>1540</v>
      </c>
      <c r="B1559" t="str">
        <f t="shared" si="48"/>
        <v>2023-10</v>
      </c>
      <c r="C1559" s="1">
        <v>45211</v>
      </c>
      <c r="D1559" s="5">
        <v>0.70208333333333328</v>
      </c>
      <c r="E1559">
        <v>115</v>
      </c>
      <c r="F1559" t="s">
        <v>14</v>
      </c>
      <c r="G1559">
        <v>46</v>
      </c>
      <c r="H1559" t="s">
        <v>15</v>
      </c>
      <c r="I1559">
        <v>3</v>
      </c>
      <c r="J1559" s="6">
        <v>300</v>
      </c>
      <c r="K1559">
        <v>147</v>
      </c>
      <c r="L1559">
        <v>900</v>
      </c>
      <c r="M1559" t="str">
        <f>IF(OR(I1559="",J1559="",L1559=""),"Incomplete","Complete")</f>
        <v>Complete</v>
      </c>
      <c r="N1559" t="str">
        <f>IF(M1559="Incomplete","Not checked",IF(ROUND(I1559*J1559,2)=ROUND(L1559,2),"Valid","Mismatch"))</f>
        <v>Valid</v>
      </c>
      <c r="O1559">
        <f t="shared" si="49"/>
        <v>753</v>
      </c>
    </row>
    <row r="1560" spans="1:15">
      <c r="A1560">
        <v>1625</v>
      </c>
      <c r="B1560" t="str">
        <f t="shared" si="48"/>
        <v>2023-09</v>
      </c>
      <c r="C1560" s="1">
        <v>45196</v>
      </c>
      <c r="D1560" s="5">
        <v>0.69166666666666665</v>
      </c>
      <c r="E1560">
        <v>52</v>
      </c>
      <c r="F1560" t="s">
        <v>11</v>
      </c>
      <c r="G1560">
        <v>31</v>
      </c>
      <c r="H1560" t="s">
        <v>12</v>
      </c>
      <c r="I1560">
        <v>1</v>
      </c>
      <c r="J1560" s="6">
        <v>300</v>
      </c>
      <c r="K1560">
        <v>147</v>
      </c>
      <c r="L1560">
        <v>300</v>
      </c>
      <c r="M1560" t="str">
        <f>IF(OR(I1560="",J1560="",L1560=""),"Incomplete","Complete")</f>
        <v>Complete</v>
      </c>
      <c r="N1560" t="str">
        <f>IF(M1560="Incomplete","Not checked",IF(ROUND(I1560*J1560,2)=ROUND(L1560,2),"Valid","Mismatch"))</f>
        <v>Valid</v>
      </c>
      <c r="O1560">
        <f t="shared" si="49"/>
        <v>153</v>
      </c>
    </row>
    <row r="1561" spans="1:15">
      <c r="A1561">
        <v>828</v>
      </c>
      <c r="B1561" t="str">
        <f t="shared" si="48"/>
        <v>2022-11</v>
      </c>
      <c r="C1561" s="1">
        <v>44889</v>
      </c>
      <c r="D1561" s="5">
        <v>0.66249999999999998</v>
      </c>
      <c r="E1561">
        <v>76</v>
      </c>
      <c r="F1561" t="s">
        <v>14</v>
      </c>
      <c r="G1561">
        <v>33</v>
      </c>
      <c r="H1561" t="s">
        <v>15</v>
      </c>
      <c r="I1561">
        <v>4</v>
      </c>
      <c r="J1561" s="6">
        <v>300</v>
      </c>
      <c r="K1561">
        <v>132</v>
      </c>
      <c r="L1561">
        <v>1200</v>
      </c>
      <c r="M1561" t="str">
        <f>IF(OR(I1561="",J1561="",L1561=""),"Incomplete","Complete")</f>
        <v>Complete</v>
      </c>
      <c r="N1561" t="str">
        <f>IF(M1561="Incomplete","Not checked",IF(ROUND(I1561*J1561,2)=ROUND(L1561,2),"Valid","Mismatch"))</f>
        <v>Valid</v>
      </c>
      <c r="O1561">
        <f t="shared" si="49"/>
        <v>1068</v>
      </c>
    </row>
    <row r="1562" spans="1:15">
      <c r="A1562">
        <v>1828</v>
      </c>
      <c r="B1562" t="str">
        <f t="shared" si="48"/>
        <v>2022-10</v>
      </c>
      <c r="C1562" s="1">
        <v>44848</v>
      </c>
      <c r="D1562" s="5">
        <v>0.59305555555555556</v>
      </c>
      <c r="E1562">
        <v>99</v>
      </c>
      <c r="F1562" t="s">
        <v>14</v>
      </c>
      <c r="G1562">
        <v>33</v>
      </c>
      <c r="H1562" t="s">
        <v>15</v>
      </c>
      <c r="I1562">
        <v>4</v>
      </c>
      <c r="J1562" s="6">
        <v>300</v>
      </c>
      <c r="K1562">
        <v>165</v>
      </c>
      <c r="L1562">
        <v>1200</v>
      </c>
      <c r="M1562" t="str">
        <f>IF(OR(I1562="",J1562="",L1562=""),"Incomplete","Complete")</f>
        <v>Complete</v>
      </c>
      <c r="N1562" t="str">
        <f>IF(M1562="Incomplete","Not checked",IF(ROUND(I1562*J1562,2)=ROUND(L1562,2),"Valid","Mismatch"))</f>
        <v>Valid</v>
      </c>
      <c r="O1562">
        <f t="shared" si="49"/>
        <v>1035</v>
      </c>
    </row>
    <row r="1563" spans="1:15">
      <c r="A1563">
        <v>361</v>
      </c>
      <c r="B1563" t="str">
        <f t="shared" si="48"/>
        <v>2022-09</v>
      </c>
      <c r="C1563" s="1">
        <v>44816</v>
      </c>
      <c r="D1563" s="5">
        <v>0.69236111111111109</v>
      </c>
      <c r="E1563">
        <v>112</v>
      </c>
      <c r="F1563" t="s">
        <v>14</v>
      </c>
      <c r="G1563">
        <v>34</v>
      </c>
      <c r="H1563" t="s">
        <v>15</v>
      </c>
      <c r="I1563">
        <v>4</v>
      </c>
      <c r="J1563" s="6">
        <v>300</v>
      </c>
      <c r="K1563">
        <v>81</v>
      </c>
      <c r="L1563">
        <v>1200</v>
      </c>
      <c r="M1563" t="str">
        <f>IF(OR(I1563="",J1563="",L1563=""),"Incomplete","Complete")</f>
        <v>Complete</v>
      </c>
      <c r="N1563" t="str">
        <f>IF(M1563="Incomplete","Not checked",IF(ROUND(I1563*J1563,2)=ROUND(L1563,2),"Valid","Mismatch"))</f>
        <v>Valid</v>
      </c>
      <c r="O1563">
        <f t="shared" si="49"/>
        <v>1119</v>
      </c>
    </row>
    <row r="1564" spans="1:15">
      <c r="A1564">
        <v>1361</v>
      </c>
      <c r="B1564" t="str">
        <f t="shared" si="48"/>
        <v>2023-09</v>
      </c>
      <c r="C1564" s="1">
        <v>45181</v>
      </c>
      <c r="D1564" s="5">
        <v>0.66666666666666663</v>
      </c>
      <c r="E1564">
        <v>89</v>
      </c>
      <c r="F1564" t="s">
        <v>14</v>
      </c>
      <c r="G1564">
        <v>34</v>
      </c>
      <c r="H1564" t="s">
        <v>15</v>
      </c>
      <c r="I1564">
        <v>4</v>
      </c>
      <c r="J1564" s="6">
        <v>300</v>
      </c>
      <c r="K1564">
        <v>153</v>
      </c>
      <c r="L1564">
        <v>1200</v>
      </c>
      <c r="M1564" t="str">
        <f>IF(OR(I1564="",J1564="",L1564=""),"Incomplete","Complete")</f>
        <v>Complete</v>
      </c>
      <c r="N1564" t="str">
        <f>IF(M1564="Incomplete","Not checked",IF(ROUND(I1564*J1564,2)=ROUND(L1564,2),"Valid","Mismatch"))</f>
        <v>Valid</v>
      </c>
      <c r="O1564">
        <f t="shared" si="49"/>
        <v>1047</v>
      </c>
    </row>
    <row r="1565" spans="1:15">
      <c r="A1565">
        <v>265</v>
      </c>
      <c r="B1565" t="str">
        <f t="shared" si="48"/>
        <v>2022-11</v>
      </c>
      <c r="C1565" s="1">
        <v>44889</v>
      </c>
      <c r="D1565" s="5">
        <v>0.5083333333333333</v>
      </c>
      <c r="E1565">
        <v>80</v>
      </c>
      <c r="F1565" t="s">
        <v>11</v>
      </c>
      <c r="G1565">
        <v>55</v>
      </c>
      <c r="H1565" t="s">
        <v>12</v>
      </c>
      <c r="I1565">
        <v>3</v>
      </c>
      <c r="J1565" s="6">
        <v>300</v>
      </c>
      <c r="K1565">
        <v>132</v>
      </c>
      <c r="L1565">
        <v>900</v>
      </c>
      <c r="M1565" t="str">
        <f>IF(OR(I1565="",J1565="",L1565=""),"Incomplete","Complete")</f>
        <v>Complete</v>
      </c>
      <c r="N1565" t="str">
        <f>IF(M1565="Incomplete","Not checked",IF(ROUND(I1565*J1565,2)=ROUND(L1565,2),"Valid","Mismatch"))</f>
        <v>Valid</v>
      </c>
      <c r="O1565">
        <f t="shared" si="49"/>
        <v>768</v>
      </c>
    </row>
    <row r="1566" spans="1:15">
      <c r="A1566">
        <v>1265</v>
      </c>
      <c r="B1566" t="str">
        <f t="shared" si="48"/>
        <v>2022-11</v>
      </c>
      <c r="C1566" s="1">
        <v>44870</v>
      </c>
      <c r="D1566" s="5">
        <v>0.60763888888888884</v>
      </c>
      <c r="E1566">
        <v>86</v>
      </c>
      <c r="F1566" t="s">
        <v>11</v>
      </c>
      <c r="G1566">
        <v>55</v>
      </c>
      <c r="H1566" t="s">
        <v>12</v>
      </c>
      <c r="I1566">
        <v>3</v>
      </c>
      <c r="J1566" s="6">
        <v>300</v>
      </c>
      <c r="K1566">
        <v>111</v>
      </c>
      <c r="L1566">
        <v>900</v>
      </c>
      <c r="M1566" t="str">
        <f>IF(OR(I1566="",J1566="",L1566=""),"Incomplete","Complete")</f>
        <v>Complete</v>
      </c>
      <c r="N1566" t="str">
        <f>IF(M1566="Incomplete","Not checked",IF(ROUND(I1566*J1566,2)=ROUND(L1566,2),"Valid","Mismatch"))</f>
        <v>Valid</v>
      </c>
      <c r="O1566">
        <f t="shared" si="49"/>
        <v>789</v>
      </c>
    </row>
    <row r="1567" spans="1:15">
      <c r="A1567">
        <v>9</v>
      </c>
      <c r="B1567" t="str">
        <f t="shared" si="48"/>
        <v>2022-12</v>
      </c>
      <c r="C1567" s="1">
        <v>44897</v>
      </c>
      <c r="D1567" s="5">
        <v>0.55000000000000004</v>
      </c>
      <c r="E1567">
        <v>85</v>
      </c>
      <c r="F1567" t="s">
        <v>11</v>
      </c>
      <c r="G1567">
        <v>63</v>
      </c>
      <c r="H1567" t="s">
        <v>15</v>
      </c>
      <c r="I1567">
        <v>2</v>
      </c>
      <c r="J1567" s="6">
        <v>300</v>
      </c>
      <c r="K1567">
        <v>78</v>
      </c>
      <c r="L1567">
        <v>600</v>
      </c>
      <c r="M1567" t="str">
        <f>IF(OR(I1567="",J1567="",L1567=""),"Incomplete","Complete")</f>
        <v>Complete</v>
      </c>
      <c r="N1567" t="str">
        <f>IF(M1567="Incomplete","Not checked",IF(ROUND(I1567*J1567,2)=ROUND(L1567,2),"Valid","Mismatch"))</f>
        <v>Valid</v>
      </c>
      <c r="O1567">
        <f t="shared" si="49"/>
        <v>522</v>
      </c>
    </row>
    <row r="1568" spans="1:15">
      <c r="A1568">
        <v>1009</v>
      </c>
      <c r="B1568" t="str">
        <f t="shared" si="48"/>
        <v>2023-09</v>
      </c>
      <c r="C1568" s="1">
        <v>45191</v>
      </c>
      <c r="D1568" s="5">
        <v>0.59583333333333333</v>
      </c>
      <c r="E1568">
        <v>88</v>
      </c>
      <c r="F1568" t="s">
        <v>11</v>
      </c>
      <c r="G1568">
        <v>63</v>
      </c>
      <c r="H1568" t="s">
        <v>15</v>
      </c>
      <c r="I1568">
        <v>2</v>
      </c>
      <c r="J1568" s="6">
        <v>300</v>
      </c>
      <c r="K1568">
        <v>78</v>
      </c>
      <c r="L1568">
        <v>600</v>
      </c>
      <c r="M1568" t="str">
        <f>IF(OR(I1568="",J1568="",L1568=""),"Incomplete","Complete")</f>
        <v>Complete</v>
      </c>
      <c r="N1568" t="str">
        <f>IF(M1568="Incomplete","Not checked",IF(ROUND(I1568*J1568,2)=ROUND(L1568,2),"Valid","Mismatch"))</f>
        <v>Valid</v>
      </c>
      <c r="O1568">
        <f t="shared" si="49"/>
        <v>522</v>
      </c>
    </row>
    <row r="1569" spans="1:15">
      <c r="A1569">
        <v>496</v>
      </c>
      <c r="B1569" t="str">
        <f t="shared" si="48"/>
        <v>2022-12</v>
      </c>
      <c r="C1569" s="1">
        <v>44907</v>
      </c>
      <c r="D1569" s="5">
        <v>0.54652777777777772</v>
      </c>
      <c r="E1569">
        <v>91</v>
      </c>
      <c r="F1569" t="s">
        <v>11</v>
      </c>
      <c r="G1569">
        <v>23</v>
      </c>
      <c r="H1569" t="s">
        <v>12</v>
      </c>
      <c r="I1569">
        <v>2</v>
      </c>
      <c r="J1569" s="6">
        <v>300</v>
      </c>
      <c r="K1569">
        <v>141</v>
      </c>
      <c r="L1569">
        <v>600</v>
      </c>
      <c r="M1569" t="str">
        <f>IF(OR(I1569="",J1569="",L1569=""),"Incomplete","Complete")</f>
        <v>Complete</v>
      </c>
      <c r="N1569" t="str">
        <f>IF(M1569="Incomplete","Not checked",IF(ROUND(I1569*J1569,2)=ROUND(L1569,2),"Valid","Mismatch"))</f>
        <v>Valid</v>
      </c>
      <c r="O1569">
        <f t="shared" si="49"/>
        <v>459</v>
      </c>
    </row>
    <row r="1570" spans="1:15">
      <c r="A1570">
        <v>1496</v>
      </c>
      <c r="B1570" t="str">
        <f t="shared" si="48"/>
        <v>2022-09</v>
      </c>
      <c r="C1570" s="1">
        <v>44807</v>
      </c>
      <c r="D1570" s="5">
        <v>0.62847222222222221</v>
      </c>
      <c r="E1570">
        <v>110</v>
      </c>
      <c r="F1570" t="s">
        <v>11</v>
      </c>
      <c r="G1570">
        <v>23</v>
      </c>
      <c r="H1570" t="s">
        <v>12</v>
      </c>
      <c r="I1570">
        <v>2</v>
      </c>
      <c r="J1570" s="6">
        <v>300</v>
      </c>
      <c r="K1570">
        <v>120</v>
      </c>
      <c r="L1570">
        <v>600</v>
      </c>
      <c r="M1570" t="str">
        <f>IF(OR(I1570="",J1570="",L1570=""),"Incomplete","Complete")</f>
        <v>Complete</v>
      </c>
      <c r="N1570" t="str">
        <f>IF(M1570="Incomplete","Not checked",IF(ROUND(I1570*J1570,2)=ROUND(L1570,2),"Valid","Mismatch"))</f>
        <v>Valid</v>
      </c>
      <c r="O1570">
        <f t="shared" si="49"/>
        <v>480</v>
      </c>
    </row>
    <row r="1571" spans="1:15">
      <c r="A1571">
        <v>99</v>
      </c>
      <c r="B1571" t="str">
        <f t="shared" si="48"/>
        <v>2023-11</v>
      </c>
      <c r="C1571" s="1">
        <v>45249</v>
      </c>
      <c r="D1571" s="5">
        <v>0.6333333333333333</v>
      </c>
      <c r="E1571">
        <v>71</v>
      </c>
      <c r="F1571" t="s">
        <v>14</v>
      </c>
      <c r="G1571">
        <v>50</v>
      </c>
      <c r="H1571" t="s">
        <v>15</v>
      </c>
      <c r="I1571">
        <v>4</v>
      </c>
      <c r="J1571" s="6">
        <v>300</v>
      </c>
      <c r="K1571">
        <v>132</v>
      </c>
      <c r="L1571">
        <v>1200</v>
      </c>
      <c r="M1571" t="str">
        <f>IF(OR(I1571="",J1571="",L1571=""),"Incomplete","Complete")</f>
        <v>Complete</v>
      </c>
      <c r="N1571" t="str">
        <f>IF(M1571="Incomplete","Not checked",IF(ROUND(I1571*J1571,2)=ROUND(L1571,2),"Valid","Mismatch"))</f>
        <v>Valid</v>
      </c>
      <c r="O1571">
        <f t="shared" si="49"/>
        <v>1068</v>
      </c>
    </row>
    <row r="1572" spans="1:15">
      <c r="A1572">
        <v>783</v>
      </c>
      <c r="B1572" t="str">
        <f t="shared" si="48"/>
        <v>2022-11</v>
      </c>
      <c r="C1572" s="1">
        <v>44876</v>
      </c>
      <c r="D1572" s="5">
        <v>0.65069444444444446</v>
      </c>
      <c r="E1572">
        <v>91</v>
      </c>
      <c r="F1572" t="s">
        <v>14</v>
      </c>
      <c r="G1572">
        <v>56</v>
      </c>
      <c r="H1572" t="s">
        <v>12</v>
      </c>
      <c r="I1572">
        <v>1</v>
      </c>
      <c r="J1572" s="6">
        <v>300</v>
      </c>
      <c r="K1572">
        <v>150</v>
      </c>
      <c r="L1572">
        <v>300</v>
      </c>
      <c r="M1572" t="str">
        <f>IF(OR(I1572="",J1572="",L1572=""),"Incomplete","Complete")</f>
        <v>Complete</v>
      </c>
      <c r="N1572" t="str">
        <f>IF(M1572="Incomplete","Not checked",IF(ROUND(I1572*J1572,2)=ROUND(L1572,2),"Valid","Mismatch"))</f>
        <v>Valid</v>
      </c>
      <c r="O1572">
        <f t="shared" si="49"/>
        <v>150</v>
      </c>
    </row>
    <row r="1573" spans="1:15">
      <c r="A1573">
        <v>1099</v>
      </c>
      <c r="B1573" t="str">
        <f t="shared" si="48"/>
        <v>2022-12</v>
      </c>
      <c r="C1573" s="1">
        <v>44919</v>
      </c>
      <c r="D1573" s="5">
        <v>0.52847222222222223</v>
      </c>
      <c r="E1573">
        <v>56</v>
      </c>
      <c r="F1573" t="s">
        <v>14</v>
      </c>
      <c r="G1573">
        <v>50</v>
      </c>
      <c r="H1573" t="s">
        <v>15</v>
      </c>
      <c r="I1573">
        <v>4</v>
      </c>
      <c r="J1573" s="6">
        <v>300</v>
      </c>
      <c r="K1573">
        <v>162</v>
      </c>
      <c r="L1573">
        <v>1200</v>
      </c>
      <c r="M1573" t="str">
        <f>IF(OR(I1573="",J1573="",L1573=""),"Incomplete","Complete")</f>
        <v>Complete</v>
      </c>
      <c r="N1573" t="str">
        <f>IF(M1573="Incomplete","Not checked",IF(ROUND(I1573*J1573,2)=ROUND(L1573,2),"Valid","Mismatch"))</f>
        <v>Valid</v>
      </c>
      <c r="O1573">
        <f t="shared" si="49"/>
        <v>1038</v>
      </c>
    </row>
    <row r="1574" spans="1:15">
      <c r="A1574">
        <v>1783</v>
      </c>
      <c r="B1574" t="str">
        <f t="shared" si="48"/>
        <v>2023-09</v>
      </c>
      <c r="C1574" s="1">
        <v>45174</v>
      </c>
      <c r="D1574" s="5">
        <v>0.69236111111111109</v>
      </c>
      <c r="E1574">
        <v>52</v>
      </c>
      <c r="F1574" t="s">
        <v>14</v>
      </c>
      <c r="G1574">
        <v>56</v>
      </c>
      <c r="H1574" t="s">
        <v>12</v>
      </c>
      <c r="I1574">
        <v>1</v>
      </c>
      <c r="J1574" s="6">
        <v>300</v>
      </c>
      <c r="K1574">
        <v>135</v>
      </c>
      <c r="L1574">
        <v>300</v>
      </c>
      <c r="M1574" t="str">
        <f>IF(OR(I1574="",J1574="",L1574=""),"Incomplete","Complete")</f>
        <v>Complete</v>
      </c>
      <c r="N1574" t="str">
        <f>IF(M1574="Incomplete","Not checked",IF(ROUND(I1574*J1574,2)=ROUND(L1574,2),"Valid","Mismatch"))</f>
        <v>Valid</v>
      </c>
      <c r="O1574">
        <f t="shared" si="49"/>
        <v>165</v>
      </c>
    </row>
    <row r="1575" spans="1:15">
      <c r="A1575">
        <v>409</v>
      </c>
      <c r="B1575" t="str">
        <f t="shared" si="48"/>
        <v>2023-12</v>
      </c>
      <c r="C1575" s="1">
        <v>45277</v>
      </c>
      <c r="D1575" s="5">
        <v>0.52083333333333337</v>
      </c>
      <c r="E1575">
        <v>55</v>
      </c>
      <c r="F1575" t="s">
        <v>14</v>
      </c>
      <c r="G1575">
        <v>21</v>
      </c>
      <c r="H1575" t="s">
        <v>15</v>
      </c>
      <c r="I1575">
        <v>3</v>
      </c>
      <c r="J1575" s="6">
        <v>300</v>
      </c>
      <c r="K1575">
        <v>87</v>
      </c>
      <c r="L1575">
        <v>900</v>
      </c>
      <c r="M1575" t="str">
        <f>IF(OR(I1575="",J1575="",L1575=""),"Incomplete","Complete")</f>
        <v>Complete</v>
      </c>
      <c r="N1575" t="str">
        <f>IF(M1575="Incomplete","Not checked",IF(ROUND(I1575*J1575,2)=ROUND(L1575,2),"Valid","Mismatch"))</f>
        <v>Valid</v>
      </c>
      <c r="O1575">
        <f t="shared" si="49"/>
        <v>813</v>
      </c>
    </row>
    <row r="1576" spans="1:15">
      <c r="A1576">
        <v>939</v>
      </c>
      <c r="B1576" t="str">
        <f t="shared" si="48"/>
        <v>2022-11</v>
      </c>
      <c r="C1576" s="1">
        <v>44872</v>
      </c>
      <c r="D1576" s="5">
        <v>0.64444444444444449</v>
      </c>
      <c r="E1576">
        <v>75</v>
      </c>
      <c r="F1576" t="s">
        <v>14</v>
      </c>
      <c r="G1576">
        <v>46</v>
      </c>
      <c r="H1576" t="s">
        <v>15</v>
      </c>
      <c r="I1576">
        <v>1</v>
      </c>
      <c r="J1576" s="6">
        <v>300</v>
      </c>
      <c r="K1576">
        <v>81</v>
      </c>
      <c r="L1576">
        <v>300</v>
      </c>
      <c r="M1576" t="str">
        <f>IF(OR(I1576="",J1576="",L1576=""),"Incomplete","Complete")</f>
        <v>Complete</v>
      </c>
      <c r="N1576" t="str">
        <f>IF(M1576="Incomplete","Not checked",IF(ROUND(I1576*J1576,2)=ROUND(L1576,2),"Valid","Mismatch"))</f>
        <v>Valid</v>
      </c>
      <c r="O1576">
        <f t="shared" si="49"/>
        <v>219</v>
      </c>
    </row>
    <row r="1577" spans="1:15">
      <c r="A1577">
        <v>1409</v>
      </c>
      <c r="B1577" t="str">
        <f t="shared" si="48"/>
        <v>2023-11</v>
      </c>
      <c r="C1577" s="1">
        <v>45252</v>
      </c>
      <c r="D1577" s="5">
        <v>0.51041666666666663</v>
      </c>
      <c r="E1577">
        <v>102</v>
      </c>
      <c r="F1577" t="s">
        <v>14</v>
      </c>
      <c r="G1577">
        <v>21</v>
      </c>
      <c r="H1577" t="s">
        <v>15</v>
      </c>
      <c r="I1577">
        <v>3</v>
      </c>
      <c r="J1577" s="6">
        <v>300</v>
      </c>
      <c r="K1577">
        <v>138</v>
      </c>
      <c r="L1577">
        <v>900</v>
      </c>
      <c r="M1577" t="str">
        <f>IF(OR(I1577="",J1577="",L1577=""),"Incomplete","Complete")</f>
        <v>Complete</v>
      </c>
      <c r="N1577" t="str">
        <f>IF(M1577="Incomplete","Not checked",IF(ROUND(I1577*J1577,2)=ROUND(L1577,2),"Valid","Mismatch"))</f>
        <v>Valid</v>
      </c>
      <c r="O1577">
        <f t="shared" si="49"/>
        <v>762</v>
      </c>
    </row>
    <row r="1578" spans="1:15">
      <c r="A1578">
        <v>1939</v>
      </c>
      <c r="B1578" t="str">
        <f t="shared" si="48"/>
        <v>2022-10</v>
      </c>
      <c r="C1578" s="1">
        <v>44865</v>
      </c>
      <c r="D1578" s="5">
        <v>0.5625</v>
      </c>
      <c r="E1578">
        <v>74</v>
      </c>
      <c r="F1578" t="s">
        <v>14</v>
      </c>
      <c r="G1578">
        <v>46</v>
      </c>
      <c r="H1578" t="s">
        <v>15</v>
      </c>
      <c r="I1578">
        <v>1</v>
      </c>
      <c r="J1578" s="6">
        <v>300</v>
      </c>
      <c r="K1578">
        <v>135</v>
      </c>
      <c r="L1578">
        <v>300</v>
      </c>
      <c r="M1578" t="str">
        <f>IF(OR(I1578="",J1578="",L1578=""),"Incomplete","Complete")</f>
        <v>Complete</v>
      </c>
      <c r="N1578" t="str">
        <f>IF(M1578="Incomplete","Not checked",IF(ROUND(I1578*J1578,2)=ROUND(L1578,2),"Valid","Mismatch"))</f>
        <v>Valid</v>
      </c>
      <c r="O1578">
        <f t="shared" si="49"/>
        <v>165</v>
      </c>
    </row>
    <row r="1579" spans="1:15">
      <c r="A1579">
        <v>96</v>
      </c>
      <c r="B1579" t="str">
        <f t="shared" si="48"/>
        <v>2023-11</v>
      </c>
      <c r="C1579" s="1">
        <v>45252</v>
      </c>
      <c r="D1579" s="5">
        <v>0.59027777777777779</v>
      </c>
      <c r="E1579">
        <v>62</v>
      </c>
      <c r="F1579" t="s">
        <v>14</v>
      </c>
      <c r="G1579">
        <v>44</v>
      </c>
      <c r="H1579" t="s">
        <v>12</v>
      </c>
      <c r="I1579">
        <v>2</v>
      </c>
      <c r="J1579" s="6">
        <v>300</v>
      </c>
      <c r="K1579">
        <v>84</v>
      </c>
      <c r="L1579">
        <v>600</v>
      </c>
      <c r="M1579" t="str">
        <f>IF(OR(I1579="",J1579="",L1579=""),"Incomplete","Complete")</f>
        <v>Complete</v>
      </c>
      <c r="N1579" t="str">
        <f>IF(M1579="Incomplete","Not checked",IF(ROUND(I1579*J1579,2)=ROUND(L1579,2),"Valid","Mismatch"))</f>
        <v>Valid</v>
      </c>
      <c r="O1579">
        <f t="shared" si="49"/>
        <v>516</v>
      </c>
    </row>
    <row r="1580" spans="1:15">
      <c r="A1580">
        <v>1096</v>
      </c>
      <c r="B1580" t="str">
        <f t="shared" si="48"/>
        <v>2022-12</v>
      </c>
      <c r="C1580" s="1">
        <v>44896</v>
      </c>
      <c r="D1580" s="5">
        <v>0.61736111111111114</v>
      </c>
      <c r="E1580">
        <v>82</v>
      </c>
      <c r="F1580" t="s">
        <v>14</v>
      </c>
      <c r="G1580">
        <v>44</v>
      </c>
      <c r="H1580" t="s">
        <v>12</v>
      </c>
      <c r="I1580">
        <v>2</v>
      </c>
      <c r="J1580" s="6">
        <v>300</v>
      </c>
      <c r="K1580">
        <v>138</v>
      </c>
      <c r="L1580">
        <v>600</v>
      </c>
      <c r="M1580" t="str">
        <f>IF(OR(I1580="",J1580="",L1580=""),"Incomplete","Complete")</f>
        <v>Complete</v>
      </c>
      <c r="N1580" t="str">
        <f>IF(M1580="Incomplete","Not checked",IF(ROUND(I1580*J1580,2)=ROUND(L1580,2),"Valid","Mismatch"))</f>
        <v>Valid</v>
      </c>
      <c r="O1580">
        <f t="shared" si="49"/>
        <v>462</v>
      </c>
    </row>
    <row r="1581" spans="1:15">
      <c r="A1581">
        <v>435</v>
      </c>
      <c r="B1581" t="str">
        <f t="shared" si="48"/>
        <v>2023-12</v>
      </c>
      <c r="C1581" s="1">
        <v>45275</v>
      </c>
      <c r="D1581" s="5">
        <v>0.57013888888888886</v>
      </c>
      <c r="E1581">
        <v>113</v>
      </c>
      <c r="F1581" t="s">
        <v>14</v>
      </c>
      <c r="G1581">
        <v>30</v>
      </c>
      <c r="H1581" t="s">
        <v>13</v>
      </c>
      <c r="I1581">
        <v>3</v>
      </c>
      <c r="J1581" s="6">
        <v>300</v>
      </c>
      <c r="K1581">
        <v>108</v>
      </c>
      <c r="L1581">
        <v>900</v>
      </c>
      <c r="M1581" t="str">
        <f>IF(OR(I1581="",J1581="",L1581=""),"Incomplete","Complete")</f>
        <v>Complete</v>
      </c>
      <c r="N1581" t="str">
        <f>IF(M1581="Incomplete","Not checked",IF(ROUND(I1581*J1581,2)=ROUND(L1581,2),"Valid","Mismatch"))</f>
        <v>Valid</v>
      </c>
      <c r="O1581">
        <f t="shared" si="49"/>
        <v>792</v>
      </c>
    </row>
    <row r="1582" spans="1:15">
      <c r="A1582">
        <v>1435</v>
      </c>
      <c r="B1582" t="str">
        <f t="shared" si="48"/>
        <v>2022-10</v>
      </c>
      <c r="C1582" s="1">
        <v>44861</v>
      </c>
      <c r="D1582" s="5">
        <v>0.56319444444444444</v>
      </c>
      <c r="E1582">
        <v>61</v>
      </c>
      <c r="F1582" t="s">
        <v>14</v>
      </c>
      <c r="G1582">
        <v>30</v>
      </c>
      <c r="H1582" t="s">
        <v>13</v>
      </c>
      <c r="I1582">
        <v>3</v>
      </c>
      <c r="J1582" s="6">
        <v>300</v>
      </c>
      <c r="K1582">
        <v>114</v>
      </c>
      <c r="L1582">
        <v>900</v>
      </c>
      <c r="M1582" t="str">
        <f>IF(OR(I1582="",J1582="",L1582=""),"Incomplete","Complete")</f>
        <v>Complete</v>
      </c>
      <c r="N1582" t="str">
        <f>IF(M1582="Incomplete","Not checked",IF(ROUND(I1582*J1582,2)=ROUND(L1582,2),"Valid","Mismatch"))</f>
        <v>Valid</v>
      </c>
      <c r="O1582">
        <f t="shared" si="49"/>
        <v>786</v>
      </c>
    </row>
    <row r="1583" spans="1:15">
      <c r="A1583">
        <v>865</v>
      </c>
      <c r="B1583" t="str">
        <f t="shared" si="48"/>
        <v>2023-12</v>
      </c>
      <c r="C1583" s="1">
        <v>45277</v>
      </c>
      <c r="D1583" s="5">
        <v>0.61736111111111114</v>
      </c>
      <c r="E1583">
        <v>78</v>
      </c>
      <c r="F1583" t="s">
        <v>14</v>
      </c>
      <c r="G1583">
        <v>42</v>
      </c>
      <c r="H1583" t="s">
        <v>12</v>
      </c>
      <c r="I1583">
        <v>1</v>
      </c>
      <c r="J1583" s="6">
        <v>300</v>
      </c>
      <c r="K1583">
        <v>108</v>
      </c>
      <c r="L1583">
        <v>300</v>
      </c>
      <c r="M1583" t="str">
        <f>IF(OR(I1583="",J1583="",L1583=""),"Incomplete","Complete")</f>
        <v>Complete</v>
      </c>
      <c r="N1583" t="str">
        <f>IF(M1583="Incomplete","Not checked",IF(ROUND(I1583*J1583,2)=ROUND(L1583,2),"Valid","Mismatch"))</f>
        <v>Valid</v>
      </c>
      <c r="O1583">
        <f t="shared" si="49"/>
        <v>192</v>
      </c>
    </row>
    <row r="1584" spans="1:15">
      <c r="A1584">
        <v>1865</v>
      </c>
      <c r="B1584" t="str">
        <f t="shared" si="48"/>
        <v>2022-11</v>
      </c>
      <c r="C1584" s="1">
        <v>44883</v>
      </c>
      <c r="D1584" s="5">
        <v>0.61944444444444446</v>
      </c>
      <c r="E1584">
        <v>107</v>
      </c>
      <c r="F1584" t="s">
        <v>14</v>
      </c>
      <c r="G1584">
        <v>42</v>
      </c>
      <c r="H1584" t="s">
        <v>12</v>
      </c>
      <c r="I1584">
        <v>1</v>
      </c>
      <c r="J1584" s="6">
        <v>300</v>
      </c>
      <c r="K1584">
        <v>156</v>
      </c>
      <c r="L1584">
        <v>300</v>
      </c>
      <c r="M1584" t="str">
        <f>IF(OR(I1584="",J1584="",L1584=""),"Incomplete","Complete")</f>
        <v>Complete</v>
      </c>
      <c r="N1584" t="str">
        <f>IF(M1584="Incomplete","Not checked",IF(ROUND(I1584*J1584,2)=ROUND(L1584,2),"Valid","Mismatch"))</f>
        <v>Valid</v>
      </c>
      <c r="O1584">
        <f t="shared" si="49"/>
        <v>144</v>
      </c>
    </row>
    <row r="1585" spans="1:15">
      <c r="A1585">
        <v>602</v>
      </c>
      <c r="B1585" t="str">
        <f t="shared" si="48"/>
        <v>2023-12</v>
      </c>
      <c r="C1585" s="1">
        <v>45272</v>
      </c>
      <c r="D1585" s="5">
        <v>0.69861111111111107</v>
      </c>
      <c r="E1585">
        <v>75</v>
      </c>
      <c r="F1585" t="s">
        <v>14</v>
      </c>
      <c r="G1585">
        <v>20</v>
      </c>
      <c r="H1585" t="s">
        <v>15</v>
      </c>
      <c r="I1585">
        <v>1</v>
      </c>
      <c r="J1585" s="6">
        <v>300</v>
      </c>
      <c r="K1585">
        <v>96</v>
      </c>
      <c r="L1585">
        <v>300</v>
      </c>
      <c r="M1585" t="str">
        <f>IF(OR(I1585="",J1585="",L1585=""),"Incomplete","Complete")</f>
        <v>Complete</v>
      </c>
      <c r="N1585" t="str">
        <f>IF(M1585="Incomplete","Not checked",IF(ROUND(I1585*J1585,2)=ROUND(L1585,2),"Valid","Mismatch"))</f>
        <v>Valid</v>
      </c>
      <c r="O1585">
        <f t="shared" si="49"/>
        <v>204</v>
      </c>
    </row>
    <row r="1586" spans="1:15">
      <c r="A1586">
        <v>678</v>
      </c>
      <c r="B1586" t="str">
        <f t="shared" si="48"/>
        <v>2022-11</v>
      </c>
      <c r="C1586" s="1">
        <v>44882</v>
      </c>
      <c r="D1586" s="5">
        <v>0.66319444444444442</v>
      </c>
      <c r="E1586">
        <v>70</v>
      </c>
      <c r="F1586" t="s">
        <v>14</v>
      </c>
      <c r="G1586">
        <v>60</v>
      </c>
      <c r="H1586" t="s">
        <v>15</v>
      </c>
      <c r="I1586">
        <v>3</v>
      </c>
      <c r="J1586" s="6">
        <v>300</v>
      </c>
      <c r="K1586">
        <v>144</v>
      </c>
      <c r="L1586">
        <v>900</v>
      </c>
      <c r="M1586" t="str">
        <f>IF(OR(I1586="",J1586="",L1586=""),"Incomplete","Complete")</f>
        <v>Complete</v>
      </c>
      <c r="N1586" t="str">
        <f>IF(M1586="Incomplete","Not checked",IF(ROUND(I1586*J1586,2)=ROUND(L1586,2),"Valid","Mismatch"))</f>
        <v>Valid</v>
      </c>
      <c r="O1586">
        <f t="shared" si="49"/>
        <v>756</v>
      </c>
    </row>
    <row r="1587" spans="1:15">
      <c r="A1587">
        <v>1602</v>
      </c>
      <c r="B1587" t="str">
        <f t="shared" si="48"/>
        <v>2022-12</v>
      </c>
      <c r="C1587" s="1">
        <v>44896</v>
      </c>
      <c r="D1587" s="5">
        <v>0.63680555555555551</v>
      </c>
      <c r="E1587">
        <v>86</v>
      </c>
      <c r="F1587" t="s">
        <v>14</v>
      </c>
      <c r="G1587">
        <v>20</v>
      </c>
      <c r="H1587" t="s">
        <v>15</v>
      </c>
      <c r="I1587">
        <v>1</v>
      </c>
      <c r="J1587" s="6">
        <v>300</v>
      </c>
      <c r="K1587">
        <v>126</v>
      </c>
      <c r="L1587">
        <v>300</v>
      </c>
      <c r="M1587" t="str">
        <f>IF(OR(I1587="",J1587="",L1587=""),"Incomplete","Complete")</f>
        <v>Complete</v>
      </c>
      <c r="N1587" t="str">
        <f>IF(M1587="Incomplete","Not checked",IF(ROUND(I1587*J1587,2)=ROUND(L1587,2),"Valid","Mismatch"))</f>
        <v>Valid</v>
      </c>
      <c r="O1587">
        <f t="shared" si="49"/>
        <v>174</v>
      </c>
    </row>
    <row r="1588" spans="1:15">
      <c r="A1588">
        <v>1678</v>
      </c>
      <c r="B1588" t="str">
        <f t="shared" si="48"/>
        <v>2022-09</v>
      </c>
      <c r="C1588" s="1">
        <v>44820</v>
      </c>
      <c r="D1588" s="5">
        <v>0.57222222222222219</v>
      </c>
      <c r="E1588">
        <v>99</v>
      </c>
      <c r="F1588" t="s">
        <v>14</v>
      </c>
      <c r="G1588">
        <v>60</v>
      </c>
      <c r="H1588" t="s">
        <v>15</v>
      </c>
      <c r="I1588">
        <v>3</v>
      </c>
      <c r="J1588" s="6">
        <v>300</v>
      </c>
      <c r="K1588">
        <v>102</v>
      </c>
      <c r="L1588">
        <v>900</v>
      </c>
      <c r="M1588" t="str">
        <f>IF(OR(I1588="",J1588="",L1588=""),"Incomplete","Complete")</f>
        <v>Complete</v>
      </c>
      <c r="N1588" t="str">
        <f>IF(M1588="Incomplete","Not checked",IF(ROUND(I1588*J1588,2)=ROUND(L1588,2),"Valid","Mismatch"))</f>
        <v>Valid</v>
      </c>
      <c r="O1588">
        <f t="shared" si="49"/>
        <v>798</v>
      </c>
    </row>
    <row r="1589" spans="1:15">
      <c r="A1589">
        <v>757</v>
      </c>
      <c r="B1589" t="str">
        <f t="shared" si="48"/>
        <v>2023-10</v>
      </c>
      <c r="C1589" s="1">
        <v>45205</v>
      </c>
      <c r="D1589" s="5">
        <v>0.50694444444444442</v>
      </c>
      <c r="E1589">
        <v>82</v>
      </c>
      <c r="F1589" t="s">
        <v>14</v>
      </c>
      <c r="G1589">
        <v>43</v>
      </c>
      <c r="H1589" t="s">
        <v>15</v>
      </c>
      <c r="I1589">
        <v>4</v>
      </c>
      <c r="J1589" s="6">
        <v>300</v>
      </c>
      <c r="K1589">
        <v>105</v>
      </c>
      <c r="L1589">
        <v>1200</v>
      </c>
      <c r="M1589" t="str">
        <f>IF(OR(I1589="",J1589="",L1589=""),"Incomplete","Complete")</f>
        <v>Complete</v>
      </c>
      <c r="N1589" t="str">
        <f>IF(M1589="Incomplete","Not checked",IF(ROUND(I1589*J1589,2)=ROUND(L1589,2),"Valid","Mismatch"))</f>
        <v>Valid</v>
      </c>
      <c r="O1589">
        <f t="shared" si="49"/>
        <v>1095</v>
      </c>
    </row>
    <row r="1590" spans="1:15">
      <c r="A1590">
        <v>1757</v>
      </c>
      <c r="B1590" t="str">
        <f t="shared" si="48"/>
        <v>2023-09</v>
      </c>
      <c r="C1590" s="1">
        <v>45198</v>
      </c>
      <c r="D1590" s="5">
        <v>0.6958333333333333</v>
      </c>
      <c r="E1590">
        <v>50</v>
      </c>
      <c r="F1590" t="s">
        <v>14</v>
      </c>
      <c r="G1590">
        <v>43</v>
      </c>
      <c r="H1590" t="s">
        <v>15</v>
      </c>
      <c r="I1590">
        <v>4</v>
      </c>
      <c r="J1590" s="6">
        <v>300</v>
      </c>
      <c r="K1590">
        <v>132</v>
      </c>
      <c r="L1590">
        <v>1200</v>
      </c>
      <c r="M1590" t="str">
        <f>IF(OR(I1590="",J1590="",L1590=""),"Incomplete","Complete")</f>
        <v>Complete</v>
      </c>
      <c r="N1590" t="str">
        <f>IF(M1590="Incomplete","Not checked",IF(ROUND(I1590*J1590,2)=ROUND(L1590,2),"Valid","Mismatch"))</f>
        <v>Valid</v>
      </c>
      <c r="O1590">
        <f t="shared" si="49"/>
        <v>1068</v>
      </c>
    </row>
    <row r="1591" spans="1:15">
      <c r="A1591">
        <v>472</v>
      </c>
      <c r="B1591" t="str">
        <f t="shared" si="48"/>
        <v>2023-10</v>
      </c>
      <c r="C1591" s="1">
        <v>45229</v>
      </c>
      <c r="D1591" s="5">
        <v>0.64097222222222228</v>
      </c>
      <c r="E1591">
        <v>95</v>
      </c>
      <c r="F1591" t="s">
        <v>14</v>
      </c>
      <c r="G1591">
        <v>38</v>
      </c>
      <c r="H1591" t="s">
        <v>13</v>
      </c>
      <c r="I1591">
        <v>3</v>
      </c>
      <c r="J1591" s="6">
        <v>300</v>
      </c>
      <c r="K1591">
        <v>162</v>
      </c>
      <c r="L1591">
        <v>900</v>
      </c>
      <c r="M1591" t="str">
        <f>IF(OR(I1591="",J1591="",L1591=""),"Incomplete","Complete")</f>
        <v>Complete</v>
      </c>
      <c r="N1591" t="str">
        <f>IF(M1591="Incomplete","Not checked",IF(ROUND(I1591*J1591,2)=ROUND(L1591,2),"Valid","Mismatch"))</f>
        <v>Valid</v>
      </c>
      <c r="O1591">
        <f t="shared" si="49"/>
        <v>738</v>
      </c>
    </row>
    <row r="1592" spans="1:15">
      <c r="A1592">
        <v>842</v>
      </c>
      <c r="B1592" t="str">
        <f t="shared" si="48"/>
        <v>2022-11</v>
      </c>
      <c r="C1592" s="1">
        <v>44893</v>
      </c>
      <c r="D1592" s="5">
        <v>0.59236111111111112</v>
      </c>
      <c r="E1592">
        <v>71</v>
      </c>
      <c r="F1592" t="s">
        <v>14</v>
      </c>
      <c r="G1592">
        <v>47</v>
      </c>
      <c r="H1592" t="s">
        <v>12</v>
      </c>
      <c r="I1592">
        <v>2</v>
      </c>
      <c r="J1592" s="6">
        <v>300</v>
      </c>
      <c r="K1592">
        <v>105</v>
      </c>
      <c r="L1592">
        <v>600</v>
      </c>
      <c r="M1592" t="str">
        <f>IF(OR(I1592="",J1592="",L1592=""),"Incomplete","Complete")</f>
        <v>Complete</v>
      </c>
      <c r="N1592" t="str">
        <f>IF(M1592="Incomplete","Not checked",IF(ROUND(I1592*J1592,2)=ROUND(L1592,2),"Valid","Mismatch"))</f>
        <v>Valid</v>
      </c>
      <c r="O1592">
        <f t="shared" si="49"/>
        <v>495</v>
      </c>
    </row>
    <row r="1593" spans="1:15">
      <c r="A1593">
        <v>1472</v>
      </c>
      <c r="B1593" t="str">
        <f t="shared" si="48"/>
        <v>2023-12</v>
      </c>
      <c r="C1593" s="1">
        <v>45278</v>
      </c>
      <c r="D1593" s="5">
        <v>0.64027777777777772</v>
      </c>
      <c r="E1593">
        <v>74</v>
      </c>
      <c r="F1593" t="s">
        <v>14</v>
      </c>
      <c r="G1593">
        <v>38</v>
      </c>
      <c r="H1593" t="s">
        <v>13</v>
      </c>
      <c r="I1593">
        <v>3</v>
      </c>
      <c r="J1593" s="6">
        <v>300</v>
      </c>
      <c r="K1593">
        <v>150</v>
      </c>
      <c r="L1593">
        <v>900</v>
      </c>
      <c r="M1593" t="str">
        <f>IF(OR(I1593="",J1593="",L1593=""),"Incomplete","Complete")</f>
        <v>Complete</v>
      </c>
      <c r="N1593" t="str">
        <f>IF(M1593="Incomplete","Not checked",IF(ROUND(I1593*J1593,2)=ROUND(L1593,2),"Valid","Mismatch"))</f>
        <v>Valid</v>
      </c>
      <c r="O1593">
        <f t="shared" si="49"/>
        <v>750</v>
      </c>
    </row>
    <row r="1594" spans="1:15">
      <c r="A1594">
        <v>1842</v>
      </c>
      <c r="B1594" t="str">
        <f t="shared" si="48"/>
        <v>2022-10</v>
      </c>
      <c r="C1594" s="1">
        <v>44838</v>
      </c>
      <c r="D1594" s="5">
        <v>0.5854166666666667</v>
      </c>
      <c r="E1594">
        <v>84</v>
      </c>
      <c r="F1594" t="s">
        <v>14</v>
      </c>
      <c r="G1594">
        <v>47</v>
      </c>
      <c r="H1594" t="s">
        <v>12</v>
      </c>
      <c r="I1594">
        <v>2</v>
      </c>
      <c r="J1594" s="6">
        <v>300</v>
      </c>
      <c r="K1594">
        <v>75</v>
      </c>
      <c r="L1594">
        <v>600</v>
      </c>
      <c r="M1594" t="str">
        <f>IF(OR(I1594="",J1594="",L1594=""),"Incomplete","Complete")</f>
        <v>Complete</v>
      </c>
      <c r="N1594" t="str">
        <f>IF(M1594="Incomplete","Not checked",IF(ROUND(I1594*J1594,2)=ROUND(L1594,2),"Valid","Mismatch"))</f>
        <v>Valid</v>
      </c>
      <c r="O1594">
        <f t="shared" si="49"/>
        <v>525</v>
      </c>
    </row>
    <row r="1595" spans="1:15">
      <c r="A1595">
        <v>386</v>
      </c>
      <c r="B1595" t="str">
        <f t="shared" si="48"/>
        <v>2022-10</v>
      </c>
      <c r="C1595" s="1">
        <v>44857</v>
      </c>
      <c r="D1595" s="5">
        <v>0.55555555555555558</v>
      </c>
      <c r="E1595">
        <v>77</v>
      </c>
      <c r="F1595" t="s">
        <v>14</v>
      </c>
      <c r="G1595">
        <v>54</v>
      </c>
      <c r="H1595" t="s">
        <v>15</v>
      </c>
      <c r="I1595">
        <v>2</v>
      </c>
      <c r="J1595" s="6">
        <v>300</v>
      </c>
      <c r="K1595">
        <v>153</v>
      </c>
      <c r="L1595">
        <v>600</v>
      </c>
      <c r="M1595" t="str">
        <f>IF(OR(I1595="",J1595="",L1595=""),"Incomplete","Complete")</f>
        <v>Complete</v>
      </c>
      <c r="N1595" t="str">
        <f>IF(M1595="Incomplete","Not checked",IF(ROUND(I1595*J1595,2)=ROUND(L1595,2),"Valid","Mismatch"))</f>
        <v>Valid</v>
      </c>
      <c r="O1595">
        <f t="shared" si="49"/>
        <v>447</v>
      </c>
    </row>
    <row r="1596" spans="1:15">
      <c r="A1596">
        <v>1386</v>
      </c>
      <c r="B1596" t="str">
        <f t="shared" si="48"/>
        <v>2023-12</v>
      </c>
      <c r="C1596" s="1">
        <v>45279</v>
      </c>
      <c r="D1596" s="5">
        <v>0.58750000000000002</v>
      </c>
      <c r="E1596">
        <v>110</v>
      </c>
      <c r="F1596" t="s">
        <v>14</v>
      </c>
      <c r="G1596">
        <v>54</v>
      </c>
      <c r="H1596" t="s">
        <v>15</v>
      </c>
      <c r="I1596">
        <v>2</v>
      </c>
      <c r="J1596" s="6">
        <v>300</v>
      </c>
      <c r="K1596">
        <v>81</v>
      </c>
      <c r="L1596">
        <v>600</v>
      </c>
      <c r="M1596" t="str">
        <f>IF(OR(I1596="",J1596="",L1596=""),"Incomplete","Complete")</f>
        <v>Complete</v>
      </c>
      <c r="N1596" t="str">
        <f>IF(M1596="Incomplete","Not checked",IF(ROUND(I1596*J1596,2)=ROUND(L1596,2),"Valid","Mismatch"))</f>
        <v>Valid</v>
      </c>
      <c r="O1596">
        <f t="shared" si="49"/>
        <v>519</v>
      </c>
    </row>
    <row r="1597" spans="1:15">
      <c r="A1597">
        <v>233</v>
      </c>
      <c r="B1597" t="str">
        <f t="shared" si="48"/>
        <v>2022-09</v>
      </c>
      <c r="C1597" s="1">
        <v>44807</v>
      </c>
      <c r="D1597" s="5">
        <v>0.54791666666666672</v>
      </c>
      <c r="E1597">
        <v>81</v>
      </c>
      <c r="F1597" t="s">
        <v>14</v>
      </c>
      <c r="G1597">
        <v>51</v>
      </c>
      <c r="H1597" t="s">
        <v>13</v>
      </c>
      <c r="I1597">
        <v>2</v>
      </c>
      <c r="J1597" s="6">
        <v>300</v>
      </c>
      <c r="K1597">
        <v>132</v>
      </c>
      <c r="L1597">
        <v>600</v>
      </c>
      <c r="M1597" t="str">
        <f>IF(OR(I1597="",J1597="",L1597=""),"Incomplete","Complete")</f>
        <v>Complete</v>
      </c>
      <c r="N1597" t="str">
        <f>IF(M1597="Incomplete","Not checked",IF(ROUND(I1597*J1597,2)=ROUND(L1597,2),"Valid","Mismatch"))</f>
        <v>Valid</v>
      </c>
      <c r="O1597">
        <f t="shared" si="49"/>
        <v>468</v>
      </c>
    </row>
    <row r="1598" spans="1:15">
      <c r="A1598">
        <v>908</v>
      </c>
      <c r="B1598" t="str">
        <f t="shared" si="48"/>
        <v>2022-10</v>
      </c>
      <c r="C1598" s="1">
        <v>44864</v>
      </c>
      <c r="D1598" s="5">
        <v>0.61597222222222225</v>
      </c>
      <c r="E1598">
        <v>64</v>
      </c>
      <c r="F1598" t="s">
        <v>11</v>
      </c>
      <c r="G1598">
        <v>46</v>
      </c>
      <c r="H1598" t="s">
        <v>13</v>
      </c>
      <c r="I1598">
        <v>4</v>
      </c>
      <c r="J1598" s="6">
        <v>300</v>
      </c>
      <c r="K1598">
        <v>81</v>
      </c>
      <c r="L1598">
        <v>1200</v>
      </c>
      <c r="M1598" t="str">
        <f>IF(OR(I1598="",J1598="",L1598=""),"Incomplete","Complete")</f>
        <v>Complete</v>
      </c>
      <c r="N1598" t="str">
        <f>IF(M1598="Incomplete","Not checked",IF(ROUND(I1598*J1598,2)=ROUND(L1598,2),"Valid","Mismatch"))</f>
        <v>Valid</v>
      </c>
      <c r="O1598">
        <f t="shared" si="49"/>
        <v>1119</v>
      </c>
    </row>
    <row r="1599" spans="1:15">
      <c r="A1599">
        <v>1233</v>
      </c>
      <c r="B1599" t="str">
        <f t="shared" si="48"/>
        <v>2023-10</v>
      </c>
      <c r="C1599" s="1">
        <v>45200</v>
      </c>
      <c r="D1599" s="5">
        <v>0.68055555555555558</v>
      </c>
      <c r="E1599">
        <v>79</v>
      </c>
      <c r="F1599" t="s">
        <v>14</v>
      </c>
      <c r="G1599">
        <v>51</v>
      </c>
      <c r="H1599" t="s">
        <v>13</v>
      </c>
      <c r="I1599">
        <v>2</v>
      </c>
      <c r="J1599" s="6">
        <v>300</v>
      </c>
      <c r="K1599">
        <v>117</v>
      </c>
      <c r="L1599">
        <v>600</v>
      </c>
      <c r="M1599" t="str">
        <f>IF(OR(I1599="",J1599="",L1599=""),"Incomplete","Complete")</f>
        <v>Complete</v>
      </c>
      <c r="N1599" t="str">
        <f>IF(M1599="Incomplete","Not checked",IF(ROUND(I1599*J1599,2)=ROUND(L1599,2),"Valid","Mismatch"))</f>
        <v>Valid</v>
      </c>
      <c r="O1599">
        <f t="shared" si="49"/>
        <v>483</v>
      </c>
    </row>
    <row r="1600" spans="1:15">
      <c r="A1600">
        <v>1908</v>
      </c>
      <c r="B1600" t="str">
        <f t="shared" si="48"/>
        <v>2023-12</v>
      </c>
      <c r="C1600" s="1">
        <v>45277</v>
      </c>
      <c r="D1600" s="5">
        <v>0.52361111111111114</v>
      </c>
      <c r="E1600">
        <v>93</v>
      </c>
      <c r="F1600" t="s">
        <v>11</v>
      </c>
      <c r="G1600">
        <v>46</v>
      </c>
      <c r="H1600" t="s">
        <v>13</v>
      </c>
      <c r="I1600">
        <v>4</v>
      </c>
      <c r="J1600" s="6">
        <v>300</v>
      </c>
      <c r="K1600">
        <v>87</v>
      </c>
      <c r="L1600">
        <v>1200</v>
      </c>
      <c r="M1600" t="str">
        <f>IF(OR(I1600="",J1600="",L1600=""),"Incomplete","Complete")</f>
        <v>Complete</v>
      </c>
      <c r="N1600" t="str">
        <f>IF(M1600="Incomplete","Not checked",IF(ROUND(I1600*J1600,2)=ROUND(L1600,2),"Valid","Mismatch"))</f>
        <v>Valid</v>
      </c>
      <c r="O1600">
        <f t="shared" si="49"/>
        <v>1113</v>
      </c>
    </row>
    <row r="1601" spans="1:15">
      <c r="A1601">
        <v>522</v>
      </c>
      <c r="B1601" t="str">
        <f t="shared" si="48"/>
        <v>2022-07</v>
      </c>
      <c r="C1601" s="1">
        <v>44751</v>
      </c>
      <c r="D1601" s="5">
        <v>0.45833333333333331</v>
      </c>
      <c r="E1601">
        <v>52</v>
      </c>
      <c r="F1601" t="s">
        <v>11</v>
      </c>
      <c r="G1601">
        <v>46</v>
      </c>
      <c r="H1601" t="s">
        <v>13</v>
      </c>
      <c r="I1601">
        <v>3</v>
      </c>
      <c r="J1601" s="6">
        <v>500</v>
      </c>
      <c r="K1601">
        <v>145</v>
      </c>
      <c r="L1601">
        <v>1500</v>
      </c>
      <c r="M1601" t="str">
        <f>IF(OR(I1601="",J1601="",L1601=""),"Incomplete","Complete")</f>
        <v>Complete</v>
      </c>
      <c r="N1601" t="str">
        <f>IF(M1601="Incomplete","Not checked",IF(ROUND(I1601*J1601,2)=ROUND(L1601,2),"Valid","Mismatch"))</f>
        <v>Valid</v>
      </c>
      <c r="O1601">
        <f t="shared" si="49"/>
        <v>1355</v>
      </c>
    </row>
    <row r="1602" spans="1:15">
      <c r="A1602">
        <v>1522</v>
      </c>
      <c r="B1602" t="str">
        <f t="shared" ref="B1602:B1665" si="50">TEXT(C1602,"yyyy-mm")</f>
        <v>2022-11</v>
      </c>
      <c r="C1602" s="1">
        <v>44879</v>
      </c>
      <c r="D1602" s="5">
        <v>0.3576388888888889</v>
      </c>
      <c r="E1602">
        <v>48</v>
      </c>
      <c r="F1602" t="s">
        <v>11</v>
      </c>
      <c r="G1602">
        <v>46</v>
      </c>
      <c r="H1602" t="s">
        <v>13</v>
      </c>
      <c r="I1602">
        <v>3</v>
      </c>
      <c r="J1602" s="6">
        <v>500</v>
      </c>
      <c r="K1602">
        <v>235</v>
      </c>
      <c r="L1602">
        <v>1500</v>
      </c>
      <c r="M1602" t="str">
        <f>IF(OR(I1602="",J1602="",L1602=""),"Incomplete","Complete")</f>
        <v>Complete</v>
      </c>
      <c r="N1602" t="str">
        <f>IF(M1602="Incomplete","Not checked",IF(ROUND(I1602*J1602,2)=ROUND(L1602,2),"Valid","Mismatch"))</f>
        <v>Valid</v>
      </c>
      <c r="O1602">
        <f t="shared" ref="O1602:O1665" si="51">IF(M1602="Incomplete","",L1602-K1602)</f>
        <v>1265</v>
      </c>
    </row>
    <row r="1603" spans="1:15">
      <c r="A1603">
        <v>421</v>
      </c>
      <c r="B1603" t="str">
        <f t="shared" si="50"/>
        <v>2022-04</v>
      </c>
      <c r="C1603" s="1">
        <v>44659</v>
      </c>
      <c r="D1603" s="5">
        <v>0.36319444444444443</v>
      </c>
      <c r="E1603">
        <v>66</v>
      </c>
      <c r="F1603" t="s">
        <v>14</v>
      </c>
      <c r="G1603">
        <v>37</v>
      </c>
      <c r="H1603" t="s">
        <v>12</v>
      </c>
      <c r="I1603">
        <v>3</v>
      </c>
      <c r="J1603" s="6">
        <v>500</v>
      </c>
      <c r="K1603">
        <v>235</v>
      </c>
      <c r="L1603">
        <v>1500</v>
      </c>
      <c r="M1603" t="str">
        <f>IF(OR(I1603="",J1603="",L1603=""),"Incomplete","Complete")</f>
        <v>Complete</v>
      </c>
      <c r="N1603" t="str">
        <f>IF(M1603="Incomplete","Not checked",IF(ROUND(I1603*J1603,2)=ROUND(L1603,2),"Valid","Mismatch"))</f>
        <v>Valid</v>
      </c>
      <c r="O1603">
        <f t="shared" si="51"/>
        <v>1265</v>
      </c>
    </row>
    <row r="1604" spans="1:15">
      <c r="A1604">
        <v>1421</v>
      </c>
      <c r="B1604" t="str">
        <f t="shared" si="50"/>
        <v>2022-01</v>
      </c>
      <c r="C1604" s="1">
        <v>44578</v>
      </c>
      <c r="D1604" s="5">
        <v>0.29652777777777778</v>
      </c>
      <c r="E1604">
        <v>59</v>
      </c>
      <c r="F1604" t="s">
        <v>14</v>
      </c>
      <c r="G1604">
        <v>37</v>
      </c>
      <c r="H1604" t="s">
        <v>12</v>
      </c>
      <c r="I1604">
        <v>3</v>
      </c>
      <c r="J1604" s="6">
        <v>500</v>
      </c>
      <c r="K1604">
        <v>185</v>
      </c>
      <c r="L1604">
        <v>1500</v>
      </c>
      <c r="M1604" t="str">
        <f>IF(OR(I1604="",J1604="",L1604=""),"Incomplete","Complete")</f>
        <v>Complete</v>
      </c>
      <c r="N1604" t="str">
        <f>IF(M1604="Incomplete","Not checked",IF(ROUND(I1604*J1604,2)=ROUND(L1604,2),"Valid","Mismatch"))</f>
        <v>Valid</v>
      </c>
      <c r="O1604">
        <f t="shared" si="51"/>
        <v>1315</v>
      </c>
    </row>
    <row r="1605" spans="1:15">
      <c r="A1605">
        <v>683</v>
      </c>
      <c r="B1605" t="str">
        <f t="shared" si="50"/>
        <v>2022-03</v>
      </c>
      <c r="C1605" s="1">
        <v>44626</v>
      </c>
      <c r="D1605" s="5">
        <v>0.43194444444444446</v>
      </c>
      <c r="E1605">
        <v>82</v>
      </c>
      <c r="F1605" t="s">
        <v>11</v>
      </c>
      <c r="G1605">
        <v>38</v>
      </c>
      <c r="H1605" t="s">
        <v>13</v>
      </c>
      <c r="I1605">
        <v>2</v>
      </c>
      <c r="J1605" s="6">
        <v>500</v>
      </c>
      <c r="K1605">
        <v>175</v>
      </c>
      <c r="L1605">
        <v>1000</v>
      </c>
      <c r="M1605" t="str">
        <f>IF(OR(I1605="",J1605="",L1605=""),"Incomplete","Complete")</f>
        <v>Complete</v>
      </c>
      <c r="N1605" t="str">
        <f>IF(M1605="Incomplete","Not checked",IF(ROUND(I1605*J1605,2)=ROUND(L1605,2),"Valid","Mismatch"))</f>
        <v>Valid</v>
      </c>
      <c r="O1605">
        <f t="shared" si="51"/>
        <v>825</v>
      </c>
    </row>
    <row r="1606" spans="1:15">
      <c r="A1606">
        <v>1683</v>
      </c>
      <c r="B1606" t="str">
        <f t="shared" si="50"/>
        <v>2022-05</v>
      </c>
      <c r="C1606" s="1">
        <v>44685</v>
      </c>
      <c r="D1606" s="5">
        <v>0.30486111111111114</v>
      </c>
      <c r="E1606">
        <v>98</v>
      </c>
      <c r="F1606" t="s">
        <v>11</v>
      </c>
      <c r="G1606">
        <v>38</v>
      </c>
      <c r="H1606" t="s">
        <v>13</v>
      </c>
      <c r="I1606">
        <v>2</v>
      </c>
      <c r="J1606" s="6">
        <v>500</v>
      </c>
      <c r="K1606">
        <v>220</v>
      </c>
      <c r="L1606">
        <v>1000</v>
      </c>
      <c r="M1606" t="str">
        <f>IF(OR(I1606="",J1606="",L1606=""),"Incomplete","Complete")</f>
        <v>Complete</v>
      </c>
      <c r="N1606" t="str">
        <f>IF(M1606="Incomplete","Not checked",IF(ROUND(I1606*J1606,2)=ROUND(L1606,2),"Valid","Mismatch"))</f>
        <v>Valid</v>
      </c>
      <c r="O1606">
        <f t="shared" si="51"/>
        <v>780</v>
      </c>
    </row>
    <row r="1607" spans="1:15">
      <c r="A1607">
        <v>432</v>
      </c>
      <c r="B1607" t="str">
        <f t="shared" si="50"/>
        <v>2022-03</v>
      </c>
      <c r="C1607" s="1">
        <v>44630</v>
      </c>
      <c r="D1607" s="5">
        <v>0.47986111111111113</v>
      </c>
      <c r="E1607">
        <v>17</v>
      </c>
      <c r="F1607" t="s">
        <v>14</v>
      </c>
      <c r="H1607" t="s">
        <v>15</v>
      </c>
      <c r="I1607">
        <v>2</v>
      </c>
      <c r="J1607" s="6">
        <v>500</v>
      </c>
      <c r="K1607">
        <v>190</v>
      </c>
      <c r="L1607">
        <v>1000</v>
      </c>
      <c r="M1607" t="str">
        <f>IF(OR(I1607="",J1607="",L1607=""),"Incomplete","Complete")</f>
        <v>Complete</v>
      </c>
      <c r="N1607" t="str">
        <f>IF(M1607="Incomplete","Not checked",IF(ROUND(I1607*J1607,2)=ROUND(L1607,2),"Valid","Mismatch"))</f>
        <v>Valid</v>
      </c>
      <c r="O1607">
        <f t="shared" si="51"/>
        <v>810</v>
      </c>
    </row>
    <row r="1608" spans="1:15">
      <c r="A1608">
        <v>1432</v>
      </c>
      <c r="B1608" t="str">
        <f t="shared" si="50"/>
        <v>2022-12</v>
      </c>
      <c r="C1608" s="1">
        <v>44920</v>
      </c>
      <c r="D1608" s="5">
        <v>0.26666666666666666</v>
      </c>
      <c r="E1608">
        <v>67</v>
      </c>
      <c r="F1608" t="s">
        <v>14</v>
      </c>
      <c r="H1608" t="s">
        <v>15</v>
      </c>
      <c r="I1608">
        <v>2</v>
      </c>
      <c r="J1608" s="6">
        <v>500</v>
      </c>
      <c r="K1608">
        <v>245</v>
      </c>
      <c r="L1608">
        <v>1000</v>
      </c>
      <c r="M1608" t="str">
        <f>IF(OR(I1608="",J1608="",L1608=""),"Incomplete","Complete")</f>
        <v>Complete</v>
      </c>
      <c r="N1608" t="str">
        <f>IF(M1608="Incomplete","Not checked",IF(ROUND(I1608*J1608,2)=ROUND(L1608,2),"Valid","Mismatch"))</f>
        <v>Valid</v>
      </c>
      <c r="O1608">
        <f t="shared" si="51"/>
        <v>755</v>
      </c>
    </row>
    <row r="1609" spans="1:15">
      <c r="A1609">
        <v>845</v>
      </c>
      <c r="B1609" t="str">
        <f t="shared" si="50"/>
        <v>2022-10</v>
      </c>
      <c r="C1609" s="1">
        <v>44861</v>
      </c>
      <c r="D1609" s="5">
        <v>0.42499999999999999</v>
      </c>
      <c r="E1609">
        <v>25</v>
      </c>
      <c r="F1609" t="s">
        <v>11</v>
      </c>
      <c r="H1609" t="s">
        <v>12</v>
      </c>
      <c r="I1609">
        <v>1</v>
      </c>
      <c r="J1609" s="6">
        <v>500</v>
      </c>
      <c r="K1609">
        <v>145</v>
      </c>
      <c r="L1609">
        <v>500</v>
      </c>
      <c r="M1609" t="str">
        <f>IF(OR(I1609="",J1609="",L1609=""),"Incomplete","Complete")</f>
        <v>Complete</v>
      </c>
      <c r="N1609" t="str">
        <f>IF(M1609="Incomplete","Not checked",IF(ROUND(I1609*J1609,2)=ROUND(L1609,2),"Valid","Mismatch"))</f>
        <v>Valid</v>
      </c>
      <c r="O1609">
        <f t="shared" si="51"/>
        <v>355</v>
      </c>
    </row>
    <row r="1610" spans="1:15">
      <c r="A1610">
        <v>1845</v>
      </c>
      <c r="B1610" t="str">
        <f t="shared" si="50"/>
        <v>2022-05</v>
      </c>
      <c r="C1610" s="1">
        <v>44705</v>
      </c>
      <c r="D1610" s="5">
        <v>0.29583333333333334</v>
      </c>
      <c r="E1610">
        <v>94</v>
      </c>
      <c r="F1610" t="s">
        <v>11</v>
      </c>
      <c r="H1610" t="s">
        <v>12</v>
      </c>
      <c r="I1610">
        <v>1</v>
      </c>
      <c r="J1610" s="6">
        <v>500</v>
      </c>
      <c r="K1610">
        <v>185</v>
      </c>
      <c r="L1610">
        <v>500</v>
      </c>
      <c r="M1610" t="str">
        <f>IF(OR(I1610="",J1610="",L1610=""),"Incomplete","Complete")</f>
        <v>Complete</v>
      </c>
      <c r="N1610" t="str">
        <f>IF(M1610="Incomplete","Not checked",IF(ROUND(I1610*J1610,2)=ROUND(L1610,2),"Valid","Mismatch"))</f>
        <v>Valid</v>
      </c>
      <c r="O1610">
        <f t="shared" si="51"/>
        <v>315</v>
      </c>
    </row>
    <row r="1611" spans="1:15">
      <c r="A1611">
        <v>21</v>
      </c>
      <c r="B1611" t="str">
        <f t="shared" si="50"/>
        <v>2022-07</v>
      </c>
      <c r="C1611" s="1">
        <v>44753</v>
      </c>
      <c r="D1611" s="5">
        <v>0.31458333333333333</v>
      </c>
      <c r="E1611">
        <v>59</v>
      </c>
      <c r="F1611" t="s">
        <v>14</v>
      </c>
      <c r="G1611">
        <v>50</v>
      </c>
      <c r="H1611" t="s">
        <v>13</v>
      </c>
      <c r="I1611">
        <v>1</v>
      </c>
      <c r="J1611" s="6">
        <v>500</v>
      </c>
      <c r="K1611">
        <v>275</v>
      </c>
      <c r="L1611">
        <v>500</v>
      </c>
      <c r="M1611" t="str">
        <f>IF(OR(I1611="",J1611="",L1611=""),"Incomplete","Complete")</f>
        <v>Complete</v>
      </c>
      <c r="N1611" t="str">
        <f>IF(M1611="Incomplete","Not checked",IF(ROUND(I1611*J1611,2)=ROUND(L1611,2),"Valid","Mismatch"))</f>
        <v>Valid</v>
      </c>
      <c r="O1611">
        <f t="shared" si="51"/>
        <v>225</v>
      </c>
    </row>
    <row r="1612" spans="1:15">
      <c r="A1612">
        <v>1021</v>
      </c>
      <c r="B1612" t="str">
        <f t="shared" si="50"/>
        <v>2022-06</v>
      </c>
      <c r="C1612" s="1">
        <v>44723</v>
      </c>
      <c r="D1612" s="5">
        <v>0.42986111111111114</v>
      </c>
      <c r="E1612">
        <v>44</v>
      </c>
      <c r="F1612" t="s">
        <v>14</v>
      </c>
      <c r="G1612">
        <v>50</v>
      </c>
      <c r="H1612" t="s">
        <v>13</v>
      </c>
      <c r="I1612">
        <v>1</v>
      </c>
      <c r="J1612" s="6">
        <v>500</v>
      </c>
      <c r="K1612">
        <v>155</v>
      </c>
      <c r="L1612">
        <v>500</v>
      </c>
      <c r="M1612" t="str">
        <f>IF(OR(I1612="",J1612="",L1612=""),"Incomplete","Complete")</f>
        <v>Complete</v>
      </c>
      <c r="N1612" t="str">
        <f>IF(M1612="Incomplete","Not checked",IF(ROUND(I1612*J1612,2)=ROUND(L1612,2),"Valid","Mismatch"))</f>
        <v>Valid</v>
      </c>
      <c r="O1612">
        <f t="shared" si="51"/>
        <v>345</v>
      </c>
    </row>
    <row r="1613" spans="1:15">
      <c r="A1613">
        <v>697</v>
      </c>
      <c r="B1613" t="str">
        <f t="shared" si="50"/>
        <v>2022-12</v>
      </c>
      <c r="C1613" s="1">
        <v>44920</v>
      </c>
      <c r="D1613" s="5">
        <v>0.32777777777777778</v>
      </c>
      <c r="E1613">
        <v>152</v>
      </c>
      <c r="F1613" t="s">
        <v>11</v>
      </c>
      <c r="G1613">
        <v>53</v>
      </c>
      <c r="H1613" t="s">
        <v>12</v>
      </c>
      <c r="I1613">
        <v>1</v>
      </c>
      <c r="J1613" s="6">
        <v>500</v>
      </c>
      <c r="K1613">
        <v>200</v>
      </c>
      <c r="L1613">
        <v>500</v>
      </c>
      <c r="M1613" t="str">
        <f>IF(OR(I1613="",J1613="",L1613=""),"Incomplete","Complete")</f>
        <v>Complete</v>
      </c>
      <c r="N1613" t="str">
        <f>IF(M1613="Incomplete","Not checked",IF(ROUND(I1613*J1613,2)=ROUND(L1613,2),"Valid","Mismatch"))</f>
        <v>Valid</v>
      </c>
      <c r="O1613">
        <f t="shared" si="51"/>
        <v>300</v>
      </c>
    </row>
    <row r="1614" spans="1:15">
      <c r="A1614">
        <v>1697</v>
      </c>
      <c r="B1614" t="str">
        <f t="shared" si="50"/>
        <v>2022-12</v>
      </c>
      <c r="C1614" s="1">
        <v>44913</v>
      </c>
      <c r="D1614" s="5">
        <v>0.34861111111111109</v>
      </c>
      <c r="E1614">
        <v>54</v>
      </c>
      <c r="F1614" t="s">
        <v>11</v>
      </c>
      <c r="G1614">
        <v>53</v>
      </c>
      <c r="H1614" t="s">
        <v>12</v>
      </c>
      <c r="I1614">
        <v>1</v>
      </c>
      <c r="J1614" s="6">
        <v>500</v>
      </c>
      <c r="K1614">
        <v>265</v>
      </c>
      <c r="L1614">
        <v>500</v>
      </c>
      <c r="M1614" t="str">
        <f>IF(OR(I1614="",J1614="",L1614=""),"Incomplete","Complete")</f>
        <v>Complete</v>
      </c>
      <c r="N1614" t="str">
        <f>IF(M1614="Incomplete","Not checked",IF(ROUND(I1614*J1614,2)=ROUND(L1614,2),"Valid","Mismatch"))</f>
        <v>Valid</v>
      </c>
      <c r="O1614">
        <f t="shared" si="51"/>
        <v>235</v>
      </c>
    </row>
    <row r="1615" spans="1:15">
      <c r="A1615">
        <v>15</v>
      </c>
      <c r="B1615" t="str">
        <f t="shared" si="50"/>
        <v>2022-07</v>
      </c>
      <c r="C1615" s="1">
        <v>44743</v>
      </c>
      <c r="D1615" s="5">
        <v>0.49305555555555558</v>
      </c>
      <c r="E1615">
        <v>75</v>
      </c>
      <c r="F1615" t="s">
        <v>14</v>
      </c>
      <c r="G1615">
        <v>42</v>
      </c>
      <c r="H1615" t="s">
        <v>15</v>
      </c>
      <c r="I1615">
        <v>4</v>
      </c>
      <c r="J1615" s="6">
        <v>500</v>
      </c>
      <c r="K1615">
        <v>210</v>
      </c>
      <c r="L1615">
        <v>2000</v>
      </c>
      <c r="M1615" t="str">
        <f>IF(OR(I1615="",J1615="",L1615=""),"Incomplete","Complete")</f>
        <v>Complete</v>
      </c>
      <c r="N1615" t="str">
        <f>IF(M1615="Incomplete","Not checked",IF(ROUND(I1615*J1615,2)=ROUND(L1615,2),"Valid","Mismatch"))</f>
        <v>Valid</v>
      </c>
      <c r="O1615">
        <f t="shared" si="51"/>
        <v>1790</v>
      </c>
    </row>
    <row r="1616" spans="1:15">
      <c r="A1616">
        <v>743</v>
      </c>
      <c r="B1616" t="str">
        <f t="shared" si="50"/>
        <v>2022-08</v>
      </c>
      <c r="C1616" s="1">
        <v>44780</v>
      </c>
      <c r="D1616" s="5">
        <v>0.32916666666666666</v>
      </c>
      <c r="E1616">
        <v>55</v>
      </c>
      <c r="F1616" t="s">
        <v>14</v>
      </c>
      <c r="G1616">
        <v>34</v>
      </c>
      <c r="H1616" t="s">
        <v>13</v>
      </c>
      <c r="I1616">
        <v>4</v>
      </c>
      <c r="J1616" s="6">
        <v>500</v>
      </c>
      <c r="K1616">
        <v>260</v>
      </c>
      <c r="L1616">
        <v>2000</v>
      </c>
      <c r="M1616" t="str">
        <f>IF(OR(I1616="",J1616="",L1616=""),"Incomplete","Complete")</f>
        <v>Complete</v>
      </c>
      <c r="N1616" t="str">
        <f>IF(M1616="Incomplete","Not checked",IF(ROUND(I1616*J1616,2)=ROUND(L1616,2),"Valid","Mismatch"))</f>
        <v>Valid</v>
      </c>
      <c r="O1616">
        <f t="shared" si="51"/>
        <v>1740</v>
      </c>
    </row>
    <row r="1617" spans="1:15">
      <c r="A1617">
        <v>1015</v>
      </c>
      <c r="B1617" t="str">
        <f t="shared" si="50"/>
        <v>2022-03</v>
      </c>
      <c r="C1617" s="1">
        <v>44629</v>
      </c>
      <c r="D1617" s="5">
        <v>0.49513888888888891</v>
      </c>
      <c r="E1617">
        <v>94</v>
      </c>
      <c r="F1617" t="s">
        <v>14</v>
      </c>
      <c r="G1617">
        <v>42</v>
      </c>
      <c r="H1617" t="s">
        <v>15</v>
      </c>
      <c r="I1617">
        <v>4</v>
      </c>
      <c r="J1617" s="6">
        <v>500</v>
      </c>
      <c r="K1617">
        <v>200</v>
      </c>
      <c r="L1617">
        <v>2000</v>
      </c>
      <c r="M1617" t="str">
        <f>IF(OR(I1617="",J1617="",L1617=""),"Incomplete","Complete")</f>
        <v>Complete</v>
      </c>
      <c r="N1617" t="str">
        <f>IF(M1617="Incomplete","Not checked",IF(ROUND(I1617*J1617,2)=ROUND(L1617,2),"Valid","Mismatch"))</f>
        <v>Valid</v>
      </c>
      <c r="O1617">
        <f t="shared" si="51"/>
        <v>1800</v>
      </c>
    </row>
    <row r="1618" spans="1:15">
      <c r="A1618">
        <v>1743</v>
      </c>
      <c r="B1618" t="str">
        <f t="shared" si="50"/>
        <v>2022-10</v>
      </c>
      <c r="C1618" s="1">
        <v>44860</v>
      </c>
      <c r="D1618" s="5">
        <v>0.40069444444444446</v>
      </c>
      <c r="E1618">
        <v>47</v>
      </c>
      <c r="F1618" t="s">
        <v>14</v>
      </c>
      <c r="G1618">
        <v>34</v>
      </c>
      <c r="H1618" t="s">
        <v>13</v>
      </c>
      <c r="I1618">
        <v>4</v>
      </c>
      <c r="J1618" s="6">
        <v>500</v>
      </c>
      <c r="K1618">
        <v>250</v>
      </c>
      <c r="L1618">
        <v>2000</v>
      </c>
      <c r="M1618" t="str">
        <f>IF(OR(I1618="",J1618="",L1618=""),"Incomplete","Complete")</f>
        <v>Complete</v>
      </c>
      <c r="N1618" t="str">
        <f>IF(M1618="Incomplete","Not checked",IF(ROUND(I1618*J1618,2)=ROUND(L1618,2),"Valid","Mismatch"))</f>
        <v>Valid</v>
      </c>
      <c r="O1618">
        <f t="shared" si="51"/>
        <v>1750</v>
      </c>
    </row>
    <row r="1619" spans="1:15">
      <c r="A1619">
        <v>238</v>
      </c>
      <c r="B1619" t="str">
        <f t="shared" si="50"/>
        <v>2022-05</v>
      </c>
      <c r="C1619" s="1">
        <v>44691</v>
      </c>
      <c r="D1619" s="5">
        <v>0.49444444444444446</v>
      </c>
      <c r="E1619">
        <v>20</v>
      </c>
      <c r="F1619" t="s">
        <v>14</v>
      </c>
      <c r="G1619">
        <v>39</v>
      </c>
      <c r="H1619" t="s">
        <v>13</v>
      </c>
      <c r="I1619">
        <v>1</v>
      </c>
      <c r="J1619" s="6">
        <v>500</v>
      </c>
      <c r="K1619">
        <v>150</v>
      </c>
      <c r="L1619">
        <v>500</v>
      </c>
      <c r="M1619" t="str">
        <f>IF(OR(I1619="",J1619="",L1619=""),"Incomplete","Complete")</f>
        <v>Complete</v>
      </c>
      <c r="N1619" t="str">
        <f>IF(M1619="Incomplete","Not checked",IF(ROUND(I1619*J1619,2)=ROUND(L1619,2),"Valid","Mismatch"))</f>
        <v>Valid</v>
      </c>
      <c r="O1619">
        <f t="shared" si="51"/>
        <v>350</v>
      </c>
    </row>
    <row r="1620" spans="1:15">
      <c r="A1620">
        <v>986</v>
      </c>
      <c r="B1620" t="str">
        <f t="shared" si="50"/>
        <v>2022-08</v>
      </c>
      <c r="C1620" s="1">
        <v>44774</v>
      </c>
      <c r="D1620" s="5">
        <v>0.39930555555555558</v>
      </c>
      <c r="E1620">
        <v>65</v>
      </c>
      <c r="F1620" t="s">
        <v>14</v>
      </c>
      <c r="G1620">
        <v>49</v>
      </c>
      <c r="H1620" t="s">
        <v>12</v>
      </c>
      <c r="I1620">
        <v>2</v>
      </c>
      <c r="J1620" s="6">
        <v>500</v>
      </c>
      <c r="K1620">
        <v>200</v>
      </c>
      <c r="L1620">
        <v>1000</v>
      </c>
      <c r="M1620" t="str">
        <f>IF(OR(I1620="",J1620="",L1620=""),"Incomplete","Complete")</f>
        <v>Complete</v>
      </c>
      <c r="N1620" t="str">
        <f>IF(M1620="Incomplete","Not checked",IF(ROUND(I1620*J1620,2)=ROUND(L1620,2),"Valid","Mismatch"))</f>
        <v>Valid</v>
      </c>
      <c r="O1620">
        <f t="shared" si="51"/>
        <v>800</v>
      </c>
    </row>
    <row r="1621" spans="1:15">
      <c r="A1621">
        <v>1238</v>
      </c>
      <c r="B1621" t="str">
        <f t="shared" si="50"/>
        <v>2022-09</v>
      </c>
      <c r="C1621" s="1">
        <v>44821</v>
      </c>
      <c r="D1621" s="5">
        <v>0.31805555555555554</v>
      </c>
      <c r="E1621">
        <v>129</v>
      </c>
      <c r="F1621" t="s">
        <v>14</v>
      </c>
      <c r="G1621">
        <v>39</v>
      </c>
      <c r="H1621" t="s">
        <v>13</v>
      </c>
      <c r="I1621">
        <v>1</v>
      </c>
      <c r="J1621" s="6">
        <v>500</v>
      </c>
      <c r="K1621">
        <v>165</v>
      </c>
      <c r="L1621">
        <v>500</v>
      </c>
      <c r="M1621" t="str">
        <f>IF(OR(I1621="",J1621="",L1621=""),"Incomplete","Complete")</f>
        <v>Complete</v>
      </c>
      <c r="N1621" t="str">
        <f>IF(M1621="Incomplete","Not checked",IF(ROUND(I1621*J1621,2)=ROUND(L1621,2),"Valid","Mismatch"))</f>
        <v>Valid</v>
      </c>
      <c r="O1621">
        <f t="shared" si="51"/>
        <v>335</v>
      </c>
    </row>
    <row r="1622" spans="1:15">
      <c r="A1622">
        <v>1986</v>
      </c>
      <c r="B1622" t="str">
        <f t="shared" si="50"/>
        <v>2022-09</v>
      </c>
      <c r="C1622" s="1">
        <v>44818</v>
      </c>
      <c r="D1622" s="5">
        <v>0.3527777777777778</v>
      </c>
      <c r="E1622">
        <v>29</v>
      </c>
      <c r="F1622" t="s">
        <v>14</v>
      </c>
      <c r="G1622">
        <v>49</v>
      </c>
      <c r="H1622" t="s">
        <v>12</v>
      </c>
      <c r="I1622">
        <v>2</v>
      </c>
      <c r="J1622" s="6">
        <v>500</v>
      </c>
      <c r="K1622">
        <v>145</v>
      </c>
      <c r="L1622">
        <v>1000</v>
      </c>
      <c r="M1622" t="str">
        <f>IF(OR(I1622="",J1622="",L1622=""),"Incomplete","Complete")</f>
        <v>Complete</v>
      </c>
      <c r="N1622" t="str">
        <f>IF(M1622="Incomplete","Not checked",IF(ROUND(I1622*J1622,2)=ROUND(L1622,2),"Valid","Mismatch"))</f>
        <v>Valid</v>
      </c>
      <c r="O1622">
        <f t="shared" si="51"/>
        <v>855</v>
      </c>
    </row>
    <row r="1623" spans="1:15">
      <c r="A1623">
        <v>742</v>
      </c>
      <c r="B1623" t="str">
        <f t="shared" si="50"/>
        <v>2022-03</v>
      </c>
      <c r="C1623" s="1">
        <v>44639</v>
      </c>
      <c r="D1623" s="5">
        <v>0.25555555555555554</v>
      </c>
      <c r="E1623">
        <v>37</v>
      </c>
      <c r="F1623" t="s">
        <v>14</v>
      </c>
      <c r="G1623">
        <v>38</v>
      </c>
      <c r="H1623" t="s">
        <v>15</v>
      </c>
      <c r="I1623">
        <v>4</v>
      </c>
      <c r="J1623" s="6">
        <v>500</v>
      </c>
      <c r="K1623">
        <v>195</v>
      </c>
      <c r="L1623">
        <v>2000</v>
      </c>
      <c r="M1623" t="str">
        <f>IF(OR(I1623="",J1623="",L1623=""),"Incomplete","Complete")</f>
        <v>Complete</v>
      </c>
      <c r="N1623" t="str">
        <f>IF(M1623="Incomplete","Not checked",IF(ROUND(I1623*J1623,2)=ROUND(L1623,2),"Valid","Mismatch"))</f>
        <v>Valid</v>
      </c>
      <c r="O1623">
        <f t="shared" si="51"/>
        <v>1805</v>
      </c>
    </row>
    <row r="1624" spans="1:15">
      <c r="A1624">
        <v>1742</v>
      </c>
      <c r="B1624" t="str">
        <f t="shared" si="50"/>
        <v>2022-11</v>
      </c>
      <c r="C1624" s="1">
        <v>44887</v>
      </c>
      <c r="D1624" s="5">
        <v>0.35069444444444442</v>
      </c>
      <c r="E1624">
        <v>18</v>
      </c>
      <c r="F1624" t="s">
        <v>14</v>
      </c>
      <c r="G1624">
        <v>38</v>
      </c>
      <c r="H1624" t="s">
        <v>15</v>
      </c>
      <c r="I1624">
        <v>4</v>
      </c>
      <c r="J1624" s="6">
        <v>500</v>
      </c>
      <c r="K1624">
        <v>220</v>
      </c>
      <c r="L1624">
        <v>2000</v>
      </c>
      <c r="M1624" t="str">
        <f>IF(OR(I1624="",J1624="",L1624=""),"Incomplete","Complete")</f>
        <v>Complete</v>
      </c>
      <c r="N1624" t="str">
        <f>IF(M1624="Incomplete","Not checked",IF(ROUND(I1624*J1624,2)=ROUND(L1624,2),"Valid","Mismatch"))</f>
        <v>Valid</v>
      </c>
      <c r="O1624">
        <f t="shared" si="51"/>
        <v>1780</v>
      </c>
    </row>
    <row r="1625" spans="1:15">
      <c r="A1625">
        <v>49</v>
      </c>
      <c r="B1625" t="str">
        <f t="shared" si="50"/>
        <v>2022-09</v>
      </c>
      <c r="C1625" s="1">
        <v>44821</v>
      </c>
      <c r="D1625" s="5">
        <v>0.43958333333333333</v>
      </c>
      <c r="E1625">
        <v>37</v>
      </c>
      <c r="F1625" t="s">
        <v>14</v>
      </c>
      <c r="G1625">
        <v>54</v>
      </c>
      <c r="H1625" t="s">
        <v>15</v>
      </c>
      <c r="I1625">
        <v>2</v>
      </c>
      <c r="J1625" s="6">
        <v>500</v>
      </c>
      <c r="K1625">
        <v>255</v>
      </c>
      <c r="L1625">
        <v>1000</v>
      </c>
      <c r="M1625" t="str">
        <f>IF(OR(I1625="",J1625="",L1625=""),"Incomplete","Complete")</f>
        <v>Complete</v>
      </c>
      <c r="N1625" t="str">
        <f>IF(M1625="Incomplete","Not checked",IF(ROUND(I1625*J1625,2)=ROUND(L1625,2),"Valid","Mismatch"))</f>
        <v>Valid</v>
      </c>
      <c r="O1625">
        <f t="shared" si="51"/>
        <v>745</v>
      </c>
    </row>
    <row r="1626" spans="1:15">
      <c r="A1626">
        <v>420</v>
      </c>
      <c r="B1626" t="str">
        <f t="shared" si="50"/>
        <v>2022-01</v>
      </c>
      <c r="C1626" s="1">
        <v>44563</v>
      </c>
      <c r="D1626" s="5">
        <v>0.45347222222222222</v>
      </c>
      <c r="E1626">
        <v>28</v>
      </c>
      <c r="F1626" t="s">
        <v>14</v>
      </c>
      <c r="G1626">
        <v>22</v>
      </c>
      <c r="H1626" t="s">
        <v>12</v>
      </c>
      <c r="I1626">
        <v>4</v>
      </c>
      <c r="J1626" s="6">
        <v>500</v>
      </c>
      <c r="K1626">
        <v>200</v>
      </c>
      <c r="L1626">
        <v>2000</v>
      </c>
      <c r="M1626" t="str">
        <f>IF(OR(I1626="",J1626="",L1626=""),"Incomplete","Complete")</f>
        <v>Complete</v>
      </c>
      <c r="N1626" t="str">
        <f>IF(M1626="Incomplete","Not checked",IF(ROUND(I1626*J1626,2)=ROUND(L1626,2),"Valid","Mismatch"))</f>
        <v>Valid</v>
      </c>
      <c r="O1626">
        <f t="shared" si="51"/>
        <v>1800</v>
      </c>
    </row>
    <row r="1627" spans="1:15">
      <c r="A1627">
        <v>1049</v>
      </c>
      <c r="B1627" t="str">
        <f t="shared" si="50"/>
        <v>2022-05</v>
      </c>
      <c r="C1627" s="1">
        <v>44697</v>
      </c>
      <c r="D1627" s="5">
        <v>0.27500000000000002</v>
      </c>
      <c r="E1627">
        <v>143</v>
      </c>
      <c r="F1627" t="s">
        <v>14</v>
      </c>
      <c r="G1627">
        <v>54</v>
      </c>
      <c r="H1627" t="s">
        <v>15</v>
      </c>
      <c r="I1627">
        <v>2</v>
      </c>
      <c r="J1627" s="6">
        <v>500</v>
      </c>
      <c r="K1627">
        <v>125</v>
      </c>
      <c r="L1627">
        <v>1000</v>
      </c>
      <c r="M1627" t="str">
        <f>IF(OR(I1627="",J1627="",L1627=""),"Incomplete","Complete")</f>
        <v>Complete</v>
      </c>
      <c r="N1627" t="str">
        <f>IF(M1627="Incomplete","Not checked",IF(ROUND(I1627*J1627,2)=ROUND(L1627,2),"Valid","Mismatch"))</f>
        <v>Valid</v>
      </c>
      <c r="O1627">
        <f t="shared" si="51"/>
        <v>875</v>
      </c>
    </row>
    <row r="1628" spans="1:15">
      <c r="A1628">
        <v>1420</v>
      </c>
      <c r="B1628" t="str">
        <f t="shared" si="50"/>
        <v>2022-04</v>
      </c>
      <c r="C1628" s="1">
        <v>44666</v>
      </c>
      <c r="D1628" s="5">
        <v>0.29236111111111113</v>
      </c>
      <c r="E1628">
        <v>138</v>
      </c>
      <c r="F1628" t="s">
        <v>14</v>
      </c>
      <c r="G1628">
        <v>22</v>
      </c>
      <c r="H1628" t="s">
        <v>12</v>
      </c>
      <c r="I1628">
        <v>4</v>
      </c>
      <c r="J1628" s="6">
        <v>500</v>
      </c>
      <c r="K1628">
        <v>205</v>
      </c>
      <c r="L1628">
        <v>2000</v>
      </c>
      <c r="M1628" t="str">
        <f>IF(OR(I1628="",J1628="",L1628=""),"Incomplete","Complete")</f>
        <v>Complete</v>
      </c>
      <c r="N1628" t="str">
        <f>IF(M1628="Incomplete","Not checked",IF(ROUND(I1628*J1628,2)=ROUND(L1628,2),"Valid","Mismatch"))</f>
        <v>Valid</v>
      </c>
      <c r="O1628">
        <f t="shared" si="51"/>
        <v>1795</v>
      </c>
    </row>
    <row r="1629" spans="1:15">
      <c r="A1629">
        <v>592</v>
      </c>
      <c r="B1629" t="str">
        <f t="shared" si="50"/>
        <v>2022-12</v>
      </c>
      <c r="C1629" s="1">
        <v>44921</v>
      </c>
      <c r="D1629" s="5">
        <v>0.38541666666666669</v>
      </c>
      <c r="E1629">
        <v>77</v>
      </c>
      <c r="F1629" t="s">
        <v>14</v>
      </c>
      <c r="G1629">
        <v>46</v>
      </c>
      <c r="H1629" t="s">
        <v>13</v>
      </c>
      <c r="I1629">
        <v>4</v>
      </c>
      <c r="J1629" s="6">
        <v>500</v>
      </c>
      <c r="K1629">
        <v>275</v>
      </c>
      <c r="L1629">
        <v>2000</v>
      </c>
      <c r="M1629" t="str">
        <f>IF(OR(I1629="",J1629="",L1629=""),"Incomplete","Complete")</f>
        <v>Complete</v>
      </c>
      <c r="N1629" t="str">
        <f>IF(M1629="Incomplete","Not checked",IF(ROUND(I1629*J1629,2)=ROUND(L1629,2),"Valid","Mismatch"))</f>
        <v>Valid</v>
      </c>
      <c r="O1629">
        <f t="shared" si="51"/>
        <v>1725</v>
      </c>
    </row>
    <row r="1630" spans="1:15">
      <c r="A1630">
        <v>1592</v>
      </c>
      <c r="B1630" t="str">
        <f t="shared" si="50"/>
        <v>2022-03</v>
      </c>
      <c r="C1630" s="1">
        <v>44636</v>
      </c>
      <c r="D1630" s="5">
        <v>0.38055555555555554</v>
      </c>
      <c r="E1630">
        <v>81</v>
      </c>
      <c r="F1630" t="s">
        <v>14</v>
      </c>
      <c r="G1630">
        <v>46</v>
      </c>
      <c r="H1630" t="s">
        <v>13</v>
      </c>
      <c r="I1630">
        <v>4</v>
      </c>
      <c r="J1630" s="6">
        <v>500</v>
      </c>
      <c r="K1630">
        <v>155</v>
      </c>
      <c r="L1630">
        <v>2000</v>
      </c>
      <c r="M1630" t="str">
        <f>IF(OR(I1630="",J1630="",L1630=""),"Incomplete","Complete")</f>
        <v>Complete</v>
      </c>
      <c r="N1630" t="str">
        <f>IF(M1630="Incomplete","Not checked",IF(ROUND(I1630*J1630,2)=ROUND(L1630,2),"Valid","Mismatch"))</f>
        <v>Valid</v>
      </c>
      <c r="O1630">
        <f t="shared" si="51"/>
        <v>1845</v>
      </c>
    </row>
    <row r="1631" spans="1:15">
      <c r="A1631">
        <v>720</v>
      </c>
      <c r="B1631" t="str">
        <f t="shared" si="50"/>
        <v>2022-04</v>
      </c>
      <c r="C1631" s="1">
        <v>44659</v>
      </c>
      <c r="D1631" s="5">
        <v>0.36805555555555558</v>
      </c>
      <c r="E1631">
        <v>116</v>
      </c>
      <c r="F1631" t="s">
        <v>14</v>
      </c>
      <c r="G1631">
        <v>56</v>
      </c>
      <c r="H1631" t="s">
        <v>13</v>
      </c>
      <c r="I1631">
        <v>3</v>
      </c>
      <c r="J1631" s="6">
        <v>500</v>
      </c>
      <c r="K1631">
        <v>235</v>
      </c>
      <c r="L1631">
        <v>1500</v>
      </c>
      <c r="M1631" t="str">
        <f>IF(OR(I1631="",J1631="",L1631=""),"Incomplete","Complete")</f>
        <v>Complete</v>
      </c>
      <c r="N1631" t="str">
        <f>IF(M1631="Incomplete","Not checked",IF(ROUND(I1631*J1631,2)=ROUND(L1631,2),"Valid","Mismatch"))</f>
        <v>Valid</v>
      </c>
      <c r="O1631">
        <f t="shared" si="51"/>
        <v>1265</v>
      </c>
    </row>
    <row r="1632" spans="1:15">
      <c r="A1632">
        <v>1720</v>
      </c>
      <c r="B1632" t="str">
        <f t="shared" si="50"/>
        <v>2022-10</v>
      </c>
      <c r="C1632" s="1">
        <v>44844</v>
      </c>
      <c r="D1632" s="5">
        <v>0.36875000000000002</v>
      </c>
      <c r="E1632">
        <v>28</v>
      </c>
      <c r="F1632" t="s">
        <v>14</v>
      </c>
      <c r="G1632">
        <v>56</v>
      </c>
      <c r="H1632" t="s">
        <v>13</v>
      </c>
      <c r="I1632">
        <v>3</v>
      </c>
      <c r="J1632" s="6">
        <v>500</v>
      </c>
      <c r="K1632">
        <v>190</v>
      </c>
      <c r="L1632">
        <v>1500</v>
      </c>
      <c r="M1632" t="str">
        <f>IF(OR(I1632="",J1632="",L1632=""),"Incomplete","Complete")</f>
        <v>Complete</v>
      </c>
      <c r="N1632" t="str">
        <f>IF(M1632="Incomplete","Not checked",IF(ROUND(I1632*J1632,2)=ROUND(L1632,2),"Valid","Mismatch"))</f>
        <v>Valid</v>
      </c>
      <c r="O1632">
        <f t="shared" si="51"/>
        <v>1310</v>
      </c>
    </row>
    <row r="1633" spans="1:15">
      <c r="A1633">
        <v>322</v>
      </c>
      <c r="B1633" t="str">
        <f t="shared" si="50"/>
        <v>2022-10</v>
      </c>
      <c r="C1633" s="1">
        <v>44853</v>
      </c>
      <c r="D1633" s="5">
        <v>0.25763888888888886</v>
      </c>
      <c r="E1633">
        <v>13</v>
      </c>
      <c r="F1633" t="s">
        <v>11</v>
      </c>
      <c r="G1633">
        <v>51</v>
      </c>
      <c r="H1633" t="s">
        <v>15</v>
      </c>
      <c r="I1633">
        <v>1</v>
      </c>
      <c r="J1633" s="6">
        <v>500</v>
      </c>
      <c r="K1633">
        <v>125</v>
      </c>
      <c r="L1633">
        <v>500</v>
      </c>
      <c r="M1633" t="str">
        <f>IF(OR(I1633="",J1633="",L1633=""),"Incomplete","Complete")</f>
        <v>Complete</v>
      </c>
      <c r="N1633" t="str">
        <f>IF(M1633="Incomplete","Not checked",IF(ROUND(I1633*J1633,2)=ROUND(L1633,2),"Valid","Mismatch"))</f>
        <v>Valid</v>
      </c>
      <c r="O1633">
        <f t="shared" si="51"/>
        <v>375</v>
      </c>
    </row>
    <row r="1634" spans="1:15">
      <c r="A1634">
        <v>1322</v>
      </c>
      <c r="B1634" t="str">
        <f t="shared" si="50"/>
        <v>2022-11</v>
      </c>
      <c r="C1634" s="1">
        <v>44879</v>
      </c>
      <c r="D1634" s="5">
        <v>0.41388888888888886</v>
      </c>
      <c r="E1634">
        <v>10</v>
      </c>
      <c r="F1634" t="s">
        <v>11</v>
      </c>
      <c r="G1634">
        <v>51</v>
      </c>
      <c r="H1634" t="s">
        <v>15</v>
      </c>
      <c r="I1634">
        <v>1</v>
      </c>
      <c r="J1634" s="6">
        <v>500</v>
      </c>
      <c r="K1634">
        <v>250</v>
      </c>
      <c r="L1634">
        <v>500</v>
      </c>
      <c r="M1634" t="str">
        <f>IF(OR(I1634="",J1634="",L1634=""),"Incomplete","Complete")</f>
        <v>Complete</v>
      </c>
      <c r="N1634" t="str">
        <f>IF(M1634="Incomplete","Not checked",IF(ROUND(I1634*J1634,2)=ROUND(L1634,2),"Valid","Mismatch"))</f>
        <v>Valid</v>
      </c>
      <c r="O1634">
        <f t="shared" si="51"/>
        <v>250</v>
      </c>
    </row>
    <row r="1635" spans="1:15">
      <c r="A1635">
        <v>235</v>
      </c>
      <c r="B1635" t="str">
        <f t="shared" si="50"/>
        <v>2022-03</v>
      </c>
      <c r="C1635" s="1">
        <v>44630</v>
      </c>
      <c r="D1635" s="5">
        <v>0.42569444444444443</v>
      </c>
      <c r="E1635">
        <v>132</v>
      </c>
      <c r="F1635" t="s">
        <v>14</v>
      </c>
      <c r="G1635">
        <v>23</v>
      </c>
      <c r="H1635" t="s">
        <v>15</v>
      </c>
      <c r="I1635">
        <v>2</v>
      </c>
      <c r="J1635" s="6">
        <v>500</v>
      </c>
      <c r="K1635">
        <v>275</v>
      </c>
      <c r="L1635">
        <v>1000</v>
      </c>
      <c r="M1635" t="str">
        <f>IF(OR(I1635="",J1635="",L1635=""),"Incomplete","Complete")</f>
        <v>Complete</v>
      </c>
      <c r="N1635" t="str">
        <f>IF(M1635="Incomplete","Not checked",IF(ROUND(I1635*J1635,2)=ROUND(L1635,2),"Valid","Mismatch"))</f>
        <v>Valid</v>
      </c>
      <c r="O1635">
        <f t="shared" si="51"/>
        <v>725</v>
      </c>
    </row>
    <row r="1636" spans="1:15">
      <c r="A1636">
        <v>1235</v>
      </c>
      <c r="B1636" t="str">
        <f t="shared" si="50"/>
        <v>2022-04</v>
      </c>
      <c r="C1636" s="1">
        <v>44655</v>
      </c>
      <c r="D1636" s="5">
        <v>0.28055555555555556</v>
      </c>
      <c r="E1636">
        <v>87</v>
      </c>
      <c r="F1636" t="s">
        <v>14</v>
      </c>
      <c r="G1636">
        <v>23</v>
      </c>
      <c r="H1636" t="s">
        <v>15</v>
      </c>
      <c r="I1636">
        <v>2</v>
      </c>
      <c r="J1636" s="6">
        <v>500</v>
      </c>
      <c r="K1636">
        <v>220</v>
      </c>
      <c r="L1636">
        <v>1000</v>
      </c>
      <c r="M1636" t="str">
        <f>IF(OR(I1636="",J1636="",L1636=""),"Incomplete","Complete")</f>
        <v>Complete</v>
      </c>
      <c r="N1636" t="str">
        <f>IF(M1636="Incomplete","Not checked",IF(ROUND(I1636*J1636,2)=ROUND(L1636,2),"Valid","Mismatch"))</f>
        <v>Valid</v>
      </c>
      <c r="O1636">
        <f t="shared" si="51"/>
        <v>780</v>
      </c>
    </row>
    <row r="1637" spans="1:15">
      <c r="A1637">
        <v>269</v>
      </c>
      <c r="B1637" t="str">
        <f t="shared" si="50"/>
        <v>2022-09</v>
      </c>
      <c r="C1637" s="1">
        <v>44823</v>
      </c>
      <c r="D1637" s="5">
        <v>0.47986111111111113</v>
      </c>
      <c r="E1637">
        <v>87</v>
      </c>
      <c r="F1637" t="s">
        <v>11</v>
      </c>
      <c r="G1637">
        <v>25</v>
      </c>
      <c r="H1637" t="s">
        <v>12</v>
      </c>
      <c r="I1637">
        <v>4</v>
      </c>
      <c r="J1637" s="6">
        <v>500</v>
      </c>
      <c r="K1637">
        <v>250</v>
      </c>
      <c r="L1637">
        <v>2000</v>
      </c>
      <c r="M1637" t="str">
        <f>IF(OR(I1637="",J1637="",L1637=""),"Incomplete","Complete")</f>
        <v>Complete</v>
      </c>
      <c r="N1637" t="str">
        <f>IF(M1637="Incomplete","Not checked",IF(ROUND(I1637*J1637,2)=ROUND(L1637,2),"Valid","Mismatch"))</f>
        <v>Valid</v>
      </c>
      <c r="O1637">
        <f t="shared" si="51"/>
        <v>1750</v>
      </c>
    </row>
    <row r="1638" spans="1:15">
      <c r="A1638">
        <v>673</v>
      </c>
      <c r="B1638" t="str">
        <f t="shared" si="50"/>
        <v>2022-07</v>
      </c>
      <c r="C1638" s="1">
        <v>44746</v>
      </c>
      <c r="D1638" s="5">
        <v>0.42638888888888887</v>
      </c>
      <c r="E1638">
        <v>18</v>
      </c>
      <c r="F1638" t="s">
        <v>14</v>
      </c>
      <c r="G1638">
        <v>43</v>
      </c>
      <c r="H1638" t="s">
        <v>12</v>
      </c>
      <c r="I1638">
        <v>3</v>
      </c>
      <c r="J1638" s="6">
        <v>500</v>
      </c>
      <c r="K1638">
        <v>270</v>
      </c>
      <c r="L1638">
        <v>1500</v>
      </c>
      <c r="M1638" t="str">
        <f>IF(OR(I1638="",J1638="",L1638=""),"Incomplete","Complete")</f>
        <v>Complete</v>
      </c>
      <c r="N1638" t="str">
        <f>IF(M1638="Incomplete","Not checked",IF(ROUND(I1638*J1638,2)=ROUND(L1638,2),"Valid","Mismatch"))</f>
        <v>Valid</v>
      </c>
      <c r="O1638">
        <f t="shared" si="51"/>
        <v>1230</v>
      </c>
    </row>
    <row r="1639" spans="1:15">
      <c r="A1639">
        <v>1269</v>
      </c>
      <c r="B1639" t="str">
        <f t="shared" si="50"/>
        <v>2022-01</v>
      </c>
      <c r="C1639" s="1">
        <v>44562</v>
      </c>
      <c r="D1639" s="5">
        <v>0.33958333333333335</v>
      </c>
      <c r="E1639">
        <v>71</v>
      </c>
      <c r="F1639" t="s">
        <v>11</v>
      </c>
      <c r="G1639">
        <v>25</v>
      </c>
      <c r="H1639" t="s">
        <v>12</v>
      </c>
      <c r="I1639">
        <v>4</v>
      </c>
      <c r="J1639" s="6">
        <v>500</v>
      </c>
      <c r="K1639">
        <v>145</v>
      </c>
      <c r="L1639">
        <v>2000</v>
      </c>
      <c r="M1639" t="str">
        <f>IF(OR(I1639="",J1639="",L1639=""),"Incomplete","Complete")</f>
        <v>Complete</v>
      </c>
      <c r="N1639" t="str">
        <f>IF(M1639="Incomplete","Not checked",IF(ROUND(I1639*J1639,2)=ROUND(L1639,2),"Valid","Mismatch"))</f>
        <v>Valid</v>
      </c>
      <c r="O1639">
        <f t="shared" si="51"/>
        <v>1855</v>
      </c>
    </row>
    <row r="1640" spans="1:15">
      <c r="A1640">
        <v>1673</v>
      </c>
      <c r="B1640" t="str">
        <f t="shared" si="50"/>
        <v>2022-06</v>
      </c>
      <c r="C1640" s="1">
        <v>44726</v>
      </c>
      <c r="D1640" s="5">
        <v>0.31666666666666665</v>
      </c>
      <c r="E1640">
        <v>42</v>
      </c>
      <c r="F1640" t="s">
        <v>14</v>
      </c>
      <c r="G1640">
        <v>43</v>
      </c>
      <c r="H1640" t="s">
        <v>12</v>
      </c>
      <c r="I1640">
        <v>3</v>
      </c>
      <c r="J1640" s="6">
        <v>500</v>
      </c>
      <c r="K1640">
        <v>185</v>
      </c>
      <c r="L1640">
        <v>1500</v>
      </c>
      <c r="M1640" t="str">
        <f>IF(OR(I1640="",J1640="",L1640=""),"Incomplete","Complete")</f>
        <v>Complete</v>
      </c>
      <c r="N1640" t="str">
        <f>IF(M1640="Incomplete","Not checked",IF(ROUND(I1640*J1640,2)=ROUND(L1640,2),"Valid","Mismatch"))</f>
        <v>Valid</v>
      </c>
      <c r="O1640">
        <f t="shared" si="51"/>
        <v>1315</v>
      </c>
    </row>
    <row r="1641" spans="1:15">
      <c r="A1641">
        <v>237</v>
      </c>
      <c r="B1641" t="str">
        <f t="shared" si="50"/>
        <v>2022-04</v>
      </c>
      <c r="C1641" s="1">
        <v>44662</v>
      </c>
      <c r="D1641" s="5">
        <v>0.37083333333333335</v>
      </c>
      <c r="E1641">
        <v>105</v>
      </c>
      <c r="F1641" t="s">
        <v>14</v>
      </c>
      <c r="G1641">
        <v>50</v>
      </c>
      <c r="H1641" t="s">
        <v>13</v>
      </c>
      <c r="I1641">
        <v>2</v>
      </c>
      <c r="J1641" s="6">
        <v>500</v>
      </c>
      <c r="K1641">
        <v>165</v>
      </c>
      <c r="L1641">
        <v>1000</v>
      </c>
      <c r="M1641" t="str">
        <f>IF(OR(I1641="",J1641="",L1641=""),"Incomplete","Complete")</f>
        <v>Complete</v>
      </c>
      <c r="N1641" t="str">
        <f>IF(M1641="Incomplete","Not checked",IF(ROUND(I1641*J1641,2)=ROUND(L1641,2),"Valid","Mismatch"))</f>
        <v>Valid</v>
      </c>
      <c r="O1641">
        <f t="shared" si="51"/>
        <v>835</v>
      </c>
    </row>
    <row r="1642" spans="1:15">
      <c r="A1642">
        <v>1237</v>
      </c>
      <c r="B1642" t="str">
        <f t="shared" si="50"/>
        <v>2022-02</v>
      </c>
      <c r="C1642" s="1">
        <v>44615</v>
      </c>
      <c r="D1642" s="5">
        <v>0.3888888888888889</v>
      </c>
      <c r="E1642">
        <v>48</v>
      </c>
      <c r="F1642" t="s">
        <v>14</v>
      </c>
      <c r="G1642">
        <v>50</v>
      </c>
      <c r="H1642" t="s">
        <v>13</v>
      </c>
      <c r="I1642">
        <v>2</v>
      </c>
      <c r="J1642" s="6">
        <v>500</v>
      </c>
      <c r="K1642">
        <v>215</v>
      </c>
      <c r="L1642">
        <v>1000</v>
      </c>
      <c r="M1642" t="str">
        <f>IF(OR(I1642="",J1642="",L1642=""),"Incomplete","Complete")</f>
        <v>Complete</v>
      </c>
      <c r="N1642" t="str">
        <f>IF(M1642="Incomplete","Not checked",IF(ROUND(I1642*J1642,2)=ROUND(L1642,2),"Valid","Mismatch"))</f>
        <v>Valid</v>
      </c>
      <c r="O1642">
        <f t="shared" si="51"/>
        <v>785</v>
      </c>
    </row>
    <row r="1643" spans="1:15">
      <c r="A1643">
        <v>372</v>
      </c>
      <c r="B1643" t="str">
        <f t="shared" si="50"/>
        <v>2022-06</v>
      </c>
      <c r="C1643" s="1">
        <v>44731</v>
      </c>
      <c r="D1643" s="5">
        <v>0.48958333333333331</v>
      </c>
      <c r="E1643">
        <v>27</v>
      </c>
      <c r="F1643" t="s">
        <v>14</v>
      </c>
      <c r="G1643">
        <v>24</v>
      </c>
      <c r="H1643" t="s">
        <v>13</v>
      </c>
      <c r="I1643">
        <v>3</v>
      </c>
      <c r="J1643" s="6">
        <v>500</v>
      </c>
      <c r="K1643">
        <v>140</v>
      </c>
      <c r="L1643">
        <v>1500</v>
      </c>
      <c r="M1643" t="str">
        <f>IF(OR(I1643="",J1643="",L1643=""),"Incomplete","Complete")</f>
        <v>Complete</v>
      </c>
      <c r="N1643" t="str">
        <f>IF(M1643="Incomplete","Not checked",IF(ROUND(I1643*J1643,2)=ROUND(L1643,2),"Valid","Mismatch"))</f>
        <v>Valid</v>
      </c>
      <c r="O1643">
        <f t="shared" si="51"/>
        <v>1360</v>
      </c>
    </row>
    <row r="1644" spans="1:15">
      <c r="A1644">
        <v>1372</v>
      </c>
      <c r="B1644" t="str">
        <f t="shared" si="50"/>
        <v>2022-03</v>
      </c>
      <c r="C1644" s="1">
        <v>44638</v>
      </c>
      <c r="D1644" s="5">
        <v>0.45347222222222222</v>
      </c>
      <c r="E1644">
        <v>60</v>
      </c>
      <c r="F1644" t="s">
        <v>14</v>
      </c>
      <c r="G1644">
        <v>24</v>
      </c>
      <c r="H1644" t="s">
        <v>13</v>
      </c>
      <c r="I1644">
        <v>3</v>
      </c>
      <c r="J1644" s="6">
        <v>500</v>
      </c>
      <c r="K1644">
        <v>145</v>
      </c>
      <c r="L1644">
        <v>1500</v>
      </c>
      <c r="M1644" t="str">
        <f>IF(OR(I1644="",J1644="",L1644=""),"Incomplete","Complete")</f>
        <v>Complete</v>
      </c>
      <c r="N1644" t="str">
        <f>IF(M1644="Incomplete","Not checked",IF(ROUND(I1644*J1644,2)=ROUND(L1644,2),"Valid","Mismatch"))</f>
        <v>Valid</v>
      </c>
      <c r="O1644">
        <f t="shared" si="51"/>
        <v>1355</v>
      </c>
    </row>
    <row r="1645" spans="1:15">
      <c r="A1645">
        <v>54</v>
      </c>
      <c r="B1645" t="str">
        <f t="shared" si="50"/>
        <v>2022-10</v>
      </c>
      <c r="C1645" s="1">
        <v>44854</v>
      </c>
      <c r="D1645" s="5">
        <v>0.4284722222222222</v>
      </c>
      <c r="E1645">
        <v>142</v>
      </c>
      <c r="F1645" t="s">
        <v>14</v>
      </c>
      <c r="G1645">
        <v>38</v>
      </c>
      <c r="H1645" t="s">
        <v>15</v>
      </c>
      <c r="I1645">
        <v>3</v>
      </c>
      <c r="J1645" s="6">
        <v>500</v>
      </c>
      <c r="K1645">
        <v>200</v>
      </c>
      <c r="L1645">
        <v>1500</v>
      </c>
      <c r="M1645" t="str">
        <f>IF(OR(I1645="",J1645="",L1645=""),"Incomplete","Complete")</f>
        <v>Complete</v>
      </c>
      <c r="N1645" t="str">
        <f>IF(M1645="Incomplete","Not checked",IF(ROUND(I1645*J1645,2)=ROUND(L1645,2),"Valid","Mismatch"))</f>
        <v>Valid</v>
      </c>
      <c r="O1645">
        <f t="shared" si="51"/>
        <v>1300</v>
      </c>
    </row>
    <row r="1646" spans="1:15">
      <c r="A1646">
        <v>1054</v>
      </c>
      <c r="B1646" t="str">
        <f t="shared" si="50"/>
        <v>2022-01</v>
      </c>
      <c r="C1646" s="1">
        <v>44571</v>
      </c>
      <c r="D1646" s="5">
        <v>0.39166666666666666</v>
      </c>
      <c r="E1646">
        <v>49</v>
      </c>
      <c r="F1646" t="s">
        <v>14</v>
      </c>
      <c r="G1646">
        <v>38</v>
      </c>
      <c r="H1646" t="s">
        <v>15</v>
      </c>
      <c r="I1646">
        <v>3</v>
      </c>
      <c r="J1646" s="6">
        <v>500</v>
      </c>
      <c r="K1646">
        <v>140</v>
      </c>
      <c r="L1646">
        <v>1500</v>
      </c>
      <c r="M1646" t="str">
        <f>IF(OR(I1646="",J1646="",L1646=""),"Incomplete","Complete")</f>
        <v>Complete</v>
      </c>
      <c r="N1646" t="str">
        <f>IF(M1646="Incomplete","Not checked",IF(ROUND(I1646*J1646,2)=ROUND(L1646,2),"Valid","Mismatch"))</f>
        <v>Valid</v>
      </c>
      <c r="O1646">
        <f t="shared" si="51"/>
        <v>1360</v>
      </c>
    </row>
    <row r="1647" spans="1:15">
      <c r="A1647">
        <v>346</v>
      </c>
      <c r="B1647" t="str">
        <f t="shared" si="50"/>
        <v>2022-09</v>
      </c>
      <c r="C1647" s="1">
        <v>44809</v>
      </c>
      <c r="D1647" s="5">
        <v>0.28749999999999998</v>
      </c>
      <c r="E1647">
        <v>38</v>
      </c>
      <c r="F1647" t="s">
        <v>11</v>
      </c>
      <c r="G1647">
        <v>59</v>
      </c>
      <c r="H1647" t="s">
        <v>12</v>
      </c>
      <c r="I1647">
        <v>2</v>
      </c>
      <c r="J1647" s="6">
        <v>500</v>
      </c>
      <c r="K1647">
        <v>215</v>
      </c>
      <c r="L1647">
        <v>1000</v>
      </c>
      <c r="M1647" t="str">
        <f>IF(OR(I1647="",J1647="",L1647=""),"Incomplete","Complete")</f>
        <v>Complete</v>
      </c>
      <c r="N1647" t="str">
        <f>IF(M1647="Incomplete","Not checked",IF(ROUND(I1647*J1647,2)=ROUND(L1647,2),"Valid","Mismatch"))</f>
        <v>Valid</v>
      </c>
      <c r="O1647">
        <f t="shared" si="51"/>
        <v>785</v>
      </c>
    </row>
    <row r="1648" spans="1:15">
      <c r="A1648">
        <v>732</v>
      </c>
      <c r="B1648" t="str">
        <f t="shared" si="50"/>
        <v>2022-10</v>
      </c>
      <c r="C1648" s="1">
        <v>44847</v>
      </c>
      <c r="D1648" s="5">
        <v>0.36458333333333331</v>
      </c>
      <c r="E1648">
        <v>136</v>
      </c>
      <c r="F1648" t="s">
        <v>11</v>
      </c>
      <c r="G1648">
        <v>61</v>
      </c>
      <c r="H1648" t="s">
        <v>15</v>
      </c>
      <c r="I1648">
        <v>2</v>
      </c>
      <c r="J1648" s="6">
        <v>500</v>
      </c>
      <c r="K1648">
        <v>250</v>
      </c>
      <c r="L1648">
        <v>1000</v>
      </c>
      <c r="M1648" t="str">
        <f>IF(OR(I1648="",J1648="",L1648=""),"Incomplete","Complete")</f>
        <v>Complete</v>
      </c>
      <c r="N1648" t="str">
        <f>IF(M1648="Incomplete","Not checked",IF(ROUND(I1648*J1648,2)=ROUND(L1648,2),"Valid","Mismatch"))</f>
        <v>Valid</v>
      </c>
      <c r="O1648">
        <f t="shared" si="51"/>
        <v>750</v>
      </c>
    </row>
    <row r="1649" spans="1:15">
      <c r="A1649">
        <v>1346</v>
      </c>
      <c r="B1649" t="str">
        <f t="shared" si="50"/>
        <v>2022-04</v>
      </c>
      <c r="C1649" s="1">
        <v>44661</v>
      </c>
      <c r="D1649" s="5">
        <v>0.41736111111111113</v>
      </c>
      <c r="E1649">
        <v>112</v>
      </c>
      <c r="F1649" t="s">
        <v>11</v>
      </c>
      <c r="G1649">
        <v>59</v>
      </c>
      <c r="H1649" t="s">
        <v>12</v>
      </c>
      <c r="I1649">
        <v>2</v>
      </c>
      <c r="J1649" s="6">
        <v>500</v>
      </c>
      <c r="K1649">
        <v>130</v>
      </c>
      <c r="L1649">
        <v>1000</v>
      </c>
      <c r="M1649" t="str">
        <f>IF(OR(I1649="",J1649="",L1649=""),"Incomplete","Complete")</f>
        <v>Complete</v>
      </c>
      <c r="N1649" t="str">
        <f>IF(M1649="Incomplete","Not checked",IF(ROUND(I1649*J1649,2)=ROUND(L1649,2),"Valid","Mismatch"))</f>
        <v>Valid</v>
      </c>
      <c r="O1649">
        <f t="shared" si="51"/>
        <v>870</v>
      </c>
    </row>
    <row r="1650" spans="1:15">
      <c r="A1650">
        <v>1732</v>
      </c>
      <c r="B1650" t="str">
        <f t="shared" si="50"/>
        <v>2022-02</v>
      </c>
      <c r="C1650" s="1">
        <v>44617</v>
      </c>
      <c r="D1650" s="5">
        <v>0.2951388888888889</v>
      </c>
      <c r="E1650">
        <v>55</v>
      </c>
      <c r="F1650" t="s">
        <v>11</v>
      </c>
      <c r="G1650">
        <v>61</v>
      </c>
      <c r="H1650" t="s">
        <v>15</v>
      </c>
      <c r="I1650">
        <v>2</v>
      </c>
      <c r="J1650" s="6">
        <v>500</v>
      </c>
      <c r="K1650">
        <v>215</v>
      </c>
      <c r="L1650">
        <v>1000</v>
      </c>
      <c r="M1650" t="str">
        <f>IF(OR(I1650="",J1650="",L1650=""),"Incomplete","Complete")</f>
        <v>Complete</v>
      </c>
      <c r="N1650" t="str">
        <f>IF(M1650="Incomplete","Not checked",IF(ROUND(I1650*J1650,2)=ROUND(L1650,2),"Valid","Mismatch"))</f>
        <v>Valid</v>
      </c>
      <c r="O1650">
        <f t="shared" si="51"/>
        <v>785</v>
      </c>
    </row>
    <row r="1651" spans="1:15">
      <c r="A1651">
        <v>714</v>
      </c>
      <c r="B1651" t="str">
        <f t="shared" si="50"/>
        <v>2022-10</v>
      </c>
      <c r="C1651" s="1">
        <v>44863</v>
      </c>
      <c r="D1651" s="5">
        <v>0.36805555555555558</v>
      </c>
      <c r="E1651">
        <v>20</v>
      </c>
      <c r="F1651" t="s">
        <v>14</v>
      </c>
      <c r="G1651">
        <v>18</v>
      </c>
      <c r="H1651" t="s">
        <v>12</v>
      </c>
      <c r="I1651">
        <v>1</v>
      </c>
      <c r="J1651" s="6">
        <v>500</v>
      </c>
      <c r="K1651">
        <v>190</v>
      </c>
      <c r="L1651">
        <v>500</v>
      </c>
      <c r="M1651" t="str">
        <f>IF(OR(I1651="",J1651="",L1651=""),"Incomplete","Complete")</f>
        <v>Complete</v>
      </c>
      <c r="N1651" t="str">
        <f>IF(M1651="Incomplete","Not checked",IF(ROUND(I1651*J1651,2)=ROUND(L1651,2),"Valid","Mismatch"))</f>
        <v>Valid</v>
      </c>
      <c r="O1651">
        <f t="shared" si="51"/>
        <v>310</v>
      </c>
    </row>
    <row r="1652" spans="1:15">
      <c r="A1652">
        <v>1714</v>
      </c>
      <c r="B1652" t="str">
        <f t="shared" si="50"/>
        <v>2022-11</v>
      </c>
      <c r="C1652" s="1">
        <v>44888</v>
      </c>
      <c r="D1652" s="5">
        <v>0.25486111111111109</v>
      </c>
      <c r="E1652">
        <v>111</v>
      </c>
      <c r="F1652" t="s">
        <v>14</v>
      </c>
      <c r="G1652">
        <v>18</v>
      </c>
      <c r="H1652" t="s">
        <v>12</v>
      </c>
      <c r="I1652">
        <v>1</v>
      </c>
      <c r="J1652" s="6">
        <v>500</v>
      </c>
      <c r="K1652">
        <v>245</v>
      </c>
      <c r="L1652">
        <v>500</v>
      </c>
      <c r="M1652" t="str">
        <f>IF(OR(I1652="",J1652="",L1652=""),"Incomplete","Complete")</f>
        <v>Complete</v>
      </c>
      <c r="N1652" t="str">
        <f>IF(M1652="Incomplete","Not checked",IF(ROUND(I1652*J1652,2)=ROUND(L1652,2),"Valid","Mismatch"))</f>
        <v>Valid</v>
      </c>
      <c r="O1652">
        <f t="shared" si="51"/>
        <v>255</v>
      </c>
    </row>
    <row r="1653" spans="1:15">
      <c r="A1653">
        <v>193</v>
      </c>
      <c r="B1653" t="str">
        <f t="shared" si="50"/>
        <v>2022-03</v>
      </c>
      <c r="C1653" s="1">
        <v>44647</v>
      </c>
      <c r="D1653" s="5">
        <v>0.44444444444444442</v>
      </c>
      <c r="E1653">
        <v>55</v>
      </c>
      <c r="F1653" t="s">
        <v>11</v>
      </c>
      <c r="G1653">
        <v>35</v>
      </c>
      <c r="H1653" t="s">
        <v>13</v>
      </c>
      <c r="I1653">
        <v>3</v>
      </c>
      <c r="J1653" s="6">
        <v>500</v>
      </c>
      <c r="K1653">
        <v>180</v>
      </c>
      <c r="L1653">
        <v>1500</v>
      </c>
      <c r="M1653" t="str">
        <f>IF(OR(I1653="",J1653="",L1653=""),"Incomplete","Complete")</f>
        <v>Complete</v>
      </c>
      <c r="N1653" t="str">
        <f>IF(M1653="Incomplete","Not checked",IF(ROUND(I1653*J1653,2)=ROUND(L1653,2),"Valid","Mismatch"))</f>
        <v>Valid</v>
      </c>
      <c r="O1653">
        <f t="shared" si="51"/>
        <v>1320</v>
      </c>
    </row>
    <row r="1654" spans="1:15">
      <c r="A1654">
        <v>577</v>
      </c>
      <c r="B1654" t="str">
        <f t="shared" si="50"/>
        <v>2022-04</v>
      </c>
      <c r="C1654" s="1">
        <v>44672</v>
      </c>
      <c r="D1654" s="5">
        <v>0.49652777777777779</v>
      </c>
      <c r="E1654">
        <v>45</v>
      </c>
      <c r="F1654" t="s">
        <v>11</v>
      </c>
      <c r="G1654">
        <v>21</v>
      </c>
      <c r="H1654" t="s">
        <v>13</v>
      </c>
      <c r="I1654">
        <v>4</v>
      </c>
      <c r="J1654" s="6">
        <v>500</v>
      </c>
      <c r="K1654">
        <v>215</v>
      </c>
      <c r="L1654">
        <v>2000</v>
      </c>
      <c r="M1654" t="str">
        <f>IF(OR(I1654="",J1654="",L1654=""),"Incomplete","Complete")</f>
        <v>Complete</v>
      </c>
      <c r="N1654" t="str">
        <f>IF(M1654="Incomplete","Not checked",IF(ROUND(I1654*J1654,2)=ROUND(L1654,2),"Valid","Mismatch"))</f>
        <v>Valid</v>
      </c>
      <c r="O1654">
        <f t="shared" si="51"/>
        <v>1785</v>
      </c>
    </row>
    <row r="1655" spans="1:15">
      <c r="A1655">
        <v>1193</v>
      </c>
      <c r="B1655" t="str">
        <f t="shared" si="50"/>
        <v>2022-05</v>
      </c>
      <c r="C1655" s="1">
        <v>44692</v>
      </c>
      <c r="D1655" s="5">
        <v>0.47986111111111113</v>
      </c>
      <c r="E1655">
        <v>50</v>
      </c>
      <c r="F1655" t="s">
        <v>11</v>
      </c>
      <c r="G1655">
        <v>35</v>
      </c>
      <c r="H1655" t="s">
        <v>13</v>
      </c>
      <c r="I1655">
        <v>3</v>
      </c>
      <c r="J1655" s="6">
        <v>500</v>
      </c>
      <c r="K1655">
        <v>145</v>
      </c>
      <c r="L1655">
        <v>1500</v>
      </c>
      <c r="M1655" t="str">
        <f>IF(OR(I1655="",J1655="",L1655=""),"Incomplete","Complete")</f>
        <v>Complete</v>
      </c>
      <c r="N1655" t="str">
        <f>IF(M1655="Incomplete","Not checked",IF(ROUND(I1655*J1655,2)=ROUND(L1655,2),"Valid","Mismatch"))</f>
        <v>Valid</v>
      </c>
      <c r="O1655">
        <f t="shared" si="51"/>
        <v>1355</v>
      </c>
    </row>
    <row r="1656" spans="1:15">
      <c r="A1656">
        <v>1577</v>
      </c>
      <c r="B1656" t="str">
        <f t="shared" si="50"/>
        <v>2022-09</v>
      </c>
      <c r="C1656" s="1">
        <v>44815</v>
      </c>
      <c r="D1656" s="5">
        <v>0.26527777777777778</v>
      </c>
      <c r="E1656">
        <v>145</v>
      </c>
      <c r="F1656" t="s">
        <v>11</v>
      </c>
      <c r="G1656">
        <v>21</v>
      </c>
      <c r="H1656" t="s">
        <v>13</v>
      </c>
      <c r="I1656">
        <v>4</v>
      </c>
      <c r="J1656" s="6">
        <v>500</v>
      </c>
      <c r="K1656">
        <v>160</v>
      </c>
      <c r="L1656">
        <v>2000</v>
      </c>
      <c r="M1656" t="str">
        <f>IF(OR(I1656="",J1656="",L1656=""),"Incomplete","Complete")</f>
        <v>Complete</v>
      </c>
      <c r="N1656" t="str">
        <f>IF(M1656="Incomplete","Not checked",IF(ROUND(I1656*J1656,2)=ROUND(L1656,2),"Valid","Mismatch"))</f>
        <v>Valid</v>
      </c>
      <c r="O1656">
        <f t="shared" si="51"/>
        <v>1840</v>
      </c>
    </row>
    <row r="1657" spans="1:15">
      <c r="A1657">
        <v>16</v>
      </c>
      <c r="B1657" t="str">
        <f t="shared" si="50"/>
        <v>2022-06</v>
      </c>
      <c r="C1657" s="1">
        <v>44737</v>
      </c>
      <c r="D1657" s="5">
        <v>0.43958333333333333</v>
      </c>
      <c r="E1657">
        <v>82</v>
      </c>
      <c r="F1657" t="s">
        <v>11</v>
      </c>
      <c r="G1657">
        <v>19</v>
      </c>
      <c r="H1657" t="s">
        <v>12</v>
      </c>
      <c r="I1657">
        <v>3</v>
      </c>
      <c r="J1657" s="6">
        <v>500</v>
      </c>
      <c r="K1657">
        <v>180</v>
      </c>
      <c r="L1657">
        <v>1500</v>
      </c>
      <c r="M1657" t="str">
        <f>IF(OR(I1657="",J1657="",L1657=""),"Incomplete","Complete")</f>
        <v>Complete</v>
      </c>
      <c r="N1657" t="str">
        <f>IF(M1657="Incomplete","Not checked",IF(ROUND(I1657*J1657,2)=ROUND(L1657,2),"Valid","Mismatch"))</f>
        <v>Valid</v>
      </c>
      <c r="O1657">
        <f t="shared" si="51"/>
        <v>1320</v>
      </c>
    </row>
    <row r="1658" spans="1:15">
      <c r="A1658">
        <v>416</v>
      </c>
      <c r="B1658" t="str">
        <f t="shared" si="50"/>
        <v>2022-08</v>
      </c>
      <c r="C1658" s="1">
        <v>44794</v>
      </c>
      <c r="D1658" s="5">
        <v>0.39513888888888887</v>
      </c>
      <c r="E1658">
        <v>55</v>
      </c>
      <c r="F1658" t="s">
        <v>11</v>
      </c>
      <c r="G1658">
        <v>53</v>
      </c>
      <c r="H1658" t="s">
        <v>15</v>
      </c>
      <c r="I1658">
        <v>4</v>
      </c>
      <c r="J1658" s="6">
        <v>500</v>
      </c>
      <c r="K1658">
        <v>245</v>
      </c>
      <c r="L1658">
        <v>2000</v>
      </c>
      <c r="M1658" t="str">
        <f>IF(OR(I1658="",J1658="",L1658=""),"Incomplete","Complete")</f>
        <v>Complete</v>
      </c>
      <c r="N1658" t="str">
        <f>IF(M1658="Incomplete","Not checked",IF(ROUND(I1658*J1658,2)=ROUND(L1658,2),"Valid","Mismatch"))</f>
        <v>Valid</v>
      </c>
      <c r="O1658">
        <f t="shared" si="51"/>
        <v>1755</v>
      </c>
    </row>
    <row r="1659" spans="1:15">
      <c r="A1659">
        <v>1016</v>
      </c>
      <c r="B1659" t="str">
        <f t="shared" si="50"/>
        <v>2022-12</v>
      </c>
      <c r="C1659" s="1">
        <v>44907</v>
      </c>
      <c r="D1659" s="5">
        <v>0.31874999999999998</v>
      </c>
      <c r="E1659">
        <v>52</v>
      </c>
      <c r="F1659" t="s">
        <v>11</v>
      </c>
      <c r="G1659">
        <v>19</v>
      </c>
      <c r="H1659" t="s">
        <v>12</v>
      </c>
      <c r="I1659">
        <v>3</v>
      </c>
      <c r="J1659" s="6">
        <v>500</v>
      </c>
      <c r="K1659">
        <v>200</v>
      </c>
      <c r="L1659">
        <v>1500</v>
      </c>
      <c r="M1659" t="str">
        <f>IF(OR(I1659="",J1659="",L1659=""),"Incomplete","Complete")</f>
        <v>Complete</v>
      </c>
      <c r="N1659" t="str">
        <f>IF(M1659="Incomplete","Not checked",IF(ROUND(I1659*J1659,2)=ROUND(L1659,2),"Valid","Mismatch"))</f>
        <v>Valid</v>
      </c>
      <c r="O1659">
        <f t="shared" si="51"/>
        <v>1300</v>
      </c>
    </row>
    <row r="1660" spans="1:15">
      <c r="A1660">
        <v>1416</v>
      </c>
      <c r="B1660" t="str">
        <f t="shared" si="50"/>
        <v>2022-12</v>
      </c>
      <c r="C1660" s="1">
        <v>44924</v>
      </c>
      <c r="D1660" s="5">
        <v>0.44930555555555557</v>
      </c>
      <c r="E1660">
        <v>111</v>
      </c>
      <c r="F1660" t="s">
        <v>11</v>
      </c>
      <c r="G1660">
        <v>53</v>
      </c>
      <c r="H1660" t="s">
        <v>15</v>
      </c>
      <c r="I1660">
        <v>4</v>
      </c>
      <c r="J1660" s="6">
        <v>500</v>
      </c>
      <c r="K1660">
        <v>125</v>
      </c>
      <c r="L1660">
        <v>2000</v>
      </c>
      <c r="M1660" t="str">
        <f>IF(OR(I1660="",J1660="",L1660=""),"Incomplete","Complete")</f>
        <v>Complete</v>
      </c>
      <c r="N1660" t="str">
        <f>IF(M1660="Incomplete","Not checked",IF(ROUND(I1660*J1660,2)=ROUND(L1660,2),"Valid","Mismatch"))</f>
        <v>Valid</v>
      </c>
      <c r="O1660">
        <f t="shared" si="51"/>
        <v>1875</v>
      </c>
    </row>
    <row r="1661" spans="1:15">
      <c r="A1661">
        <v>256</v>
      </c>
      <c r="B1661" t="str">
        <f t="shared" si="50"/>
        <v>2022-01</v>
      </c>
      <c r="C1661" s="1">
        <v>44570</v>
      </c>
      <c r="D1661" s="5">
        <v>0.33680555555555558</v>
      </c>
      <c r="E1661">
        <v>3</v>
      </c>
      <c r="F1661" t="s">
        <v>11</v>
      </c>
      <c r="G1661">
        <v>23</v>
      </c>
      <c r="H1661" t="s">
        <v>12</v>
      </c>
      <c r="I1661">
        <v>2</v>
      </c>
      <c r="J1661" s="6">
        <v>500</v>
      </c>
      <c r="K1661">
        <v>270</v>
      </c>
      <c r="L1661">
        <v>1000</v>
      </c>
      <c r="M1661" t="str">
        <f>IF(OR(I1661="",J1661="",L1661=""),"Incomplete","Complete")</f>
        <v>Complete</v>
      </c>
      <c r="N1661" t="str">
        <f>IF(M1661="Incomplete","Not checked",IF(ROUND(I1661*J1661,2)=ROUND(L1661,2),"Valid","Mismatch"))</f>
        <v>Valid</v>
      </c>
      <c r="O1661">
        <f t="shared" si="51"/>
        <v>730</v>
      </c>
    </row>
    <row r="1662" spans="1:15">
      <c r="A1662">
        <v>1256</v>
      </c>
      <c r="B1662" t="str">
        <f t="shared" si="50"/>
        <v>2022-11</v>
      </c>
      <c r="C1662" s="1">
        <v>44870</v>
      </c>
      <c r="D1662" s="5">
        <v>0.4152777777777778</v>
      </c>
      <c r="E1662">
        <v>29</v>
      </c>
      <c r="F1662" t="s">
        <v>11</v>
      </c>
      <c r="G1662">
        <v>23</v>
      </c>
      <c r="H1662" t="s">
        <v>12</v>
      </c>
      <c r="I1662">
        <v>2</v>
      </c>
      <c r="J1662" s="6">
        <v>500</v>
      </c>
      <c r="K1662">
        <v>190</v>
      </c>
      <c r="L1662">
        <v>1000</v>
      </c>
      <c r="M1662" t="str">
        <f>IF(OR(I1662="",J1662="",L1662=""),"Incomplete","Complete")</f>
        <v>Complete</v>
      </c>
      <c r="N1662" t="str">
        <f>IF(M1662="Incomplete","Not checked",IF(ROUND(I1662*J1662,2)=ROUND(L1662,2),"Valid","Mismatch"))</f>
        <v>Valid</v>
      </c>
      <c r="O1662">
        <f t="shared" si="51"/>
        <v>810</v>
      </c>
    </row>
    <row r="1663" spans="1:15">
      <c r="A1663">
        <v>257</v>
      </c>
      <c r="B1663" t="str">
        <f t="shared" si="50"/>
        <v>2022-12</v>
      </c>
      <c r="C1663" s="1">
        <v>44905</v>
      </c>
      <c r="D1663" s="5">
        <v>0.36736111111111114</v>
      </c>
      <c r="E1663">
        <v>130</v>
      </c>
      <c r="F1663" t="s">
        <v>11</v>
      </c>
      <c r="G1663">
        <v>19</v>
      </c>
      <c r="H1663" t="s">
        <v>13</v>
      </c>
      <c r="I1663">
        <v>4</v>
      </c>
      <c r="J1663" s="6">
        <v>500</v>
      </c>
      <c r="K1663">
        <v>165</v>
      </c>
      <c r="L1663">
        <v>2000</v>
      </c>
      <c r="M1663" t="str">
        <f>IF(OR(I1663="",J1663="",L1663=""),"Incomplete","Complete")</f>
        <v>Complete</v>
      </c>
      <c r="N1663" t="str">
        <f>IF(M1663="Incomplete","Not checked",IF(ROUND(I1663*J1663,2)=ROUND(L1663,2),"Valid","Mismatch"))</f>
        <v>Valid</v>
      </c>
      <c r="O1663">
        <f t="shared" si="51"/>
        <v>1835</v>
      </c>
    </row>
    <row r="1664" spans="1:15">
      <c r="A1664">
        <v>1257</v>
      </c>
      <c r="B1664" t="str">
        <f t="shared" si="50"/>
        <v>2022-05</v>
      </c>
      <c r="C1664" s="1">
        <v>44691</v>
      </c>
      <c r="D1664" s="5">
        <v>0.49652777777777779</v>
      </c>
      <c r="E1664">
        <v>29</v>
      </c>
      <c r="F1664" t="s">
        <v>11</v>
      </c>
      <c r="G1664">
        <v>19</v>
      </c>
      <c r="H1664" t="s">
        <v>13</v>
      </c>
      <c r="I1664">
        <v>4</v>
      </c>
      <c r="J1664" s="6">
        <v>500</v>
      </c>
      <c r="K1664">
        <v>255</v>
      </c>
      <c r="L1664">
        <v>2000</v>
      </c>
      <c r="M1664" t="str">
        <f>IF(OR(I1664="",J1664="",L1664=""),"Incomplete","Complete")</f>
        <v>Complete</v>
      </c>
      <c r="N1664" t="str">
        <f>IF(M1664="Incomplete","Not checked",IF(ROUND(I1664*J1664,2)=ROUND(L1664,2),"Valid","Mismatch"))</f>
        <v>Valid</v>
      </c>
      <c r="O1664">
        <f t="shared" si="51"/>
        <v>1745</v>
      </c>
    </row>
    <row r="1665" spans="1:15">
      <c r="A1665">
        <v>966</v>
      </c>
      <c r="B1665" t="str">
        <f t="shared" si="50"/>
        <v>2022-11</v>
      </c>
      <c r="C1665" s="1">
        <v>44872</v>
      </c>
      <c r="D1665" s="5">
        <v>0.30694444444444446</v>
      </c>
      <c r="E1665">
        <v>119</v>
      </c>
      <c r="F1665" t="s">
        <v>11</v>
      </c>
      <c r="G1665">
        <v>60</v>
      </c>
      <c r="H1665" t="s">
        <v>15</v>
      </c>
      <c r="I1665">
        <v>2</v>
      </c>
      <c r="J1665" s="6">
        <v>500</v>
      </c>
      <c r="K1665">
        <v>190</v>
      </c>
      <c r="L1665">
        <v>1000</v>
      </c>
      <c r="M1665" t="str">
        <f>IF(OR(I1665="",J1665="",L1665=""),"Incomplete","Complete")</f>
        <v>Complete</v>
      </c>
      <c r="N1665" t="str">
        <f>IF(M1665="Incomplete","Not checked",IF(ROUND(I1665*J1665,2)=ROUND(L1665,2),"Valid","Mismatch"))</f>
        <v>Valid</v>
      </c>
      <c r="O1665">
        <f t="shared" si="51"/>
        <v>810</v>
      </c>
    </row>
    <row r="1666" spans="1:15">
      <c r="A1666">
        <v>1966</v>
      </c>
      <c r="B1666" t="str">
        <f t="shared" ref="B1666:B1729" si="52">TEXT(C1666,"yyyy-mm")</f>
        <v>2022-07</v>
      </c>
      <c r="C1666" s="1">
        <v>44762</v>
      </c>
      <c r="D1666" s="5">
        <v>0.41111111111111109</v>
      </c>
      <c r="E1666">
        <v>74</v>
      </c>
      <c r="F1666" t="s">
        <v>11</v>
      </c>
      <c r="G1666">
        <v>60</v>
      </c>
      <c r="H1666" t="s">
        <v>15</v>
      </c>
      <c r="I1666">
        <v>2</v>
      </c>
      <c r="J1666" s="6">
        <v>500</v>
      </c>
      <c r="K1666">
        <v>200</v>
      </c>
      <c r="L1666">
        <v>1000</v>
      </c>
      <c r="M1666" t="str">
        <f>IF(OR(I1666="",J1666="",L1666=""),"Incomplete","Complete")</f>
        <v>Complete</v>
      </c>
      <c r="N1666" t="str">
        <f>IF(M1666="Incomplete","Not checked",IF(ROUND(I1666*J1666,2)=ROUND(L1666,2),"Valid","Mismatch"))</f>
        <v>Valid</v>
      </c>
      <c r="O1666">
        <f t="shared" ref="O1666:O1729" si="53">IF(M1666="Incomplete","",L1666-K1666)</f>
        <v>800</v>
      </c>
    </row>
    <row r="1667" spans="1:15">
      <c r="A1667">
        <v>611</v>
      </c>
      <c r="B1667" t="str">
        <f t="shared" si="52"/>
        <v>2022-07</v>
      </c>
      <c r="C1667" s="1">
        <v>44763</v>
      </c>
      <c r="D1667" s="5">
        <v>0.34236111111111112</v>
      </c>
      <c r="E1667">
        <v>11</v>
      </c>
      <c r="F1667" t="s">
        <v>11</v>
      </c>
      <c r="G1667">
        <v>51</v>
      </c>
      <c r="H1667" t="s">
        <v>13</v>
      </c>
      <c r="I1667">
        <v>3</v>
      </c>
      <c r="J1667" s="6">
        <v>500</v>
      </c>
      <c r="K1667">
        <v>180</v>
      </c>
      <c r="L1667">
        <v>1500</v>
      </c>
      <c r="M1667" t="str">
        <f>IF(OR(I1667="",J1667="",L1667=""),"Incomplete","Complete")</f>
        <v>Complete</v>
      </c>
      <c r="N1667" t="str">
        <f>IF(M1667="Incomplete","Not checked",IF(ROUND(I1667*J1667,2)=ROUND(L1667,2),"Valid","Mismatch"))</f>
        <v>Valid</v>
      </c>
      <c r="O1667">
        <f t="shared" si="53"/>
        <v>1320</v>
      </c>
    </row>
    <row r="1668" spans="1:15">
      <c r="A1668">
        <v>1611</v>
      </c>
      <c r="B1668" t="str">
        <f t="shared" si="52"/>
        <v>2022-11</v>
      </c>
      <c r="C1668" s="1">
        <v>44882</v>
      </c>
      <c r="D1668" s="5">
        <v>0.3125</v>
      </c>
      <c r="E1668">
        <v>125</v>
      </c>
      <c r="F1668" t="s">
        <v>11</v>
      </c>
      <c r="G1668">
        <v>51</v>
      </c>
      <c r="H1668" t="s">
        <v>13</v>
      </c>
      <c r="I1668">
        <v>3</v>
      </c>
      <c r="J1668" s="6">
        <v>500</v>
      </c>
      <c r="K1668">
        <v>180</v>
      </c>
      <c r="L1668">
        <v>1500</v>
      </c>
      <c r="M1668" t="str">
        <f>IF(OR(I1668="",J1668="",L1668=""),"Incomplete","Complete")</f>
        <v>Complete</v>
      </c>
      <c r="N1668" t="str">
        <f>IF(M1668="Incomplete","Not checked",IF(ROUND(I1668*J1668,2)=ROUND(L1668,2),"Valid","Mismatch"))</f>
        <v>Valid</v>
      </c>
      <c r="O1668">
        <f t="shared" si="53"/>
        <v>1320</v>
      </c>
    </row>
    <row r="1669" spans="1:15">
      <c r="A1669">
        <v>506</v>
      </c>
      <c r="B1669" t="str">
        <f t="shared" si="52"/>
        <v>2022-04</v>
      </c>
      <c r="C1669" s="1">
        <v>44680</v>
      </c>
      <c r="D1669" s="5">
        <v>0.30069444444444443</v>
      </c>
      <c r="E1669">
        <v>9</v>
      </c>
      <c r="F1669" t="s">
        <v>11</v>
      </c>
      <c r="G1669">
        <v>34</v>
      </c>
      <c r="H1669" t="s">
        <v>13</v>
      </c>
      <c r="I1669">
        <v>3</v>
      </c>
      <c r="J1669" s="6">
        <v>500</v>
      </c>
      <c r="K1669">
        <v>200</v>
      </c>
      <c r="L1669">
        <v>1500</v>
      </c>
      <c r="M1669" t="str">
        <f>IF(OR(I1669="",J1669="",L1669=""),"Incomplete","Complete")</f>
        <v>Complete</v>
      </c>
      <c r="N1669" t="str">
        <f>IF(M1669="Incomplete","Not checked",IF(ROUND(I1669*J1669,2)=ROUND(L1669,2),"Valid","Mismatch"))</f>
        <v>Valid</v>
      </c>
      <c r="O1669">
        <f t="shared" si="53"/>
        <v>1300</v>
      </c>
    </row>
    <row r="1670" spans="1:15">
      <c r="A1670">
        <v>1506</v>
      </c>
      <c r="B1670" t="str">
        <f t="shared" si="52"/>
        <v>2022-01</v>
      </c>
      <c r="C1670" s="1">
        <v>44570</v>
      </c>
      <c r="D1670" s="5">
        <v>0.31319444444444444</v>
      </c>
      <c r="E1670">
        <v>52</v>
      </c>
      <c r="F1670" t="s">
        <v>11</v>
      </c>
      <c r="G1670">
        <v>34</v>
      </c>
      <c r="H1670" t="s">
        <v>13</v>
      </c>
      <c r="I1670">
        <v>3</v>
      </c>
      <c r="J1670" s="6">
        <v>500</v>
      </c>
      <c r="K1670">
        <v>245</v>
      </c>
      <c r="L1670">
        <v>1500</v>
      </c>
      <c r="M1670" t="str">
        <f>IF(OR(I1670="",J1670="",L1670=""),"Incomplete","Complete")</f>
        <v>Complete</v>
      </c>
      <c r="N1670" t="str">
        <f>IF(M1670="Incomplete","Not checked",IF(ROUND(I1670*J1670,2)=ROUND(L1670,2),"Valid","Mismatch"))</f>
        <v>Valid</v>
      </c>
      <c r="O1670">
        <f t="shared" si="53"/>
        <v>1255</v>
      </c>
    </row>
    <row r="1671" spans="1:15">
      <c r="A1671">
        <v>2</v>
      </c>
      <c r="B1671" t="str">
        <f t="shared" si="52"/>
        <v>2022-06</v>
      </c>
      <c r="C1671" s="1">
        <v>44736</v>
      </c>
      <c r="D1671" s="5">
        <v>0.42152777777777778</v>
      </c>
      <c r="E1671">
        <v>104</v>
      </c>
      <c r="F1671" t="s">
        <v>14</v>
      </c>
      <c r="G1671">
        <v>26</v>
      </c>
      <c r="H1671" t="s">
        <v>12</v>
      </c>
      <c r="I1671">
        <v>2</v>
      </c>
      <c r="J1671" s="6">
        <v>500</v>
      </c>
      <c r="K1671">
        <v>135</v>
      </c>
      <c r="L1671">
        <v>1000</v>
      </c>
      <c r="M1671" t="str">
        <f>IF(OR(I1671="",J1671="",L1671=""),"Incomplete","Complete")</f>
        <v>Complete</v>
      </c>
      <c r="N1671" t="str">
        <f>IF(M1671="Incomplete","Not checked",IF(ROUND(I1671*J1671,2)=ROUND(L1671,2),"Valid","Mismatch"))</f>
        <v>Valid</v>
      </c>
      <c r="O1671">
        <f t="shared" si="53"/>
        <v>865</v>
      </c>
    </row>
    <row r="1672" spans="1:15">
      <c r="A1672">
        <v>1002</v>
      </c>
      <c r="B1672" t="str">
        <f t="shared" si="52"/>
        <v>2022-03</v>
      </c>
      <c r="C1672" s="1">
        <v>44622</v>
      </c>
      <c r="D1672" s="5">
        <v>0.39166666666666666</v>
      </c>
      <c r="E1672">
        <v>69</v>
      </c>
      <c r="F1672" t="s">
        <v>14</v>
      </c>
      <c r="G1672">
        <v>26</v>
      </c>
      <c r="H1672" t="s">
        <v>12</v>
      </c>
      <c r="I1672">
        <v>2</v>
      </c>
      <c r="J1672" s="6">
        <v>500</v>
      </c>
      <c r="K1672">
        <v>270</v>
      </c>
      <c r="L1672">
        <v>1000</v>
      </c>
      <c r="M1672" t="str">
        <f>IF(OR(I1672="",J1672="",L1672=""),"Incomplete","Complete")</f>
        <v>Complete</v>
      </c>
      <c r="N1672" t="str">
        <f>IF(M1672="Incomplete","Not checked",IF(ROUND(I1672*J1672,2)=ROUND(L1672,2),"Valid","Mismatch"))</f>
        <v>Valid</v>
      </c>
      <c r="O1672">
        <f t="shared" si="53"/>
        <v>730</v>
      </c>
    </row>
    <row r="1673" spans="1:15">
      <c r="A1673">
        <v>152</v>
      </c>
      <c r="B1673" t="str">
        <f t="shared" si="52"/>
        <v>2022-06</v>
      </c>
      <c r="C1673" s="1">
        <v>44728</v>
      </c>
      <c r="D1673" s="5">
        <v>0.49861111111111112</v>
      </c>
      <c r="E1673">
        <v>120</v>
      </c>
      <c r="F1673" t="s">
        <v>11</v>
      </c>
      <c r="G1673">
        <v>43</v>
      </c>
      <c r="H1673" t="s">
        <v>15</v>
      </c>
      <c r="I1673">
        <v>4</v>
      </c>
      <c r="J1673" s="6">
        <v>500</v>
      </c>
      <c r="K1673">
        <v>210</v>
      </c>
      <c r="L1673">
        <v>2000</v>
      </c>
      <c r="M1673" t="str">
        <f>IF(OR(I1673="",J1673="",L1673=""),"Incomplete","Complete")</f>
        <v>Complete</v>
      </c>
      <c r="N1673" t="str">
        <f>IF(M1673="Incomplete","Not checked",IF(ROUND(I1673*J1673,2)=ROUND(L1673,2),"Valid","Mismatch"))</f>
        <v>Valid</v>
      </c>
      <c r="O1673">
        <f t="shared" si="53"/>
        <v>1790</v>
      </c>
    </row>
    <row r="1674" spans="1:15">
      <c r="A1674">
        <v>1152</v>
      </c>
      <c r="B1674" t="str">
        <f t="shared" si="52"/>
        <v>2022-12</v>
      </c>
      <c r="C1674" s="1">
        <v>44921</v>
      </c>
      <c r="D1674" s="5">
        <v>0.32500000000000001</v>
      </c>
      <c r="E1674">
        <v>87</v>
      </c>
      <c r="F1674" t="s">
        <v>11</v>
      </c>
      <c r="G1674">
        <v>43</v>
      </c>
      <c r="H1674" t="s">
        <v>15</v>
      </c>
      <c r="I1674">
        <v>4</v>
      </c>
      <c r="J1674" s="6">
        <v>500</v>
      </c>
      <c r="K1674">
        <v>170</v>
      </c>
      <c r="L1674">
        <v>2000</v>
      </c>
      <c r="M1674" t="str">
        <f>IF(OR(I1674="",J1674="",L1674=""),"Incomplete","Complete")</f>
        <v>Complete</v>
      </c>
      <c r="N1674" t="str">
        <f>IF(M1674="Incomplete","Not checked",IF(ROUND(I1674*J1674,2)=ROUND(L1674,2),"Valid","Mismatch"))</f>
        <v>Valid</v>
      </c>
      <c r="O1674">
        <f t="shared" si="53"/>
        <v>1830</v>
      </c>
    </row>
    <row r="1675" spans="1:15">
      <c r="A1675">
        <v>220</v>
      </c>
      <c r="B1675" t="str">
        <f t="shared" si="52"/>
        <v>2022-05</v>
      </c>
      <c r="C1675" s="1">
        <v>44688</v>
      </c>
      <c r="D1675" s="5">
        <v>0.28055555555555556</v>
      </c>
      <c r="E1675">
        <v>138</v>
      </c>
      <c r="F1675" t="s">
        <v>11</v>
      </c>
      <c r="G1675">
        <v>64</v>
      </c>
      <c r="H1675" t="s">
        <v>13</v>
      </c>
      <c r="I1675">
        <v>1</v>
      </c>
      <c r="J1675" s="6">
        <v>500</v>
      </c>
      <c r="K1675">
        <v>140</v>
      </c>
      <c r="L1675">
        <v>500</v>
      </c>
      <c r="M1675" t="str">
        <f>IF(OR(I1675="",J1675="",L1675=""),"Incomplete","Complete")</f>
        <v>Complete</v>
      </c>
      <c r="N1675" t="str">
        <f>IF(M1675="Incomplete","Not checked",IF(ROUND(I1675*J1675,2)=ROUND(L1675,2),"Valid","Mismatch"))</f>
        <v>Valid</v>
      </c>
      <c r="O1675">
        <f t="shared" si="53"/>
        <v>360</v>
      </c>
    </row>
    <row r="1676" spans="1:15">
      <c r="A1676">
        <v>1220</v>
      </c>
      <c r="B1676" t="str">
        <f t="shared" si="52"/>
        <v>2022-06</v>
      </c>
      <c r="C1676" s="1">
        <v>44741</v>
      </c>
      <c r="D1676" s="5">
        <v>0.46944444444444444</v>
      </c>
      <c r="E1676">
        <v>47</v>
      </c>
      <c r="F1676" t="s">
        <v>11</v>
      </c>
      <c r="G1676">
        <v>64</v>
      </c>
      <c r="H1676" t="s">
        <v>13</v>
      </c>
      <c r="I1676">
        <v>1</v>
      </c>
      <c r="J1676" s="6">
        <v>500</v>
      </c>
      <c r="K1676">
        <v>240</v>
      </c>
      <c r="L1676">
        <v>500</v>
      </c>
      <c r="M1676" t="str">
        <f>IF(OR(I1676="",J1676="",L1676=""),"Incomplete","Complete")</f>
        <v>Complete</v>
      </c>
      <c r="N1676" t="str">
        <f>IF(M1676="Incomplete","Not checked",IF(ROUND(I1676*J1676,2)=ROUND(L1676,2),"Valid","Mismatch"))</f>
        <v>Valid</v>
      </c>
      <c r="O1676">
        <f t="shared" si="53"/>
        <v>260</v>
      </c>
    </row>
    <row r="1677" spans="1:15">
      <c r="A1677">
        <v>621</v>
      </c>
      <c r="B1677" t="str">
        <f t="shared" si="52"/>
        <v>2022-04</v>
      </c>
      <c r="C1677" s="1">
        <v>44664</v>
      </c>
      <c r="D1677" s="5">
        <v>0.41319444444444442</v>
      </c>
      <c r="E1677">
        <v>138</v>
      </c>
      <c r="F1677" t="s">
        <v>14</v>
      </c>
      <c r="G1677">
        <v>40</v>
      </c>
      <c r="H1677" t="s">
        <v>13</v>
      </c>
      <c r="I1677">
        <v>2</v>
      </c>
      <c r="J1677" s="6">
        <v>500</v>
      </c>
      <c r="K1677">
        <v>275</v>
      </c>
      <c r="L1677">
        <v>1000</v>
      </c>
      <c r="M1677" t="str">
        <f>IF(OR(I1677="",J1677="",L1677=""),"Incomplete","Complete")</f>
        <v>Complete</v>
      </c>
      <c r="N1677" t="str">
        <f>IF(M1677="Incomplete","Not checked",IF(ROUND(I1677*J1677,2)=ROUND(L1677,2),"Valid","Mismatch"))</f>
        <v>Valid</v>
      </c>
      <c r="O1677">
        <f t="shared" si="53"/>
        <v>725</v>
      </c>
    </row>
    <row r="1678" spans="1:15">
      <c r="A1678">
        <v>1621</v>
      </c>
      <c r="B1678" t="str">
        <f t="shared" si="52"/>
        <v>2022-09</v>
      </c>
      <c r="C1678" s="1">
        <v>44826</v>
      </c>
      <c r="D1678" s="5">
        <v>0.45069444444444445</v>
      </c>
      <c r="E1678">
        <v>2</v>
      </c>
      <c r="F1678" t="s">
        <v>14</v>
      </c>
      <c r="G1678">
        <v>40</v>
      </c>
      <c r="H1678" t="s">
        <v>13</v>
      </c>
      <c r="I1678">
        <v>2</v>
      </c>
      <c r="J1678" s="6">
        <v>500</v>
      </c>
      <c r="K1678">
        <v>160</v>
      </c>
      <c r="L1678">
        <v>1000</v>
      </c>
      <c r="M1678" t="str">
        <f>IF(OR(I1678="",J1678="",L1678=""),"Incomplete","Complete")</f>
        <v>Complete</v>
      </c>
      <c r="N1678" t="str">
        <f>IF(M1678="Incomplete","Not checked",IF(ROUND(I1678*J1678,2)=ROUND(L1678,2),"Valid","Mismatch"))</f>
        <v>Valid</v>
      </c>
      <c r="O1678">
        <f t="shared" si="53"/>
        <v>840</v>
      </c>
    </row>
    <row r="1679" spans="1:15">
      <c r="A1679">
        <v>547</v>
      </c>
      <c r="B1679" t="str">
        <f t="shared" si="52"/>
        <v>2022-11</v>
      </c>
      <c r="C1679" s="1">
        <v>44879</v>
      </c>
      <c r="D1679" s="5">
        <v>0.31666666666666665</v>
      </c>
      <c r="E1679">
        <v>3</v>
      </c>
      <c r="F1679" t="s">
        <v>11</v>
      </c>
      <c r="G1679">
        <v>63</v>
      </c>
      <c r="H1679" t="s">
        <v>12</v>
      </c>
      <c r="I1679">
        <v>4</v>
      </c>
      <c r="J1679" s="6">
        <v>500</v>
      </c>
      <c r="K1679">
        <v>250</v>
      </c>
      <c r="L1679">
        <v>2000</v>
      </c>
      <c r="M1679" t="str">
        <f>IF(OR(I1679="",J1679="",L1679=""),"Incomplete","Complete")</f>
        <v>Complete</v>
      </c>
      <c r="N1679" t="str">
        <f>IF(M1679="Incomplete","Not checked",IF(ROUND(I1679*J1679,2)=ROUND(L1679,2),"Valid","Mismatch"))</f>
        <v>Valid</v>
      </c>
      <c r="O1679">
        <f t="shared" si="53"/>
        <v>1750</v>
      </c>
    </row>
    <row r="1680" spans="1:15">
      <c r="A1680">
        <v>1547</v>
      </c>
      <c r="B1680" t="str">
        <f t="shared" si="52"/>
        <v>2022-08</v>
      </c>
      <c r="C1680" s="1">
        <v>44784</v>
      </c>
      <c r="D1680" s="5">
        <v>0.27708333333333335</v>
      </c>
      <c r="E1680">
        <v>142</v>
      </c>
      <c r="F1680" t="s">
        <v>11</v>
      </c>
      <c r="G1680">
        <v>63</v>
      </c>
      <c r="H1680" t="s">
        <v>12</v>
      </c>
      <c r="I1680">
        <v>4</v>
      </c>
      <c r="J1680" s="6">
        <v>500</v>
      </c>
      <c r="K1680">
        <v>235</v>
      </c>
      <c r="L1680">
        <v>2000</v>
      </c>
      <c r="M1680" t="str">
        <f>IF(OR(I1680="",J1680="",L1680=""),"Incomplete","Complete")</f>
        <v>Complete</v>
      </c>
      <c r="N1680" t="str">
        <f>IF(M1680="Incomplete","Not checked",IF(ROUND(I1680*J1680,2)=ROUND(L1680,2),"Valid","Mismatch"))</f>
        <v>Valid</v>
      </c>
      <c r="O1680">
        <f t="shared" si="53"/>
        <v>1765</v>
      </c>
    </row>
    <row r="1681" spans="1:15">
      <c r="A1681">
        <v>717</v>
      </c>
      <c r="B1681" t="str">
        <f t="shared" si="52"/>
        <v>2023-11</v>
      </c>
      <c r="C1681" s="1">
        <v>45260</v>
      </c>
      <c r="D1681" s="5">
        <v>0.34375</v>
      </c>
      <c r="E1681">
        <v>8</v>
      </c>
      <c r="F1681" t="s">
        <v>11</v>
      </c>
      <c r="G1681">
        <v>57</v>
      </c>
      <c r="H1681" t="s">
        <v>12</v>
      </c>
      <c r="I1681">
        <v>1</v>
      </c>
      <c r="J1681" s="6">
        <v>500</v>
      </c>
      <c r="K1681">
        <v>190</v>
      </c>
      <c r="L1681">
        <v>500</v>
      </c>
      <c r="M1681" t="str">
        <f>IF(OR(I1681="",J1681="",L1681=""),"Incomplete","Complete")</f>
        <v>Complete</v>
      </c>
      <c r="N1681" t="str">
        <f>IF(M1681="Incomplete","Not checked",IF(ROUND(I1681*J1681,2)=ROUND(L1681,2),"Valid","Mismatch"))</f>
        <v>Valid</v>
      </c>
      <c r="O1681">
        <f t="shared" si="53"/>
        <v>310</v>
      </c>
    </row>
    <row r="1682" spans="1:15">
      <c r="A1682">
        <v>1717</v>
      </c>
      <c r="B1682" t="str">
        <f t="shared" si="52"/>
        <v>2023-01</v>
      </c>
      <c r="C1682" s="1">
        <v>44938</v>
      </c>
      <c r="D1682" s="5">
        <v>0.40277777777777779</v>
      </c>
      <c r="E1682">
        <v>21</v>
      </c>
      <c r="F1682" t="s">
        <v>11</v>
      </c>
      <c r="G1682">
        <v>57</v>
      </c>
      <c r="H1682" t="s">
        <v>12</v>
      </c>
      <c r="I1682">
        <v>1</v>
      </c>
      <c r="J1682" s="6">
        <v>500</v>
      </c>
      <c r="K1682">
        <v>175</v>
      </c>
      <c r="L1682">
        <v>500</v>
      </c>
      <c r="M1682" t="str">
        <f>IF(OR(I1682="",J1682="",L1682=""),"Incomplete","Complete")</f>
        <v>Complete</v>
      </c>
      <c r="N1682" t="str">
        <f>IF(M1682="Incomplete","Not checked",IF(ROUND(I1682*J1682,2)=ROUND(L1682,2),"Valid","Mismatch"))</f>
        <v>Valid</v>
      </c>
      <c r="O1682">
        <f t="shared" si="53"/>
        <v>325</v>
      </c>
    </row>
    <row r="1683" spans="1:15">
      <c r="A1683">
        <v>130</v>
      </c>
      <c r="B1683" t="str">
        <f t="shared" si="52"/>
        <v>2023-06</v>
      </c>
      <c r="C1683" s="1">
        <v>45096</v>
      </c>
      <c r="D1683" s="5">
        <v>0.26458333333333334</v>
      </c>
      <c r="E1683">
        <v>114</v>
      </c>
      <c r="F1683" t="s">
        <v>14</v>
      </c>
      <c r="G1683">
        <v>57</v>
      </c>
      <c r="H1683" t="s">
        <v>12</v>
      </c>
      <c r="I1683">
        <v>1</v>
      </c>
      <c r="J1683" s="6">
        <v>500</v>
      </c>
      <c r="K1683">
        <v>125</v>
      </c>
      <c r="L1683">
        <v>500</v>
      </c>
      <c r="M1683" t="str">
        <f>IF(OR(I1683="",J1683="",L1683=""),"Incomplete","Complete")</f>
        <v>Complete</v>
      </c>
      <c r="N1683" t="str">
        <f>IF(M1683="Incomplete","Not checked",IF(ROUND(I1683*J1683,2)=ROUND(L1683,2),"Valid","Mismatch"))</f>
        <v>Valid</v>
      </c>
      <c r="O1683">
        <f t="shared" si="53"/>
        <v>375</v>
      </c>
    </row>
    <row r="1684" spans="1:15">
      <c r="A1684">
        <v>1130</v>
      </c>
      <c r="B1684" t="str">
        <f t="shared" si="52"/>
        <v>2023-02</v>
      </c>
      <c r="C1684" s="1">
        <v>44977</v>
      </c>
      <c r="D1684" s="5">
        <v>0.37708333333333333</v>
      </c>
      <c r="E1684">
        <v>28</v>
      </c>
      <c r="F1684" t="s">
        <v>14</v>
      </c>
      <c r="G1684">
        <v>57</v>
      </c>
      <c r="H1684" t="s">
        <v>12</v>
      </c>
      <c r="I1684">
        <v>1</v>
      </c>
      <c r="J1684" s="6">
        <v>500</v>
      </c>
      <c r="K1684">
        <v>180</v>
      </c>
      <c r="L1684">
        <v>500</v>
      </c>
      <c r="M1684" t="str">
        <f>IF(OR(I1684="",J1684="",L1684=""),"Incomplete","Complete")</f>
        <v>Complete</v>
      </c>
      <c r="N1684" t="str">
        <f>IF(M1684="Incomplete","Not checked",IF(ROUND(I1684*J1684,2)=ROUND(L1684,2),"Valid","Mismatch"))</f>
        <v>Valid</v>
      </c>
      <c r="O1684">
        <f t="shared" si="53"/>
        <v>320</v>
      </c>
    </row>
    <row r="1685" spans="1:15">
      <c r="A1685">
        <v>117</v>
      </c>
      <c r="B1685" t="str">
        <f t="shared" si="52"/>
        <v>2023-08</v>
      </c>
      <c r="C1685" s="1">
        <v>45142</v>
      </c>
      <c r="D1685" s="5">
        <v>0.48472222222222222</v>
      </c>
      <c r="E1685">
        <v>8</v>
      </c>
      <c r="F1685" t="s">
        <v>11</v>
      </c>
      <c r="G1685">
        <v>19</v>
      </c>
      <c r="H1685" t="s">
        <v>15</v>
      </c>
      <c r="I1685">
        <v>2</v>
      </c>
      <c r="J1685" s="6">
        <v>500</v>
      </c>
      <c r="K1685">
        <v>230</v>
      </c>
      <c r="L1685">
        <v>1000</v>
      </c>
      <c r="M1685" t="str">
        <f>IF(OR(I1685="",J1685="",L1685=""),"Incomplete","Complete")</f>
        <v>Complete</v>
      </c>
      <c r="N1685" t="str">
        <f>IF(M1685="Incomplete","Not checked",IF(ROUND(I1685*J1685,2)=ROUND(L1685,2),"Valid","Mismatch"))</f>
        <v>Valid</v>
      </c>
      <c r="O1685">
        <f t="shared" si="53"/>
        <v>770</v>
      </c>
    </row>
    <row r="1686" spans="1:15">
      <c r="A1686">
        <v>1117</v>
      </c>
      <c r="B1686" t="str">
        <f t="shared" si="52"/>
        <v>2023-09</v>
      </c>
      <c r="C1686" s="1">
        <v>45180</v>
      </c>
      <c r="D1686" s="5">
        <v>0.32500000000000001</v>
      </c>
      <c r="E1686">
        <v>144</v>
      </c>
      <c r="F1686" t="s">
        <v>11</v>
      </c>
      <c r="G1686">
        <v>19</v>
      </c>
      <c r="H1686" t="s">
        <v>15</v>
      </c>
      <c r="I1686">
        <v>2</v>
      </c>
      <c r="J1686" s="6">
        <v>500</v>
      </c>
      <c r="K1686">
        <v>210</v>
      </c>
      <c r="L1686">
        <v>1000</v>
      </c>
      <c r="M1686" t="str">
        <f>IF(OR(I1686="",J1686="",L1686=""),"Incomplete","Complete")</f>
        <v>Complete</v>
      </c>
      <c r="N1686" t="str">
        <f>IF(M1686="Incomplete","Not checked",IF(ROUND(I1686*J1686,2)=ROUND(L1686,2),"Valid","Mismatch"))</f>
        <v>Valid</v>
      </c>
      <c r="O1686">
        <f t="shared" si="53"/>
        <v>790</v>
      </c>
    </row>
    <row r="1687" spans="1:15">
      <c r="A1687">
        <v>942</v>
      </c>
      <c r="B1687" t="str">
        <f t="shared" si="52"/>
        <v>2023-12</v>
      </c>
      <c r="C1687" s="1">
        <v>45261</v>
      </c>
      <c r="D1687" s="5">
        <v>0.39027777777777778</v>
      </c>
      <c r="E1687">
        <v>35</v>
      </c>
      <c r="F1687" t="s">
        <v>11</v>
      </c>
      <c r="G1687">
        <v>51</v>
      </c>
      <c r="H1687" t="s">
        <v>12</v>
      </c>
      <c r="I1687">
        <v>3</v>
      </c>
      <c r="J1687" s="6">
        <v>500</v>
      </c>
      <c r="K1687">
        <v>160</v>
      </c>
      <c r="L1687">
        <v>1500</v>
      </c>
      <c r="M1687" t="str">
        <f>IF(OR(I1687="",J1687="",L1687=""),"Incomplete","Complete")</f>
        <v>Complete</v>
      </c>
      <c r="N1687" t="str">
        <f>IF(M1687="Incomplete","Not checked",IF(ROUND(I1687*J1687,2)=ROUND(L1687,2),"Valid","Mismatch"))</f>
        <v>Valid</v>
      </c>
      <c r="O1687">
        <f t="shared" si="53"/>
        <v>1340</v>
      </c>
    </row>
    <row r="1688" spans="1:15">
      <c r="A1688">
        <v>1942</v>
      </c>
      <c r="B1688" t="str">
        <f t="shared" si="52"/>
        <v>2023-09</v>
      </c>
      <c r="C1688" s="1">
        <v>45185</v>
      </c>
      <c r="D1688" s="5">
        <v>0.49513888888888891</v>
      </c>
      <c r="E1688">
        <v>112</v>
      </c>
      <c r="F1688" t="s">
        <v>11</v>
      </c>
      <c r="G1688">
        <v>51</v>
      </c>
      <c r="H1688" t="s">
        <v>12</v>
      </c>
      <c r="I1688">
        <v>3</v>
      </c>
      <c r="J1688" s="6">
        <v>500</v>
      </c>
      <c r="K1688">
        <v>265</v>
      </c>
      <c r="L1688">
        <v>1500</v>
      </c>
      <c r="M1688" t="str">
        <f>IF(OR(I1688="",J1688="",L1688=""),"Incomplete","Complete")</f>
        <v>Complete</v>
      </c>
      <c r="N1688" t="str">
        <f>IF(M1688="Incomplete","Not checked",IF(ROUND(I1688*J1688,2)=ROUND(L1688,2),"Valid","Mismatch"))</f>
        <v>Valid</v>
      </c>
      <c r="O1688">
        <f t="shared" si="53"/>
        <v>1235</v>
      </c>
    </row>
    <row r="1689" spans="1:15">
      <c r="A1689">
        <v>313</v>
      </c>
      <c r="B1689" t="str">
        <f t="shared" si="52"/>
        <v>2023-12</v>
      </c>
      <c r="C1689" s="1">
        <v>45276</v>
      </c>
      <c r="D1689" s="5">
        <v>0.41875000000000001</v>
      </c>
      <c r="E1689">
        <v>11</v>
      </c>
      <c r="F1689" t="s">
        <v>14</v>
      </c>
      <c r="G1689">
        <v>55</v>
      </c>
      <c r="H1689" t="s">
        <v>13</v>
      </c>
      <c r="I1689">
        <v>3</v>
      </c>
      <c r="J1689" s="6">
        <v>500</v>
      </c>
      <c r="K1689">
        <v>140</v>
      </c>
      <c r="L1689">
        <v>1500</v>
      </c>
      <c r="M1689" t="str">
        <f>IF(OR(I1689="",J1689="",L1689=""),"Incomplete","Complete")</f>
        <v>Complete</v>
      </c>
      <c r="N1689" t="str">
        <f>IF(M1689="Incomplete","Not checked",IF(ROUND(I1689*J1689,2)=ROUND(L1689,2),"Valid","Mismatch"))</f>
        <v>Valid</v>
      </c>
      <c r="O1689">
        <f t="shared" si="53"/>
        <v>1360</v>
      </c>
    </row>
    <row r="1690" spans="1:15">
      <c r="A1690">
        <v>1313</v>
      </c>
      <c r="B1690" t="str">
        <f t="shared" si="52"/>
        <v>2023-06</v>
      </c>
      <c r="C1690" s="1">
        <v>45081</v>
      </c>
      <c r="D1690" s="5">
        <v>0.39027777777777778</v>
      </c>
      <c r="E1690">
        <v>10</v>
      </c>
      <c r="F1690" t="s">
        <v>14</v>
      </c>
      <c r="G1690">
        <v>55</v>
      </c>
      <c r="H1690" t="s">
        <v>13</v>
      </c>
      <c r="I1690">
        <v>3</v>
      </c>
      <c r="J1690" s="6">
        <v>500</v>
      </c>
      <c r="K1690">
        <v>170</v>
      </c>
      <c r="L1690">
        <v>1500</v>
      </c>
      <c r="M1690" t="str">
        <f>IF(OR(I1690="",J1690="",L1690=""),"Incomplete","Complete")</f>
        <v>Complete</v>
      </c>
      <c r="N1690" t="str">
        <f>IF(M1690="Incomplete","Not checked",IF(ROUND(I1690*J1690,2)=ROUND(L1690,2),"Valid","Mismatch"))</f>
        <v>Valid</v>
      </c>
      <c r="O1690">
        <f t="shared" si="53"/>
        <v>1330</v>
      </c>
    </row>
    <row r="1691" spans="1:15">
      <c r="A1691">
        <v>161</v>
      </c>
      <c r="B1691" t="str">
        <f t="shared" si="52"/>
        <v>2023-07</v>
      </c>
      <c r="C1691" s="1">
        <v>45108</v>
      </c>
      <c r="D1691" s="5">
        <v>0.2902777777777778</v>
      </c>
      <c r="E1691">
        <v>104</v>
      </c>
      <c r="F1691" t="s">
        <v>11</v>
      </c>
      <c r="G1691">
        <v>64</v>
      </c>
      <c r="H1691" t="s">
        <v>13</v>
      </c>
      <c r="I1691">
        <v>2</v>
      </c>
      <c r="J1691" s="6">
        <v>500</v>
      </c>
      <c r="K1691">
        <v>195</v>
      </c>
      <c r="L1691">
        <v>1000</v>
      </c>
      <c r="M1691" t="str">
        <f>IF(OR(I1691="",J1691="",L1691=""),"Incomplete","Complete")</f>
        <v>Complete</v>
      </c>
      <c r="N1691" t="str">
        <f>IF(M1691="Incomplete","Not checked",IF(ROUND(I1691*J1691,2)=ROUND(L1691,2),"Valid","Mismatch"))</f>
        <v>Valid</v>
      </c>
      <c r="O1691">
        <f t="shared" si="53"/>
        <v>805</v>
      </c>
    </row>
    <row r="1692" spans="1:15">
      <c r="A1692">
        <v>1161</v>
      </c>
      <c r="B1692" t="str">
        <f t="shared" si="52"/>
        <v>2023-06</v>
      </c>
      <c r="C1692" s="1">
        <v>45106</v>
      </c>
      <c r="D1692" s="5">
        <v>0.46250000000000002</v>
      </c>
      <c r="E1692">
        <v>30</v>
      </c>
      <c r="F1692" t="s">
        <v>11</v>
      </c>
      <c r="G1692">
        <v>64</v>
      </c>
      <c r="H1692" t="s">
        <v>13</v>
      </c>
      <c r="I1692">
        <v>2</v>
      </c>
      <c r="J1692" s="6">
        <v>500</v>
      </c>
      <c r="K1692">
        <v>160</v>
      </c>
      <c r="L1692">
        <v>1000</v>
      </c>
      <c r="M1692" t="str">
        <f>IF(OR(I1692="",J1692="",L1692=""),"Incomplete","Complete")</f>
        <v>Complete</v>
      </c>
      <c r="N1692" t="str">
        <f>IF(M1692="Incomplete","Not checked",IF(ROUND(I1692*J1692,2)=ROUND(L1692,2),"Valid","Mismatch"))</f>
        <v>Valid</v>
      </c>
      <c r="O1692">
        <f t="shared" si="53"/>
        <v>840</v>
      </c>
    </row>
    <row r="1693" spans="1:15">
      <c r="A1693">
        <v>636</v>
      </c>
      <c r="B1693" t="str">
        <f t="shared" si="52"/>
        <v>2023-05</v>
      </c>
      <c r="C1693" s="1">
        <v>45055</v>
      </c>
      <c r="D1693" s="5">
        <v>0.26041666666666669</v>
      </c>
      <c r="E1693">
        <v>60</v>
      </c>
      <c r="F1693" t="s">
        <v>14</v>
      </c>
      <c r="G1693">
        <v>21</v>
      </c>
      <c r="H1693" t="s">
        <v>13</v>
      </c>
      <c r="I1693">
        <v>3</v>
      </c>
      <c r="J1693" s="6">
        <v>500</v>
      </c>
      <c r="K1693">
        <v>230</v>
      </c>
      <c r="L1693">
        <v>1500</v>
      </c>
      <c r="M1693" t="str">
        <f>IF(OR(I1693="",J1693="",L1693=""),"Incomplete","Complete")</f>
        <v>Complete</v>
      </c>
      <c r="N1693" t="str">
        <f>IF(M1693="Incomplete","Not checked",IF(ROUND(I1693*J1693,2)=ROUND(L1693,2),"Valid","Mismatch"))</f>
        <v>Valid</v>
      </c>
      <c r="O1693">
        <f t="shared" si="53"/>
        <v>1270</v>
      </c>
    </row>
    <row r="1694" spans="1:15">
      <c r="A1694">
        <v>1636</v>
      </c>
      <c r="B1694" t="str">
        <f t="shared" si="52"/>
        <v>2023-07</v>
      </c>
      <c r="C1694" s="1">
        <v>45129</v>
      </c>
      <c r="D1694" s="5">
        <v>0.47638888888888886</v>
      </c>
      <c r="E1694">
        <v>50</v>
      </c>
      <c r="F1694" t="s">
        <v>14</v>
      </c>
      <c r="G1694">
        <v>21</v>
      </c>
      <c r="H1694" t="s">
        <v>13</v>
      </c>
      <c r="I1694">
        <v>3</v>
      </c>
      <c r="J1694" s="6">
        <v>500</v>
      </c>
      <c r="K1694">
        <v>150</v>
      </c>
      <c r="L1694">
        <v>1500</v>
      </c>
      <c r="M1694" t="str">
        <f>IF(OR(I1694="",J1694="",L1694=""),"Incomplete","Complete")</f>
        <v>Complete</v>
      </c>
      <c r="N1694" t="str">
        <f>IF(M1694="Incomplete","Not checked",IF(ROUND(I1694*J1694,2)=ROUND(L1694,2),"Valid","Mismatch"))</f>
        <v>Valid</v>
      </c>
      <c r="O1694">
        <f t="shared" si="53"/>
        <v>1350</v>
      </c>
    </row>
    <row r="1695" spans="1:15">
      <c r="A1695">
        <v>91</v>
      </c>
      <c r="B1695" t="str">
        <f t="shared" si="52"/>
        <v>2023-04</v>
      </c>
      <c r="C1695" s="1">
        <v>45030</v>
      </c>
      <c r="D1695" s="5">
        <v>0.27152777777777776</v>
      </c>
      <c r="E1695">
        <v>152</v>
      </c>
      <c r="F1695" t="s">
        <v>14</v>
      </c>
      <c r="G1695">
        <v>55</v>
      </c>
      <c r="H1695" t="s">
        <v>15</v>
      </c>
      <c r="I1695">
        <v>1</v>
      </c>
      <c r="J1695" s="6">
        <v>500</v>
      </c>
      <c r="K1695">
        <v>235</v>
      </c>
      <c r="L1695">
        <v>500</v>
      </c>
      <c r="M1695" t="str">
        <f>IF(OR(I1695="",J1695="",L1695=""),"Incomplete","Complete")</f>
        <v>Complete</v>
      </c>
      <c r="N1695" t="str">
        <f>IF(M1695="Incomplete","Not checked",IF(ROUND(I1695*J1695,2)=ROUND(L1695,2),"Valid","Mismatch"))</f>
        <v>Valid</v>
      </c>
      <c r="O1695">
        <f t="shared" si="53"/>
        <v>265</v>
      </c>
    </row>
    <row r="1696" spans="1:15">
      <c r="A1696">
        <v>461</v>
      </c>
      <c r="B1696" t="str">
        <f t="shared" si="52"/>
        <v>2023-07</v>
      </c>
      <c r="C1696" s="1">
        <v>45125</v>
      </c>
      <c r="D1696" s="5">
        <v>0.43958333333333333</v>
      </c>
      <c r="E1696">
        <v>21</v>
      </c>
      <c r="F1696" t="s">
        <v>14</v>
      </c>
      <c r="G1696">
        <v>18</v>
      </c>
      <c r="H1696" t="s">
        <v>13</v>
      </c>
      <c r="I1696">
        <v>2</v>
      </c>
      <c r="J1696" s="6">
        <v>500</v>
      </c>
      <c r="K1696">
        <v>265</v>
      </c>
      <c r="L1696">
        <v>1000</v>
      </c>
      <c r="M1696" t="str">
        <f>IF(OR(I1696="",J1696="",L1696=""),"Incomplete","Complete")</f>
        <v>Complete</v>
      </c>
      <c r="N1696" t="str">
        <f>IF(M1696="Incomplete","Not checked",IF(ROUND(I1696*J1696,2)=ROUND(L1696,2),"Valid","Mismatch"))</f>
        <v>Valid</v>
      </c>
      <c r="O1696">
        <f t="shared" si="53"/>
        <v>735</v>
      </c>
    </row>
    <row r="1697" spans="1:15">
      <c r="A1697">
        <v>1091</v>
      </c>
      <c r="B1697" t="str">
        <f t="shared" si="52"/>
        <v>2023-07</v>
      </c>
      <c r="C1697" s="1">
        <v>45122</v>
      </c>
      <c r="D1697" s="5">
        <v>0.36527777777777776</v>
      </c>
      <c r="E1697">
        <v>139</v>
      </c>
      <c r="F1697" t="s">
        <v>14</v>
      </c>
      <c r="G1697">
        <v>55</v>
      </c>
      <c r="H1697" t="s">
        <v>15</v>
      </c>
      <c r="I1697">
        <v>1</v>
      </c>
      <c r="J1697" s="6">
        <v>500</v>
      </c>
      <c r="K1697">
        <v>235</v>
      </c>
      <c r="L1697">
        <v>500</v>
      </c>
      <c r="M1697" t="str">
        <f>IF(OR(I1697="",J1697="",L1697=""),"Incomplete","Complete")</f>
        <v>Complete</v>
      </c>
      <c r="N1697" t="str">
        <f>IF(M1697="Incomplete","Not checked",IF(ROUND(I1697*J1697,2)=ROUND(L1697,2),"Valid","Mismatch"))</f>
        <v>Valid</v>
      </c>
      <c r="O1697">
        <f t="shared" si="53"/>
        <v>265</v>
      </c>
    </row>
    <row r="1698" spans="1:15">
      <c r="A1698">
        <v>1461</v>
      </c>
      <c r="B1698" t="str">
        <f t="shared" si="52"/>
        <v>2023-05</v>
      </c>
      <c r="C1698" s="1">
        <v>45047</v>
      </c>
      <c r="D1698" s="5">
        <v>0.36319444444444443</v>
      </c>
      <c r="E1698">
        <v>63</v>
      </c>
      <c r="F1698" t="s">
        <v>14</v>
      </c>
      <c r="G1698">
        <v>18</v>
      </c>
      <c r="H1698" t="s">
        <v>13</v>
      </c>
      <c r="I1698">
        <v>2</v>
      </c>
      <c r="J1698" s="6">
        <v>500</v>
      </c>
      <c r="K1698">
        <v>180</v>
      </c>
      <c r="L1698">
        <v>1000</v>
      </c>
      <c r="M1698" t="str">
        <f>IF(OR(I1698="",J1698="",L1698=""),"Incomplete","Complete")</f>
        <v>Complete</v>
      </c>
      <c r="N1698" t="str">
        <f>IF(M1698="Incomplete","Not checked",IF(ROUND(I1698*J1698,2)=ROUND(L1698,2),"Valid","Mismatch"))</f>
        <v>Valid</v>
      </c>
      <c r="O1698">
        <f t="shared" si="53"/>
        <v>820</v>
      </c>
    </row>
    <row r="1699" spans="1:15">
      <c r="A1699">
        <v>760</v>
      </c>
      <c r="B1699" t="str">
        <f t="shared" si="52"/>
        <v>2023-06</v>
      </c>
      <c r="C1699" s="1">
        <v>45103</v>
      </c>
      <c r="D1699" s="5">
        <v>0.33263888888888887</v>
      </c>
      <c r="E1699">
        <v>14</v>
      </c>
      <c r="F1699" t="s">
        <v>11</v>
      </c>
      <c r="G1699">
        <v>27</v>
      </c>
      <c r="H1699" t="s">
        <v>13</v>
      </c>
      <c r="I1699">
        <v>1</v>
      </c>
      <c r="J1699" s="6">
        <v>500</v>
      </c>
      <c r="K1699">
        <v>125</v>
      </c>
      <c r="L1699">
        <v>500</v>
      </c>
      <c r="M1699" t="str">
        <f>IF(OR(I1699="",J1699="",L1699=""),"Incomplete","Complete")</f>
        <v>Complete</v>
      </c>
      <c r="N1699" t="str">
        <f>IF(M1699="Incomplete","Not checked",IF(ROUND(I1699*J1699,2)=ROUND(L1699,2),"Valid","Mismatch"))</f>
        <v>Valid</v>
      </c>
      <c r="O1699">
        <f t="shared" si="53"/>
        <v>375</v>
      </c>
    </row>
    <row r="1700" spans="1:15">
      <c r="A1700">
        <v>1760</v>
      </c>
      <c r="B1700" t="str">
        <f t="shared" si="52"/>
        <v>2023-08</v>
      </c>
      <c r="C1700" s="1">
        <v>45161</v>
      </c>
      <c r="D1700" s="5">
        <v>0.30972222222222223</v>
      </c>
      <c r="E1700">
        <v>44</v>
      </c>
      <c r="F1700" t="s">
        <v>11</v>
      </c>
      <c r="G1700">
        <v>27</v>
      </c>
      <c r="H1700" t="s">
        <v>13</v>
      </c>
      <c r="I1700">
        <v>1</v>
      </c>
      <c r="J1700" s="6">
        <v>500</v>
      </c>
      <c r="K1700">
        <v>230</v>
      </c>
      <c r="L1700">
        <v>500</v>
      </c>
      <c r="M1700" t="str">
        <f>IF(OR(I1700="",J1700="",L1700=""),"Incomplete","Complete")</f>
        <v>Complete</v>
      </c>
      <c r="N1700" t="str">
        <f>IF(M1700="Incomplete","Not checked",IF(ROUND(I1700*J1700,2)=ROUND(L1700,2),"Valid","Mismatch"))</f>
        <v>Valid</v>
      </c>
      <c r="O1700">
        <f t="shared" si="53"/>
        <v>270</v>
      </c>
    </row>
    <row r="1701" spans="1:15">
      <c r="A1701">
        <v>88</v>
      </c>
      <c r="B1701" t="str">
        <f t="shared" si="52"/>
        <v>2023-02</v>
      </c>
      <c r="C1701" s="1">
        <v>44973</v>
      </c>
      <c r="D1701" s="5">
        <v>0.35486111111111113</v>
      </c>
      <c r="E1701">
        <v>122</v>
      </c>
      <c r="F1701" t="s">
        <v>11</v>
      </c>
      <c r="G1701">
        <v>56</v>
      </c>
      <c r="H1701" t="s">
        <v>12</v>
      </c>
      <c r="I1701">
        <v>1</v>
      </c>
      <c r="J1701" s="6">
        <v>500</v>
      </c>
      <c r="K1701">
        <v>185</v>
      </c>
      <c r="L1701">
        <v>500</v>
      </c>
      <c r="M1701" t="str">
        <f>IF(OR(I1701="",J1701="",L1701=""),"Incomplete","Complete")</f>
        <v>Complete</v>
      </c>
      <c r="N1701" t="str">
        <f>IF(M1701="Incomplete","Not checked",IF(ROUND(I1701*J1701,2)=ROUND(L1701,2),"Valid","Mismatch"))</f>
        <v>Valid</v>
      </c>
      <c r="O1701">
        <f t="shared" si="53"/>
        <v>315</v>
      </c>
    </row>
    <row r="1702" spans="1:15">
      <c r="A1702">
        <v>1088</v>
      </c>
      <c r="B1702" t="str">
        <f t="shared" si="52"/>
        <v>2023-09</v>
      </c>
      <c r="C1702" s="1">
        <v>45183</v>
      </c>
      <c r="D1702" s="5">
        <v>0.29166666666666669</v>
      </c>
      <c r="E1702">
        <v>6</v>
      </c>
      <c r="F1702" t="s">
        <v>11</v>
      </c>
      <c r="G1702">
        <v>56</v>
      </c>
      <c r="H1702" t="s">
        <v>12</v>
      </c>
      <c r="I1702">
        <v>1</v>
      </c>
      <c r="J1702" s="6">
        <v>500</v>
      </c>
      <c r="K1702">
        <v>155</v>
      </c>
      <c r="L1702">
        <v>500</v>
      </c>
      <c r="M1702" t="str">
        <f>IF(OR(I1702="",J1702="",L1702=""),"Incomplete","Complete")</f>
        <v>Complete</v>
      </c>
      <c r="N1702" t="str">
        <f>IF(M1702="Incomplete","Not checked",IF(ROUND(I1702*J1702,2)=ROUND(L1702,2),"Valid","Mismatch"))</f>
        <v>Valid</v>
      </c>
      <c r="O1702">
        <f t="shared" si="53"/>
        <v>345</v>
      </c>
    </row>
    <row r="1703" spans="1:15">
      <c r="A1703">
        <v>808</v>
      </c>
      <c r="B1703" t="str">
        <f t="shared" si="52"/>
        <v>2023-11</v>
      </c>
      <c r="C1703" s="1">
        <v>45252</v>
      </c>
      <c r="D1703" s="5">
        <v>0.30416666666666664</v>
      </c>
      <c r="E1703">
        <v>30</v>
      </c>
      <c r="F1703" t="s">
        <v>11</v>
      </c>
      <c r="G1703">
        <v>33</v>
      </c>
      <c r="H1703" t="s">
        <v>13</v>
      </c>
      <c r="I1703">
        <v>4</v>
      </c>
      <c r="J1703" s="6">
        <v>500</v>
      </c>
      <c r="K1703">
        <v>195</v>
      </c>
      <c r="L1703">
        <v>2000</v>
      </c>
      <c r="M1703" t="str">
        <f>IF(OR(I1703="",J1703="",L1703=""),"Incomplete","Complete")</f>
        <v>Complete</v>
      </c>
      <c r="N1703" t="str">
        <f>IF(M1703="Incomplete","Not checked",IF(ROUND(I1703*J1703,2)=ROUND(L1703,2),"Valid","Mismatch"))</f>
        <v>Valid</v>
      </c>
      <c r="O1703">
        <f t="shared" si="53"/>
        <v>1805</v>
      </c>
    </row>
    <row r="1704" spans="1:15">
      <c r="A1704">
        <v>1808</v>
      </c>
      <c r="B1704" t="str">
        <f t="shared" si="52"/>
        <v>2023-02</v>
      </c>
      <c r="C1704" s="1">
        <v>44969</v>
      </c>
      <c r="D1704" s="5">
        <v>0.45</v>
      </c>
      <c r="E1704">
        <v>109</v>
      </c>
      <c r="F1704" t="s">
        <v>11</v>
      </c>
      <c r="G1704">
        <v>33</v>
      </c>
      <c r="H1704" t="s">
        <v>13</v>
      </c>
      <c r="I1704">
        <v>4</v>
      </c>
      <c r="J1704" s="6">
        <v>500</v>
      </c>
      <c r="K1704">
        <v>210</v>
      </c>
      <c r="L1704">
        <v>2000</v>
      </c>
      <c r="M1704" t="str">
        <f>IF(OR(I1704="",J1704="",L1704=""),"Incomplete","Complete")</f>
        <v>Complete</v>
      </c>
      <c r="N1704" t="str">
        <f>IF(M1704="Incomplete","Not checked",IF(ROUND(I1704*J1704,2)=ROUND(L1704,2),"Valid","Mismatch"))</f>
        <v>Valid</v>
      </c>
      <c r="O1704">
        <f t="shared" si="53"/>
        <v>1790</v>
      </c>
    </row>
    <row r="1705" spans="1:15">
      <c r="A1705">
        <v>166</v>
      </c>
      <c r="B1705" t="str">
        <f t="shared" si="52"/>
        <v>2023-01</v>
      </c>
      <c r="C1705" s="1">
        <v>44954</v>
      </c>
      <c r="D1705" s="5">
        <v>0.48749999999999999</v>
      </c>
      <c r="E1705">
        <v>32</v>
      </c>
      <c r="F1705" t="s">
        <v>11</v>
      </c>
      <c r="G1705">
        <v>34</v>
      </c>
      <c r="H1705" t="s">
        <v>12</v>
      </c>
      <c r="I1705">
        <v>4</v>
      </c>
      <c r="J1705" s="6">
        <v>500</v>
      </c>
      <c r="K1705">
        <v>225</v>
      </c>
      <c r="L1705">
        <v>2000</v>
      </c>
      <c r="M1705" t="str">
        <f>IF(OR(I1705="",J1705="",L1705=""),"Incomplete","Complete")</f>
        <v>Complete</v>
      </c>
      <c r="N1705" t="str">
        <f>IF(M1705="Incomplete","Not checked",IF(ROUND(I1705*J1705,2)=ROUND(L1705,2),"Valid","Mismatch"))</f>
        <v>Valid</v>
      </c>
      <c r="O1705">
        <f t="shared" si="53"/>
        <v>1775</v>
      </c>
    </row>
    <row r="1706" spans="1:15">
      <c r="A1706">
        <v>1166</v>
      </c>
      <c r="B1706" t="str">
        <f t="shared" si="52"/>
        <v>2023-07</v>
      </c>
      <c r="C1706" s="1">
        <v>45126</v>
      </c>
      <c r="D1706" s="5">
        <v>0.32291666666666669</v>
      </c>
      <c r="E1706">
        <v>65</v>
      </c>
      <c r="F1706" t="s">
        <v>11</v>
      </c>
      <c r="G1706">
        <v>34</v>
      </c>
      <c r="H1706" t="s">
        <v>12</v>
      </c>
      <c r="I1706">
        <v>4</v>
      </c>
      <c r="J1706" s="6">
        <v>500</v>
      </c>
      <c r="K1706">
        <v>245</v>
      </c>
      <c r="L1706">
        <v>2000</v>
      </c>
      <c r="M1706" t="str">
        <f>IF(OR(I1706="",J1706="",L1706=""),"Incomplete","Complete")</f>
        <v>Complete</v>
      </c>
      <c r="N1706" t="str">
        <f>IF(M1706="Incomplete","Not checked",IF(ROUND(I1706*J1706,2)=ROUND(L1706,2),"Valid","Mismatch"))</f>
        <v>Valid</v>
      </c>
      <c r="O1706">
        <f t="shared" si="53"/>
        <v>1755</v>
      </c>
    </row>
    <row r="1707" spans="1:15">
      <c r="A1707">
        <v>280</v>
      </c>
      <c r="B1707" t="str">
        <f t="shared" si="52"/>
        <v>2023-11</v>
      </c>
      <c r="C1707" s="1">
        <v>45247</v>
      </c>
      <c r="D1707" s="5">
        <v>0.39930555555555558</v>
      </c>
      <c r="E1707">
        <v>76</v>
      </c>
      <c r="F1707" t="s">
        <v>14</v>
      </c>
      <c r="G1707">
        <v>37</v>
      </c>
      <c r="H1707" t="s">
        <v>12</v>
      </c>
      <c r="I1707">
        <v>3</v>
      </c>
      <c r="J1707" s="6">
        <v>500</v>
      </c>
      <c r="K1707">
        <v>240</v>
      </c>
      <c r="L1707">
        <v>1500</v>
      </c>
      <c r="M1707" t="str">
        <f>IF(OR(I1707="",J1707="",L1707=""),"Incomplete","Complete")</f>
        <v>Complete</v>
      </c>
      <c r="N1707" t="str">
        <f>IF(M1707="Incomplete","Not checked",IF(ROUND(I1707*J1707,2)=ROUND(L1707,2),"Valid","Mismatch"))</f>
        <v>Valid</v>
      </c>
      <c r="O1707">
        <f t="shared" si="53"/>
        <v>1260</v>
      </c>
    </row>
    <row r="1708" spans="1:15">
      <c r="A1708">
        <v>1280</v>
      </c>
      <c r="B1708" t="str">
        <f t="shared" si="52"/>
        <v>2023-08</v>
      </c>
      <c r="C1708" s="1">
        <v>45162</v>
      </c>
      <c r="D1708" s="5">
        <v>0.38541666666666669</v>
      </c>
      <c r="E1708">
        <v>116</v>
      </c>
      <c r="F1708" t="s">
        <v>14</v>
      </c>
      <c r="G1708">
        <v>37</v>
      </c>
      <c r="H1708" t="s">
        <v>12</v>
      </c>
      <c r="I1708">
        <v>3</v>
      </c>
      <c r="J1708" s="6">
        <v>500</v>
      </c>
      <c r="K1708">
        <v>255</v>
      </c>
      <c r="L1708">
        <v>1500</v>
      </c>
      <c r="M1708" t="str">
        <f>IF(OR(I1708="",J1708="",L1708=""),"Incomplete","Complete")</f>
        <v>Complete</v>
      </c>
      <c r="N1708" t="str">
        <f>IF(M1708="Incomplete","Not checked",IF(ROUND(I1708*J1708,2)=ROUND(L1708,2),"Valid","Mismatch"))</f>
        <v>Valid</v>
      </c>
      <c r="O1708">
        <f t="shared" si="53"/>
        <v>1245</v>
      </c>
    </row>
    <row r="1709" spans="1:15">
      <c r="A1709">
        <v>275</v>
      </c>
      <c r="B1709" t="str">
        <f t="shared" si="52"/>
        <v>2023-03</v>
      </c>
      <c r="C1709" s="1">
        <v>44990</v>
      </c>
      <c r="D1709" s="5">
        <v>0.48194444444444445</v>
      </c>
      <c r="E1709">
        <v>2</v>
      </c>
      <c r="F1709" t="s">
        <v>11</v>
      </c>
      <c r="G1709">
        <v>43</v>
      </c>
      <c r="H1709" t="s">
        <v>12</v>
      </c>
      <c r="I1709">
        <v>2</v>
      </c>
      <c r="J1709" s="6">
        <v>500</v>
      </c>
      <c r="K1709">
        <v>260</v>
      </c>
      <c r="L1709">
        <v>1000</v>
      </c>
      <c r="M1709" t="str">
        <f>IF(OR(I1709="",J1709="",L1709=""),"Incomplete","Complete")</f>
        <v>Complete</v>
      </c>
      <c r="N1709" t="str">
        <f>IF(M1709="Incomplete","Not checked",IF(ROUND(I1709*J1709,2)=ROUND(L1709,2),"Valid","Mismatch"))</f>
        <v>Valid</v>
      </c>
      <c r="O1709">
        <f t="shared" si="53"/>
        <v>740</v>
      </c>
    </row>
    <row r="1710" spans="1:15">
      <c r="A1710">
        <v>1275</v>
      </c>
      <c r="B1710" t="str">
        <f t="shared" si="52"/>
        <v>2023-03</v>
      </c>
      <c r="C1710" s="1">
        <v>44987</v>
      </c>
      <c r="D1710" s="5">
        <v>0.36666666666666664</v>
      </c>
      <c r="E1710">
        <v>5</v>
      </c>
      <c r="F1710" t="s">
        <v>11</v>
      </c>
      <c r="G1710">
        <v>43</v>
      </c>
      <c r="H1710" t="s">
        <v>12</v>
      </c>
      <c r="I1710">
        <v>2</v>
      </c>
      <c r="J1710" s="6">
        <v>500</v>
      </c>
      <c r="K1710">
        <v>250</v>
      </c>
      <c r="L1710">
        <v>1000</v>
      </c>
      <c r="M1710" t="str">
        <f>IF(OR(I1710="",J1710="",L1710=""),"Incomplete","Complete")</f>
        <v>Complete</v>
      </c>
      <c r="N1710" t="str">
        <f>IF(M1710="Incomplete","Not checked",IF(ROUND(I1710*J1710,2)=ROUND(L1710,2),"Valid","Mismatch"))</f>
        <v>Valid</v>
      </c>
      <c r="O1710">
        <f t="shared" si="53"/>
        <v>750</v>
      </c>
    </row>
    <row r="1711" spans="1:15">
      <c r="A1711">
        <v>274</v>
      </c>
      <c r="B1711" t="str">
        <f t="shared" si="52"/>
        <v>2023-04</v>
      </c>
      <c r="C1711" s="1">
        <v>45030</v>
      </c>
      <c r="D1711" s="5">
        <v>0.3</v>
      </c>
      <c r="E1711">
        <v>4</v>
      </c>
      <c r="F1711" t="s">
        <v>14</v>
      </c>
      <c r="G1711">
        <v>23</v>
      </c>
      <c r="H1711" t="s">
        <v>12</v>
      </c>
      <c r="I1711">
        <v>2</v>
      </c>
      <c r="J1711" s="6">
        <v>500</v>
      </c>
      <c r="K1711">
        <v>150</v>
      </c>
      <c r="L1711">
        <v>1000</v>
      </c>
      <c r="M1711" t="str">
        <f>IF(OR(I1711="",J1711="",L1711=""),"Incomplete","Complete")</f>
        <v>Complete</v>
      </c>
      <c r="N1711" t="str">
        <f>IF(M1711="Incomplete","Not checked",IF(ROUND(I1711*J1711,2)=ROUND(L1711,2),"Valid","Mismatch"))</f>
        <v>Valid</v>
      </c>
      <c r="O1711">
        <f t="shared" si="53"/>
        <v>850</v>
      </c>
    </row>
    <row r="1712" spans="1:15">
      <c r="A1712">
        <v>1274</v>
      </c>
      <c r="B1712" t="str">
        <f t="shared" si="52"/>
        <v>2023-10</v>
      </c>
      <c r="C1712" s="1">
        <v>45205</v>
      </c>
      <c r="D1712" s="5">
        <v>0.37569444444444444</v>
      </c>
      <c r="E1712">
        <v>2</v>
      </c>
      <c r="F1712" t="s">
        <v>14</v>
      </c>
      <c r="G1712">
        <v>23</v>
      </c>
      <c r="H1712" t="s">
        <v>12</v>
      </c>
      <c r="I1712">
        <v>2</v>
      </c>
      <c r="J1712" s="6">
        <v>500</v>
      </c>
      <c r="K1712">
        <v>185</v>
      </c>
      <c r="L1712">
        <v>1000</v>
      </c>
      <c r="M1712" t="str">
        <f>IF(OR(I1712="",J1712="",L1712=""),"Incomplete","Complete")</f>
        <v>Complete</v>
      </c>
      <c r="N1712" t="str">
        <f>IF(M1712="Incomplete","Not checked",IF(ROUND(I1712*J1712,2)=ROUND(L1712,2),"Valid","Mismatch"))</f>
        <v>Valid</v>
      </c>
      <c r="O1712">
        <f t="shared" si="53"/>
        <v>815</v>
      </c>
    </row>
    <row r="1713" spans="1:15">
      <c r="A1713">
        <v>589</v>
      </c>
      <c r="B1713" t="str">
        <f t="shared" si="52"/>
        <v>2023-07</v>
      </c>
      <c r="C1713" s="1">
        <v>45115</v>
      </c>
      <c r="D1713" s="5">
        <v>0.29930555555555555</v>
      </c>
      <c r="E1713">
        <v>5</v>
      </c>
      <c r="F1713" t="s">
        <v>14</v>
      </c>
      <c r="G1713">
        <v>36</v>
      </c>
      <c r="H1713" t="s">
        <v>13</v>
      </c>
      <c r="I1713">
        <v>2</v>
      </c>
      <c r="J1713" s="6">
        <v>500</v>
      </c>
      <c r="K1713">
        <v>145</v>
      </c>
      <c r="L1713">
        <v>1000</v>
      </c>
      <c r="M1713" t="str">
        <f>IF(OR(I1713="",J1713="",L1713=""),"Incomplete","Complete")</f>
        <v>Complete</v>
      </c>
      <c r="N1713" t="str">
        <f>IF(M1713="Incomplete","Not checked",IF(ROUND(I1713*J1713,2)=ROUND(L1713,2),"Valid","Mismatch"))</f>
        <v>Valid</v>
      </c>
      <c r="O1713">
        <f t="shared" si="53"/>
        <v>855</v>
      </c>
    </row>
    <row r="1714" spans="1:15">
      <c r="A1714">
        <v>1589</v>
      </c>
      <c r="B1714" t="str">
        <f t="shared" si="52"/>
        <v>2023-07</v>
      </c>
      <c r="C1714" s="1">
        <v>45108</v>
      </c>
      <c r="D1714" s="5">
        <v>0.27083333333333331</v>
      </c>
      <c r="E1714">
        <v>5</v>
      </c>
      <c r="F1714" t="s">
        <v>14</v>
      </c>
      <c r="G1714">
        <v>36</v>
      </c>
      <c r="H1714" t="s">
        <v>13</v>
      </c>
      <c r="I1714">
        <v>2</v>
      </c>
      <c r="J1714" s="6">
        <v>500</v>
      </c>
      <c r="K1714">
        <v>145</v>
      </c>
      <c r="L1714">
        <v>1000</v>
      </c>
      <c r="M1714" t="str">
        <f>IF(OR(I1714="",J1714="",L1714=""),"Incomplete","Complete")</f>
        <v>Complete</v>
      </c>
      <c r="N1714" t="str">
        <f>IF(M1714="Incomplete","Not checked",IF(ROUND(I1714*J1714,2)=ROUND(L1714,2),"Valid","Mismatch"))</f>
        <v>Valid</v>
      </c>
      <c r="O1714">
        <f t="shared" si="53"/>
        <v>855</v>
      </c>
    </row>
    <row r="1715" spans="1:15">
      <c r="A1715">
        <v>408</v>
      </c>
      <c r="B1715" t="str">
        <f t="shared" si="52"/>
        <v>2023-12</v>
      </c>
      <c r="C1715" s="1">
        <v>45282</v>
      </c>
      <c r="D1715" s="5">
        <v>0.34583333333333333</v>
      </c>
      <c r="E1715">
        <v>4</v>
      </c>
      <c r="F1715" t="s">
        <v>14</v>
      </c>
      <c r="G1715">
        <v>64</v>
      </c>
      <c r="H1715" t="s">
        <v>13</v>
      </c>
      <c r="I1715">
        <v>1</v>
      </c>
      <c r="J1715" s="6">
        <v>500</v>
      </c>
      <c r="K1715">
        <v>140</v>
      </c>
      <c r="L1715">
        <v>500</v>
      </c>
      <c r="M1715" t="str">
        <f>IF(OR(I1715="",J1715="",L1715=""),"Incomplete","Complete")</f>
        <v>Complete</v>
      </c>
      <c r="N1715" t="str">
        <f>IF(M1715="Incomplete","Not checked",IF(ROUND(I1715*J1715,2)=ROUND(L1715,2),"Valid","Mismatch"))</f>
        <v>Valid</v>
      </c>
      <c r="O1715">
        <f t="shared" si="53"/>
        <v>360</v>
      </c>
    </row>
    <row r="1716" spans="1:15">
      <c r="A1716">
        <v>1408</v>
      </c>
      <c r="B1716" t="str">
        <f t="shared" si="52"/>
        <v>2023-08</v>
      </c>
      <c r="C1716" s="1">
        <v>45166</v>
      </c>
      <c r="D1716" s="5">
        <v>0.34513888888888888</v>
      </c>
      <c r="E1716">
        <v>2</v>
      </c>
      <c r="F1716" t="s">
        <v>14</v>
      </c>
      <c r="G1716">
        <v>64</v>
      </c>
      <c r="H1716" t="s">
        <v>13</v>
      </c>
      <c r="I1716">
        <v>1</v>
      </c>
      <c r="J1716" s="6">
        <v>500</v>
      </c>
      <c r="K1716">
        <v>250</v>
      </c>
      <c r="L1716">
        <v>500</v>
      </c>
      <c r="M1716" t="str">
        <f>IF(OR(I1716="",J1716="",L1716=""),"Incomplete","Complete")</f>
        <v>Complete</v>
      </c>
      <c r="N1716" t="str">
        <f>IF(M1716="Incomplete","Not checked",IF(ROUND(I1716*J1716,2)=ROUND(L1716,2),"Valid","Mismatch"))</f>
        <v>Valid</v>
      </c>
      <c r="O1716">
        <f t="shared" si="53"/>
        <v>250</v>
      </c>
    </row>
    <row r="1717" spans="1:15">
      <c r="A1717">
        <v>111</v>
      </c>
      <c r="B1717" t="str">
        <f t="shared" si="52"/>
        <v>2023-04</v>
      </c>
      <c r="C1717" s="1">
        <v>45031</v>
      </c>
      <c r="D1717" s="5">
        <v>0.40625</v>
      </c>
      <c r="E1717">
        <v>5</v>
      </c>
      <c r="F1717" t="s">
        <v>14</v>
      </c>
      <c r="G1717">
        <v>34</v>
      </c>
      <c r="H1717" t="s">
        <v>15</v>
      </c>
      <c r="I1717">
        <v>3</v>
      </c>
      <c r="J1717" s="6">
        <v>500</v>
      </c>
      <c r="K1717">
        <v>130</v>
      </c>
      <c r="L1717">
        <v>1500</v>
      </c>
      <c r="M1717" t="str">
        <f>IF(OR(I1717="",J1717="",L1717=""),"Incomplete","Complete")</f>
        <v>Complete</v>
      </c>
      <c r="N1717" t="str">
        <f>IF(M1717="Incomplete","Not checked",IF(ROUND(I1717*J1717,2)=ROUND(L1717,2),"Valid","Mismatch"))</f>
        <v>Valid</v>
      </c>
      <c r="O1717">
        <f t="shared" si="53"/>
        <v>1370</v>
      </c>
    </row>
    <row r="1718" spans="1:15">
      <c r="A1718">
        <v>1111</v>
      </c>
      <c r="B1718" t="str">
        <f t="shared" si="52"/>
        <v>2023-04</v>
      </c>
      <c r="C1718" s="1">
        <v>45046</v>
      </c>
      <c r="D1718" s="5">
        <v>0.89861111111111114</v>
      </c>
      <c r="E1718">
        <v>2</v>
      </c>
      <c r="F1718" t="s">
        <v>14</v>
      </c>
      <c r="G1718">
        <v>34</v>
      </c>
      <c r="H1718" t="s">
        <v>15</v>
      </c>
      <c r="I1718">
        <v>3</v>
      </c>
      <c r="J1718" s="6">
        <v>500</v>
      </c>
      <c r="K1718">
        <v>185</v>
      </c>
      <c r="L1718">
        <v>1500</v>
      </c>
      <c r="M1718" t="str">
        <f>IF(OR(I1718="",J1718="",L1718=""),"Incomplete","Complete")</f>
        <v>Complete</v>
      </c>
      <c r="N1718" t="str">
        <f>IF(M1718="Incomplete","Not checked",IF(ROUND(I1718*J1718,2)=ROUND(L1718,2),"Valid","Mismatch"))</f>
        <v>Valid</v>
      </c>
      <c r="O1718">
        <f t="shared" si="53"/>
        <v>1315</v>
      </c>
    </row>
    <row r="1719" spans="1:15">
      <c r="A1719">
        <v>572</v>
      </c>
      <c r="B1719" t="str">
        <f t="shared" si="52"/>
        <v>2023-12</v>
      </c>
      <c r="C1719" s="1">
        <v>45273</v>
      </c>
      <c r="D1719" s="5">
        <v>0.7729166666666667</v>
      </c>
      <c r="E1719">
        <v>5</v>
      </c>
      <c r="F1719" t="s">
        <v>11</v>
      </c>
      <c r="G1719">
        <v>31</v>
      </c>
      <c r="H1719" t="s">
        <v>12</v>
      </c>
      <c r="I1719">
        <v>4</v>
      </c>
      <c r="J1719" s="6">
        <v>500</v>
      </c>
      <c r="K1719">
        <v>185</v>
      </c>
      <c r="L1719">
        <v>2000</v>
      </c>
      <c r="M1719" t="str">
        <f>IF(OR(I1719="",J1719="",L1719=""),"Incomplete","Complete")</f>
        <v>Complete</v>
      </c>
      <c r="N1719" t="str">
        <f>IF(M1719="Incomplete","Not checked",IF(ROUND(I1719*J1719,2)=ROUND(L1719,2),"Valid","Mismatch"))</f>
        <v>Valid</v>
      </c>
      <c r="O1719">
        <f t="shared" si="53"/>
        <v>1815</v>
      </c>
    </row>
    <row r="1720" spans="1:15">
      <c r="A1720">
        <v>1572</v>
      </c>
      <c r="B1720" t="str">
        <f t="shared" si="52"/>
        <v>2023-06</v>
      </c>
      <c r="C1720" s="1">
        <v>45095</v>
      </c>
      <c r="D1720" s="5">
        <v>0.93055555555555558</v>
      </c>
      <c r="E1720">
        <v>1</v>
      </c>
      <c r="F1720" t="s">
        <v>11</v>
      </c>
      <c r="G1720">
        <v>31</v>
      </c>
      <c r="H1720" t="s">
        <v>12</v>
      </c>
      <c r="I1720">
        <v>4</v>
      </c>
      <c r="J1720" s="6">
        <v>500</v>
      </c>
      <c r="K1720">
        <v>175</v>
      </c>
      <c r="L1720">
        <v>2000</v>
      </c>
      <c r="M1720" t="str">
        <f>IF(OR(I1720="",J1720="",L1720=""),"Incomplete","Complete")</f>
        <v>Complete</v>
      </c>
      <c r="N1720" t="str">
        <f>IF(M1720="Incomplete","Not checked",IF(ROUND(I1720*J1720,2)=ROUND(L1720,2),"Valid","Mismatch"))</f>
        <v>Valid</v>
      </c>
      <c r="O1720">
        <f t="shared" si="53"/>
        <v>1825</v>
      </c>
    </row>
    <row r="1721" spans="1:15">
      <c r="A1721">
        <v>28</v>
      </c>
      <c r="B1721" t="str">
        <f t="shared" si="52"/>
        <v>2023-12</v>
      </c>
      <c r="C1721" s="1">
        <v>45271</v>
      </c>
      <c r="D1721" s="5">
        <v>0.94027777777777777</v>
      </c>
      <c r="E1721">
        <v>3</v>
      </c>
      <c r="F1721" t="s">
        <v>14</v>
      </c>
      <c r="G1721">
        <v>43</v>
      </c>
      <c r="H1721" t="s">
        <v>13</v>
      </c>
      <c r="I1721">
        <v>1</v>
      </c>
      <c r="J1721" s="6">
        <v>500</v>
      </c>
      <c r="K1721">
        <v>150</v>
      </c>
      <c r="L1721">
        <v>500</v>
      </c>
      <c r="M1721" t="str">
        <f>IF(OR(I1721="",J1721="",L1721=""),"Incomplete","Complete")</f>
        <v>Complete</v>
      </c>
      <c r="N1721" t="str">
        <f>IF(M1721="Incomplete","Not checked",IF(ROUND(I1721*J1721,2)=ROUND(L1721,2),"Valid","Mismatch"))</f>
        <v>Valid</v>
      </c>
      <c r="O1721">
        <f t="shared" si="53"/>
        <v>350</v>
      </c>
    </row>
    <row r="1722" spans="1:15">
      <c r="A1722">
        <v>693</v>
      </c>
      <c r="B1722" t="str">
        <f t="shared" si="52"/>
        <v>2023-06</v>
      </c>
      <c r="C1722" s="1">
        <v>45085</v>
      </c>
      <c r="D1722" s="5">
        <v>0.71666666666666667</v>
      </c>
      <c r="E1722">
        <v>1</v>
      </c>
      <c r="F1722" t="s">
        <v>11</v>
      </c>
      <c r="G1722">
        <v>41</v>
      </c>
      <c r="H1722" t="s">
        <v>13</v>
      </c>
      <c r="I1722">
        <v>3</v>
      </c>
      <c r="J1722" s="6">
        <v>500</v>
      </c>
      <c r="K1722">
        <v>270</v>
      </c>
      <c r="L1722">
        <v>1500</v>
      </c>
      <c r="M1722" t="str">
        <f>IF(OR(I1722="",J1722="",L1722=""),"Incomplete","Complete")</f>
        <v>Complete</v>
      </c>
      <c r="N1722" t="str">
        <f>IF(M1722="Incomplete","Not checked",IF(ROUND(I1722*J1722,2)=ROUND(L1722,2),"Valid","Mismatch"))</f>
        <v>Valid</v>
      </c>
      <c r="O1722">
        <f t="shared" si="53"/>
        <v>1230</v>
      </c>
    </row>
    <row r="1723" spans="1:15">
      <c r="A1723">
        <v>1028</v>
      </c>
      <c r="B1723" t="str">
        <f t="shared" si="52"/>
        <v>2023-03</v>
      </c>
      <c r="C1723" s="1">
        <v>44994</v>
      </c>
      <c r="D1723" s="5">
        <v>0.75624999999999998</v>
      </c>
      <c r="E1723">
        <v>1</v>
      </c>
      <c r="F1723" t="s">
        <v>14</v>
      </c>
      <c r="G1723">
        <v>43</v>
      </c>
      <c r="H1723" t="s">
        <v>13</v>
      </c>
      <c r="I1723">
        <v>1</v>
      </c>
      <c r="J1723" s="6">
        <v>500</v>
      </c>
      <c r="K1723">
        <v>250</v>
      </c>
      <c r="L1723">
        <v>500</v>
      </c>
      <c r="M1723" t="str">
        <f>IF(OR(I1723="",J1723="",L1723=""),"Incomplete","Complete")</f>
        <v>Complete</v>
      </c>
      <c r="N1723" t="str">
        <f>IF(M1723="Incomplete","Not checked",IF(ROUND(I1723*J1723,2)=ROUND(L1723,2),"Valid","Mismatch"))</f>
        <v>Valid</v>
      </c>
      <c r="O1723">
        <f t="shared" si="53"/>
        <v>250</v>
      </c>
    </row>
    <row r="1724" spans="1:15">
      <c r="A1724">
        <v>1693</v>
      </c>
      <c r="B1724" t="str">
        <f t="shared" si="52"/>
        <v>2023-02</v>
      </c>
      <c r="C1724" s="1">
        <v>44977</v>
      </c>
      <c r="D1724" s="5">
        <v>0.76458333333333328</v>
      </c>
      <c r="E1724">
        <v>1</v>
      </c>
      <c r="F1724" t="s">
        <v>11</v>
      </c>
      <c r="G1724">
        <v>41</v>
      </c>
      <c r="H1724" t="s">
        <v>13</v>
      </c>
      <c r="I1724">
        <v>3</v>
      </c>
      <c r="J1724" s="6">
        <v>500</v>
      </c>
      <c r="K1724">
        <v>130</v>
      </c>
      <c r="L1724">
        <v>1500</v>
      </c>
      <c r="M1724" t="str">
        <f>IF(OR(I1724="",J1724="",L1724=""),"Incomplete","Complete")</f>
        <v>Complete</v>
      </c>
      <c r="N1724" t="str">
        <f>IF(M1724="Incomplete","Not checked",IF(ROUND(I1724*J1724,2)=ROUND(L1724,2),"Valid","Mismatch"))</f>
        <v>Valid</v>
      </c>
      <c r="O1724">
        <f t="shared" si="53"/>
        <v>1370</v>
      </c>
    </row>
    <row r="1725" spans="1:15">
      <c r="A1725">
        <v>660</v>
      </c>
      <c r="B1725" t="str">
        <f t="shared" si="52"/>
        <v>2023-07</v>
      </c>
      <c r="C1725" s="1">
        <v>45136</v>
      </c>
      <c r="D1725" s="5">
        <v>0.78194444444444444</v>
      </c>
      <c r="E1725">
        <v>2</v>
      </c>
      <c r="F1725" t="s">
        <v>14</v>
      </c>
      <c r="G1725">
        <v>38</v>
      </c>
      <c r="H1725" t="s">
        <v>13</v>
      </c>
      <c r="I1725">
        <v>2</v>
      </c>
      <c r="J1725" s="6">
        <v>500</v>
      </c>
      <c r="K1725">
        <v>270</v>
      </c>
      <c r="L1725">
        <v>1000</v>
      </c>
      <c r="M1725" t="str">
        <f>IF(OR(I1725="",J1725="",L1725=""),"Incomplete","Complete")</f>
        <v>Complete</v>
      </c>
      <c r="N1725" t="str">
        <f>IF(M1725="Incomplete","Not checked",IF(ROUND(I1725*J1725,2)=ROUND(L1725,2),"Valid","Mismatch"))</f>
        <v>Valid</v>
      </c>
      <c r="O1725">
        <f t="shared" si="53"/>
        <v>730</v>
      </c>
    </row>
    <row r="1726" spans="1:15">
      <c r="A1726">
        <v>1660</v>
      </c>
      <c r="B1726" t="str">
        <f t="shared" si="52"/>
        <v>2023-09</v>
      </c>
      <c r="C1726" s="1">
        <v>45192</v>
      </c>
      <c r="D1726" s="5">
        <v>0.8520833333333333</v>
      </c>
      <c r="E1726">
        <v>2</v>
      </c>
      <c r="F1726" t="s">
        <v>14</v>
      </c>
      <c r="G1726">
        <v>38</v>
      </c>
      <c r="H1726" t="s">
        <v>13</v>
      </c>
      <c r="I1726">
        <v>2</v>
      </c>
      <c r="J1726" s="6">
        <v>500</v>
      </c>
      <c r="K1726">
        <v>160</v>
      </c>
      <c r="L1726">
        <v>1000</v>
      </c>
      <c r="M1726" t="str">
        <f>IF(OR(I1726="",J1726="",L1726=""),"Incomplete","Complete")</f>
        <v>Complete</v>
      </c>
      <c r="N1726" t="str">
        <f>IF(M1726="Incomplete","Not checked",IF(ROUND(I1726*J1726,2)=ROUND(L1726,2),"Valid","Mismatch"))</f>
        <v>Valid</v>
      </c>
      <c r="O1726">
        <f t="shared" si="53"/>
        <v>840</v>
      </c>
    </row>
    <row r="1727" spans="1:15">
      <c r="A1727">
        <v>337</v>
      </c>
      <c r="B1727" t="str">
        <f t="shared" si="52"/>
        <v>2023-08</v>
      </c>
      <c r="C1727" s="1">
        <v>45160</v>
      </c>
      <c r="D1727" s="5">
        <v>0.74722222222222223</v>
      </c>
      <c r="E1727">
        <v>1</v>
      </c>
      <c r="F1727" t="s">
        <v>11</v>
      </c>
      <c r="G1727">
        <v>38</v>
      </c>
      <c r="H1727" t="s">
        <v>12</v>
      </c>
      <c r="I1727">
        <v>1</v>
      </c>
      <c r="J1727" s="6">
        <v>500</v>
      </c>
      <c r="K1727">
        <v>275</v>
      </c>
      <c r="L1727">
        <v>500</v>
      </c>
      <c r="M1727" t="str">
        <f>IF(OR(I1727="",J1727="",L1727=""),"Incomplete","Complete")</f>
        <v>Complete</v>
      </c>
      <c r="N1727" t="str">
        <f>IF(M1727="Incomplete","Not checked",IF(ROUND(I1727*J1727,2)=ROUND(L1727,2),"Valid","Mismatch"))</f>
        <v>Valid</v>
      </c>
      <c r="O1727">
        <f t="shared" si="53"/>
        <v>225</v>
      </c>
    </row>
    <row r="1728" spans="1:15">
      <c r="A1728">
        <v>1337</v>
      </c>
      <c r="B1728" t="str">
        <f t="shared" si="52"/>
        <v>2023-07</v>
      </c>
      <c r="C1728" s="1">
        <v>45128</v>
      </c>
      <c r="D1728" s="5">
        <v>0.8305555555555556</v>
      </c>
      <c r="E1728">
        <v>2</v>
      </c>
      <c r="F1728" t="s">
        <v>11</v>
      </c>
      <c r="G1728">
        <v>38</v>
      </c>
      <c r="H1728" t="s">
        <v>12</v>
      </c>
      <c r="I1728">
        <v>1</v>
      </c>
      <c r="J1728" s="6">
        <v>500</v>
      </c>
      <c r="K1728">
        <v>225</v>
      </c>
      <c r="L1728">
        <v>500</v>
      </c>
      <c r="M1728" t="str">
        <f>IF(OR(I1728="",J1728="",L1728=""),"Incomplete","Complete")</f>
        <v>Complete</v>
      </c>
      <c r="N1728" t="str">
        <f>IF(M1728="Incomplete","Not checked",IF(ROUND(I1728*J1728,2)=ROUND(L1728,2),"Valid","Mismatch"))</f>
        <v>Valid</v>
      </c>
      <c r="O1728">
        <f t="shared" si="53"/>
        <v>275</v>
      </c>
    </row>
    <row r="1729" spans="1:15">
      <c r="A1729">
        <v>853</v>
      </c>
      <c r="B1729" t="str">
        <f t="shared" si="52"/>
        <v>2023-05</v>
      </c>
      <c r="C1729" s="1">
        <v>45060</v>
      </c>
      <c r="D1729" s="5">
        <v>0.93680555555555556</v>
      </c>
      <c r="E1729">
        <v>3</v>
      </c>
      <c r="F1729" t="s">
        <v>11</v>
      </c>
      <c r="G1729">
        <v>21</v>
      </c>
      <c r="H1729" t="s">
        <v>13</v>
      </c>
      <c r="I1729">
        <v>2</v>
      </c>
      <c r="J1729" s="6">
        <v>500</v>
      </c>
      <c r="K1729">
        <v>155</v>
      </c>
      <c r="L1729">
        <v>1000</v>
      </c>
      <c r="M1729" t="str">
        <f>IF(OR(I1729="",J1729="",L1729=""),"Incomplete","Complete")</f>
        <v>Complete</v>
      </c>
      <c r="N1729" t="str">
        <f>IF(M1729="Incomplete","Not checked",IF(ROUND(I1729*J1729,2)=ROUND(L1729,2),"Valid","Mismatch"))</f>
        <v>Valid</v>
      </c>
      <c r="O1729">
        <f t="shared" si="53"/>
        <v>845</v>
      </c>
    </row>
    <row r="1730" spans="1:15">
      <c r="A1730">
        <v>1853</v>
      </c>
      <c r="B1730" t="str">
        <f t="shared" ref="B1730:B1793" si="54">TEXT(C1730,"yyyy-mm")</f>
        <v>2023-05</v>
      </c>
      <c r="C1730" s="1">
        <v>45075</v>
      </c>
      <c r="D1730" s="5">
        <v>0.77708333333333335</v>
      </c>
      <c r="E1730">
        <v>2</v>
      </c>
      <c r="F1730" t="s">
        <v>11</v>
      </c>
      <c r="G1730">
        <v>21</v>
      </c>
      <c r="H1730" t="s">
        <v>13</v>
      </c>
      <c r="I1730">
        <v>2</v>
      </c>
      <c r="J1730" s="6">
        <v>500</v>
      </c>
      <c r="K1730">
        <v>190</v>
      </c>
      <c r="L1730">
        <v>1000</v>
      </c>
      <c r="M1730" t="str">
        <f>IF(OR(I1730="",J1730="",L1730=""),"Incomplete","Complete")</f>
        <v>Complete</v>
      </c>
      <c r="N1730" t="str">
        <f>IF(M1730="Incomplete","Not checked",IF(ROUND(I1730*J1730,2)=ROUND(L1730,2),"Valid","Mismatch"))</f>
        <v>Valid</v>
      </c>
      <c r="O1730">
        <f t="shared" ref="O1730:O1793" si="55">IF(M1730="Incomplete","",L1730-K1730)</f>
        <v>810</v>
      </c>
    </row>
    <row r="1731" spans="1:15">
      <c r="A1731">
        <v>779</v>
      </c>
      <c r="B1731" t="str">
        <f t="shared" si="54"/>
        <v>2023-05</v>
      </c>
      <c r="C1731" s="1">
        <v>45061</v>
      </c>
      <c r="D1731" s="5">
        <v>0.80486111111111114</v>
      </c>
      <c r="E1731">
        <v>3</v>
      </c>
      <c r="F1731" t="s">
        <v>14</v>
      </c>
      <c r="G1731">
        <v>56</v>
      </c>
      <c r="H1731" t="s">
        <v>15</v>
      </c>
      <c r="I1731">
        <v>2</v>
      </c>
      <c r="J1731" s="6">
        <v>500</v>
      </c>
      <c r="K1731">
        <v>155</v>
      </c>
      <c r="L1731">
        <v>1000</v>
      </c>
      <c r="M1731" t="str">
        <f>IF(OR(I1731="",J1731="",L1731=""),"Incomplete","Complete")</f>
        <v>Complete</v>
      </c>
      <c r="N1731" t="str">
        <f>IF(M1731="Incomplete","Not checked",IF(ROUND(I1731*J1731,2)=ROUND(L1731,2),"Valid","Mismatch"))</f>
        <v>Valid</v>
      </c>
      <c r="O1731">
        <f t="shared" si="55"/>
        <v>845</v>
      </c>
    </row>
    <row r="1732" spans="1:15">
      <c r="A1732">
        <v>1779</v>
      </c>
      <c r="B1732" t="str">
        <f t="shared" si="54"/>
        <v>2023-01</v>
      </c>
      <c r="C1732" s="1">
        <v>44928</v>
      </c>
      <c r="D1732" s="5">
        <v>0.82291666666666663</v>
      </c>
      <c r="E1732">
        <v>3</v>
      </c>
      <c r="F1732" t="s">
        <v>14</v>
      </c>
      <c r="G1732">
        <v>56</v>
      </c>
      <c r="H1732" t="s">
        <v>15</v>
      </c>
      <c r="I1732">
        <v>2</v>
      </c>
      <c r="J1732" s="6">
        <v>500</v>
      </c>
      <c r="K1732">
        <v>190</v>
      </c>
      <c r="L1732">
        <v>1000</v>
      </c>
      <c r="M1732" t="str">
        <f>IF(OR(I1732="",J1732="",L1732=""),"Incomplete","Complete")</f>
        <v>Complete</v>
      </c>
      <c r="N1732" t="str">
        <f>IF(M1732="Incomplete","Not checked",IF(ROUND(I1732*J1732,2)=ROUND(L1732,2),"Valid","Mismatch"))</f>
        <v>Valid</v>
      </c>
      <c r="O1732">
        <f t="shared" si="55"/>
        <v>810</v>
      </c>
    </row>
    <row r="1733" spans="1:15">
      <c r="A1733">
        <v>283</v>
      </c>
      <c r="B1733" t="str">
        <f t="shared" si="54"/>
        <v>2023-06</v>
      </c>
      <c r="C1733" s="1">
        <v>45078</v>
      </c>
      <c r="D1733" s="5">
        <v>0.83888888888888891</v>
      </c>
      <c r="E1733">
        <v>3</v>
      </c>
      <c r="F1733" t="s">
        <v>14</v>
      </c>
      <c r="G1733">
        <v>18</v>
      </c>
      <c r="H1733" t="s">
        <v>15</v>
      </c>
      <c r="I1733">
        <v>1</v>
      </c>
      <c r="J1733" s="6">
        <v>500</v>
      </c>
      <c r="K1733">
        <v>165</v>
      </c>
      <c r="L1733">
        <v>500</v>
      </c>
      <c r="M1733" t="str">
        <f>IF(OR(I1733="",J1733="",L1733=""),"Incomplete","Complete")</f>
        <v>Complete</v>
      </c>
      <c r="N1733" t="str">
        <f>IF(M1733="Incomplete","Not checked",IF(ROUND(I1733*J1733,2)=ROUND(L1733,2),"Valid","Mismatch"))</f>
        <v>Valid</v>
      </c>
      <c r="O1733">
        <f t="shared" si="55"/>
        <v>335</v>
      </c>
    </row>
    <row r="1734" spans="1:15">
      <c r="A1734">
        <v>452</v>
      </c>
      <c r="B1734" t="str">
        <f t="shared" si="54"/>
        <v>2023-01</v>
      </c>
      <c r="C1734" s="1">
        <v>44956</v>
      </c>
      <c r="D1734" s="5">
        <v>0.94513888888888886</v>
      </c>
      <c r="E1734">
        <v>4</v>
      </c>
      <c r="F1734" t="s">
        <v>14</v>
      </c>
      <c r="G1734">
        <v>48</v>
      </c>
      <c r="H1734" t="s">
        <v>12</v>
      </c>
      <c r="I1734">
        <v>3</v>
      </c>
      <c r="J1734" s="6">
        <v>500</v>
      </c>
      <c r="K1734">
        <v>240</v>
      </c>
      <c r="L1734">
        <v>1500</v>
      </c>
      <c r="M1734" t="str">
        <f>IF(OR(I1734="",J1734="",L1734=""),"Incomplete","Complete")</f>
        <v>Complete</v>
      </c>
      <c r="N1734" t="str">
        <f>IF(M1734="Incomplete","Not checked",IF(ROUND(I1734*J1734,2)=ROUND(L1734,2),"Valid","Mismatch"))</f>
        <v>Valid</v>
      </c>
      <c r="O1734">
        <f t="shared" si="55"/>
        <v>1260</v>
      </c>
    </row>
    <row r="1735" spans="1:15">
      <c r="A1735">
        <v>946</v>
      </c>
      <c r="B1735" t="str">
        <f t="shared" si="54"/>
        <v>2023-08</v>
      </c>
      <c r="C1735" s="1">
        <v>45146</v>
      </c>
      <c r="D1735" s="5">
        <v>0.84375</v>
      </c>
      <c r="E1735">
        <v>2</v>
      </c>
      <c r="F1735" t="s">
        <v>11</v>
      </c>
      <c r="G1735">
        <v>62</v>
      </c>
      <c r="H1735" t="s">
        <v>15</v>
      </c>
      <c r="I1735">
        <v>4</v>
      </c>
      <c r="J1735" s="6">
        <v>500</v>
      </c>
      <c r="K1735">
        <v>235</v>
      </c>
      <c r="L1735">
        <v>2000</v>
      </c>
      <c r="M1735" t="str">
        <f>IF(OR(I1735="",J1735="",L1735=""),"Incomplete","Complete")</f>
        <v>Complete</v>
      </c>
      <c r="N1735" t="str">
        <f>IF(M1735="Incomplete","Not checked",IF(ROUND(I1735*J1735,2)=ROUND(L1735,2),"Valid","Mismatch"))</f>
        <v>Valid</v>
      </c>
      <c r="O1735">
        <f t="shared" si="55"/>
        <v>1765</v>
      </c>
    </row>
    <row r="1736" spans="1:15">
      <c r="A1736">
        <v>1283</v>
      </c>
      <c r="B1736" t="str">
        <f t="shared" si="54"/>
        <v>2023-10</v>
      </c>
      <c r="C1736" s="1">
        <v>45213</v>
      </c>
      <c r="D1736" s="5">
        <v>0.84375</v>
      </c>
      <c r="E1736">
        <v>1</v>
      </c>
      <c r="F1736" t="s">
        <v>14</v>
      </c>
      <c r="G1736">
        <v>18</v>
      </c>
      <c r="H1736" t="s">
        <v>15</v>
      </c>
      <c r="I1736">
        <v>1</v>
      </c>
      <c r="J1736" s="6">
        <v>500</v>
      </c>
      <c r="K1736">
        <v>130</v>
      </c>
      <c r="L1736">
        <v>500</v>
      </c>
      <c r="M1736" t="str">
        <f>IF(OR(I1736="",J1736="",L1736=""),"Incomplete","Complete")</f>
        <v>Complete</v>
      </c>
      <c r="N1736" t="str">
        <f>IF(M1736="Incomplete","Not checked",IF(ROUND(I1736*J1736,2)=ROUND(L1736,2),"Valid","Mismatch"))</f>
        <v>Valid</v>
      </c>
      <c r="O1736">
        <f t="shared" si="55"/>
        <v>370</v>
      </c>
    </row>
    <row r="1737" spans="1:15">
      <c r="A1737">
        <v>1452</v>
      </c>
      <c r="B1737" t="str">
        <f t="shared" si="54"/>
        <v>2023-08</v>
      </c>
      <c r="C1737" s="1">
        <v>45144</v>
      </c>
      <c r="D1737" s="5">
        <v>0.7368055555555556</v>
      </c>
      <c r="E1737">
        <v>3</v>
      </c>
      <c r="F1737" t="s">
        <v>14</v>
      </c>
      <c r="G1737">
        <v>48</v>
      </c>
      <c r="H1737" t="s">
        <v>12</v>
      </c>
      <c r="I1737">
        <v>3</v>
      </c>
      <c r="J1737" s="6">
        <v>500</v>
      </c>
      <c r="K1737">
        <v>185</v>
      </c>
      <c r="L1737">
        <v>1500</v>
      </c>
      <c r="M1737" t="str">
        <f>IF(OR(I1737="",J1737="",L1737=""),"Incomplete","Complete")</f>
        <v>Complete</v>
      </c>
      <c r="N1737" t="str">
        <f>IF(M1737="Incomplete","Not checked",IF(ROUND(I1737*J1737,2)=ROUND(L1737,2),"Valid","Mismatch"))</f>
        <v>Valid</v>
      </c>
      <c r="O1737">
        <f t="shared" si="55"/>
        <v>1315</v>
      </c>
    </row>
    <row r="1738" spans="1:15">
      <c r="A1738">
        <v>1946</v>
      </c>
      <c r="B1738" t="str">
        <f t="shared" si="54"/>
        <v>2023-07</v>
      </c>
      <c r="C1738" s="1">
        <v>45134</v>
      </c>
      <c r="D1738" s="5">
        <v>0.8666666666666667</v>
      </c>
      <c r="E1738">
        <v>5</v>
      </c>
      <c r="F1738" t="s">
        <v>11</v>
      </c>
      <c r="G1738">
        <v>62</v>
      </c>
      <c r="H1738" t="s">
        <v>15</v>
      </c>
      <c r="I1738">
        <v>4</v>
      </c>
      <c r="J1738" s="6">
        <v>500</v>
      </c>
      <c r="K1738">
        <v>165</v>
      </c>
      <c r="L1738">
        <v>2000</v>
      </c>
      <c r="M1738" t="str">
        <f>IF(OR(I1738="",J1738="",L1738=""),"Incomplete","Complete")</f>
        <v>Complete</v>
      </c>
      <c r="N1738" t="str">
        <f>IF(M1738="Incomplete","Not checked",IF(ROUND(I1738*J1738,2)=ROUND(L1738,2),"Valid","Mismatch"))</f>
        <v>Valid</v>
      </c>
      <c r="O1738">
        <f t="shared" si="55"/>
        <v>1835</v>
      </c>
    </row>
    <row r="1739" spans="1:15">
      <c r="A1739">
        <v>883</v>
      </c>
      <c r="B1739" t="str">
        <f t="shared" si="54"/>
        <v>2023-08</v>
      </c>
      <c r="C1739" s="1">
        <v>45158</v>
      </c>
      <c r="D1739" s="5">
        <v>0.86319444444444449</v>
      </c>
      <c r="E1739">
        <v>5</v>
      </c>
      <c r="F1739" t="s">
        <v>11</v>
      </c>
      <c r="G1739">
        <v>40</v>
      </c>
      <c r="H1739" t="s">
        <v>15</v>
      </c>
      <c r="I1739">
        <v>1</v>
      </c>
      <c r="J1739" s="6">
        <v>500</v>
      </c>
      <c r="K1739">
        <v>245</v>
      </c>
      <c r="L1739">
        <v>500</v>
      </c>
      <c r="M1739" t="str">
        <f>IF(OR(I1739="",J1739="",L1739=""),"Incomplete","Complete")</f>
        <v>Complete</v>
      </c>
      <c r="N1739" t="str">
        <f>IF(M1739="Incomplete","Not checked",IF(ROUND(I1739*J1739,2)=ROUND(L1739,2),"Valid","Mismatch"))</f>
        <v>Valid</v>
      </c>
      <c r="O1739">
        <f t="shared" si="55"/>
        <v>255</v>
      </c>
    </row>
    <row r="1740" spans="1:15">
      <c r="A1740">
        <v>1883</v>
      </c>
      <c r="B1740" t="str">
        <f t="shared" si="54"/>
        <v>2023-09</v>
      </c>
      <c r="C1740" s="1">
        <v>45189</v>
      </c>
      <c r="D1740" s="5">
        <v>0.74583333333333335</v>
      </c>
      <c r="E1740">
        <v>3</v>
      </c>
      <c r="F1740" t="s">
        <v>11</v>
      </c>
      <c r="G1740">
        <v>40</v>
      </c>
      <c r="H1740" t="s">
        <v>15</v>
      </c>
      <c r="I1740">
        <v>1</v>
      </c>
      <c r="J1740" s="6">
        <v>500</v>
      </c>
      <c r="K1740">
        <v>200</v>
      </c>
      <c r="L1740">
        <v>500</v>
      </c>
      <c r="M1740" t="str">
        <f>IF(OR(I1740="",J1740="",L1740=""),"Incomplete","Complete")</f>
        <v>Complete</v>
      </c>
      <c r="N1740" t="str">
        <f>IF(M1740="Incomplete","Not checked",IF(ROUND(I1740*J1740,2)=ROUND(L1740,2),"Valid","Mismatch"))</f>
        <v>Valid</v>
      </c>
      <c r="O1740">
        <f t="shared" si="55"/>
        <v>300</v>
      </c>
    </row>
    <row r="1741" spans="1:15">
      <c r="A1741">
        <v>731</v>
      </c>
      <c r="B1741" t="str">
        <f t="shared" si="54"/>
        <v>2023-09</v>
      </c>
      <c r="C1741" s="1">
        <v>45199</v>
      </c>
      <c r="D1741" s="5">
        <v>0.78402777777777777</v>
      </c>
      <c r="E1741">
        <v>1</v>
      </c>
      <c r="F1741" t="s">
        <v>11</v>
      </c>
      <c r="G1741">
        <v>54</v>
      </c>
      <c r="H1741" t="s">
        <v>12</v>
      </c>
      <c r="I1741">
        <v>4</v>
      </c>
      <c r="J1741" s="6">
        <v>500</v>
      </c>
      <c r="K1741">
        <v>165</v>
      </c>
      <c r="L1741">
        <v>2000</v>
      </c>
      <c r="M1741" t="str">
        <f>IF(OR(I1741="",J1741="",L1741=""),"Incomplete","Complete")</f>
        <v>Complete</v>
      </c>
      <c r="N1741" t="str">
        <f>IF(M1741="Incomplete","Not checked",IF(ROUND(I1741*J1741,2)=ROUND(L1741,2),"Valid","Mismatch"))</f>
        <v>Valid</v>
      </c>
      <c r="O1741">
        <f t="shared" si="55"/>
        <v>1835</v>
      </c>
    </row>
    <row r="1742" spans="1:15">
      <c r="A1742">
        <v>1731</v>
      </c>
      <c r="B1742" t="str">
        <f t="shared" si="54"/>
        <v>2023-12</v>
      </c>
      <c r="C1742" s="1">
        <v>45279</v>
      </c>
      <c r="D1742" s="5">
        <v>0.7368055555555556</v>
      </c>
      <c r="E1742">
        <v>3</v>
      </c>
      <c r="F1742" t="s">
        <v>11</v>
      </c>
      <c r="G1742">
        <v>54</v>
      </c>
      <c r="H1742" t="s">
        <v>12</v>
      </c>
      <c r="I1742">
        <v>4</v>
      </c>
      <c r="J1742" s="6">
        <v>500</v>
      </c>
      <c r="K1742">
        <v>195</v>
      </c>
      <c r="L1742">
        <v>2000</v>
      </c>
      <c r="M1742" t="str">
        <f>IF(OR(I1742="",J1742="",L1742=""),"Incomplete","Complete")</f>
        <v>Complete</v>
      </c>
      <c r="N1742" t="str">
        <f>IF(M1742="Incomplete","Not checked",IF(ROUND(I1742*J1742,2)=ROUND(L1742,2),"Valid","Mismatch"))</f>
        <v>Valid</v>
      </c>
      <c r="O1742">
        <f t="shared" si="55"/>
        <v>1805</v>
      </c>
    </row>
    <row r="1743" spans="1:15">
      <c r="A1743">
        <v>353</v>
      </c>
      <c r="B1743" t="str">
        <f t="shared" si="54"/>
        <v>2023-03</v>
      </c>
      <c r="C1743" s="1">
        <v>45003</v>
      </c>
      <c r="D1743" s="5">
        <v>0.89930555555555558</v>
      </c>
      <c r="E1743">
        <v>5</v>
      </c>
      <c r="F1743" t="s">
        <v>11</v>
      </c>
      <c r="G1743">
        <v>31</v>
      </c>
      <c r="H1743" t="s">
        <v>15</v>
      </c>
      <c r="I1743">
        <v>1</v>
      </c>
      <c r="J1743" s="6">
        <v>500</v>
      </c>
      <c r="K1743">
        <v>270</v>
      </c>
      <c r="L1743">
        <v>500</v>
      </c>
      <c r="M1743" t="str">
        <f>IF(OR(I1743="",J1743="",L1743=""),"Incomplete","Complete")</f>
        <v>Complete</v>
      </c>
      <c r="N1743" t="str">
        <f>IF(M1743="Incomplete","Not checked",IF(ROUND(I1743*J1743,2)=ROUND(L1743,2),"Valid","Mismatch"))</f>
        <v>Valid</v>
      </c>
      <c r="O1743">
        <f t="shared" si="55"/>
        <v>230</v>
      </c>
    </row>
    <row r="1744" spans="1:15">
      <c r="A1744">
        <v>721</v>
      </c>
      <c r="B1744" t="str">
        <f t="shared" si="54"/>
        <v>2023-06</v>
      </c>
      <c r="C1744" s="1">
        <v>45100</v>
      </c>
      <c r="D1744" s="5">
        <v>0.71527777777777779</v>
      </c>
      <c r="E1744">
        <v>5</v>
      </c>
      <c r="F1744" t="s">
        <v>14</v>
      </c>
      <c r="G1744">
        <v>52</v>
      </c>
      <c r="H1744" t="s">
        <v>12</v>
      </c>
      <c r="I1744">
        <v>1</v>
      </c>
      <c r="J1744" s="6">
        <v>500</v>
      </c>
      <c r="K1744">
        <v>145</v>
      </c>
      <c r="L1744">
        <v>500</v>
      </c>
      <c r="M1744" t="str">
        <f>IF(OR(I1744="",J1744="",L1744=""),"Incomplete","Complete")</f>
        <v>Complete</v>
      </c>
      <c r="N1744" t="str">
        <f>IF(M1744="Incomplete","Not checked",IF(ROUND(I1744*J1744,2)=ROUND(L1744,2),"Valid","Mismatch"))</f>
        <v>Valid</v>
      </c>
      <c r="O1744">
        <f t="shared" si="55"/>
        <v>355</v>
      </c>
    </row>
    <row r="1745" spans="1:15">
      <c r="A1745">
        <v>1353</v>
      </c>
      <c r="B1745" t="str">
        <f t="shared" si="54"/>
        <v>2023-09</v>
      </c>
      <c r="C1745" s="1">
        <v>45173</v>
      </c>
      <c r="D1745" s="5">
        <v>0.91597222222222219</v>
      </c>
      <c r="E1745">
        <v>3</v>
      </c>
      <c r="F1745" t="s">
        <v>11</v>
      </c>
      <c r="G1745">
        <v>31</v>
      </c>
      <c r="H1745" t="s">
        <v>15</v>
      </c>
      <c r="I1745">
        <v>1</v>
      </c>
      <c r="J1745" s="6">
        <v>500</v>
      </c>
      <c r="K1745">
        <v>235</v>
      </c>
      <c r="L1745">
        <v>500</v>
      </c>
      <c r="M1745" t="str">
        <f>IF(OR(I1745="",J1745="",L1745=""),"Incomplete","Complete")</f>
        <v>Complete</v>
      </c>
      <c r="N1745" t="str">
        <f>IF(M1745="Incomplete","Not checked",IF(ROUND(I1745*J1745,2)=ROUND(L1745,2),"Valid","Mismatch"))</f>
        <v>Valid</v>
      </c>
      <c r="O1745">
        <f t="shared" si="55"/>
        <v>265</v>
      </c>
    </row>
    <row r="1746" spans="1:15">
      <c r="A1746">
        <v>1721</v>
      </c>
      <c r="B1746" t="str">
        <f t="shared" si="54"/>
        <v>2023-01</v>
      </c>
      <c r="C1746" s="1">
        <v>44947</v>
      </c>
      <c r="D1746" s="5">
        <v>0.9458333333333333</v>
      </c>
      <c r="E1746">
        <v>3</v>
      </c>
      <c r="F1746" t="s">
        <v>14</v>
      </c>
      <c r="G1746">
        <v>52</v>
      </c>
      <c r="H1746" t="s">
        <v>12</v>
      </c>
      <c r="I1746">
        <v>1</v>
      </c>
      <c r="J1746" s="6">
        <v>500</v>
      </c>
      <c r="K1746">
        <v>215</v>
      </c>
      <c r="L1746">
        <v>500</v>
      </c>
      <c r="M1746" t="str">
        <f>IF(OR(I1746="",J1746="",L1746=""),"Incomplete","Complete")</f>
        <v>Complete</v>
      </c>
      <c r="N1746" t="str">
        <f>IF(M1746="Incomplete","Not checked",IF(ROUND(I1746*J1746,2)=ROUND(L1746,2),"Valid","Mismatch"))</f>
        <v>Valid</v>
      </c>
      <c r="O1746">
        <f t="shared" si="55"/>
        <v>285</v>
      </c>
    </row>
    <row r="1747" spans="1:15">
      <c r="A1747">
        <v>164</v>
      </c>
      <c r="B1747" t="str">
        <f t="shared" si="54"/>
        <v>2023-02</v>
      </c>
      <c r="C1747" s="1">
        <v>44985</v>
      </c>
      <c r="D1747" s="5">
        <v>0.7680555555555556</v>
      </c>
      <c r="E1747">
        <v>3</v>
      </c>
      <c r="F1747" t="s">
        <v>14</v>
      </c>
      <c r="G1747">
        <v>47</v>
      </c>
      <c r="H1747" t="s">
        <v>13</v>
      </c>
      <c r="I1747">
        <v>3</v>
      </c>
      <c r="J1747" s="6">
        <v>500</v>
      </c>
      <c r="K1747">
        <v>185</v>
      </c>
      <c r="L1747">
        <v>1500</v>
      </c>
      <c r="M1747" t="str">
        <f>IF(OR(I1747="",J1747="",L1747=""),"Incomplete","Complete")</f>
        <v>Complete</v>
      </c>
      <c r="N1747" t="str">
        <f>IF(M1747="Incomplete","Not checked",IF(ROUND(I1747*J1747,2)=ROUND(L1747,2),"Valid","Mismatch"))</f>
        <v>Valid</v>
      </c>
      <c r="O1747">
        <f t="shared" si="55"/>
        <v>1315</v>
      </c>
    </row>
    <row r="1748" spans="1:15">
      <c r="A1748">
        <v>1164</v>
      </c>
      <c r="B1748" t="str">
        <f t="shared" si="54"/>
        <v>2023-04</v>
      </c>
      <c r="C1748" s="1">
        <v>45023</v>
      </c>
      <c r="D1748" s="5">
        <v>0.87013888888888891</v>
      </c>
      <c r="E1748">
        <v>1</v>
      </c>
      <c r="F1748" t="s">
        <v>14</v>
      </c>
      <c r="G1748">
        <v>47</v>
      </c>
      <c r="H1748" t="s">
        <v>13</v>
      </c>
      <c r="I1748">
        <v>3</v>
      </c>
      <c r="J1748" s="6">
        <v>500</v>
      </c>
      <c r="K1748">
        <v>245</v>
      </c>
      <c r="L1748">
        <v>1500</v>
      </c>
      <c r="M1748" t="str">
        <f>IF(OR(I1748="",J1748="",L1748=""),"Incomplete","Complete")</f>
        <v>Complete</v>
      </c>
      <c r="N1748" t="str">
        <f>IF(M1748="Incomplete","Not checked",IF(ROUND(I1748*J1748,2)=ROUND(L1748,2),"Valid","Mismatch"))</f>
        <v>Valid</v>
      </c>
      <c r="O1748">
        <f t="shared" si="55"/>
        <v>1255</v>
      </c>
    </row>
    <row r="1749" spans="1:15">
      <c r="A1749">
        <v>118</v>
      </c>
      <c r="B1749" t="str">
        <f t="shared" si="54"/>
        <v>2023-03</v>
      </c>
      <c r="C1749" s="1">
        <v>44998</v>
      </c>
      <c r="D1749" s="5">
        <v>0.83819444444444446</v>
      </c>
      <c r="E1749">
        <v>3</v>
      </c>
      <c r="F1749" t="s">
        <v>14</v>
      </c>
      <c r="G1749">
        <v>30</v>
      </c>
      <c r="H1749" t="s">
        <v>15</v>
      </c>
      <c r="I1749">
        <v>4</v>
      </c>
      <c r="J1749" s="6">
        <v>500</v>
      </c>
      <c r="K1749">
        <v>270</v>
      </c>
      <c r="L1749">
        <v>2000</v>
      </c>
      <c r="M1749" t="str">
        <f>IF(OR(I1749="",J1749="",L1749=""),"Incomplete","Complete")</f>
        <v>Complete</v>
      </c>
      <c r="N1749" t="str">
        <f>IF(M1749="Incomplete","Not checked",IF(ROUND(I1749*J1749,2)=ROUND(L1749,2),"Valid","Mismatch"))</f>
        <v>Valid</v>
      </c>
      <c r="O1749">
        <f t="shared" si="55"/>
        <v>1730</v>
      </c>
    </row>
    <row r="1750" spans="1:15">
      <c r="A1750">
        <v>203</v>
      </c>
      <c r="B1750" t="str">
        <f t="shared" si="54"/>
        <v>2023-03</v>
      </c>
      <c r="C1750" s="1">
        <v>44997</v>
      </c>
      <c r="D1750" s="5">
        <v>0.8979166666666667</v>
      </c>
      <c r="E1750">
        <v>4</v>
      </c>
      <c r="F1750" t="s">
        <v>11</v>
      </c>
      <c r="G1750">
        <v>56</v>
      </c>
      <c r="H1750" t="s">
        <v>12</v>
      </c>
      <c r="I1750">
        <v>2</v>
      </c>
      <c r="J1750" s="6">
        <v>500</v>
      </c>
      <c r="K1750">
        <v>175</v>
      </c>
      <c r="L1750">
        <v>1000</v>
      </c>
      <c r="M1750" t="str">
        <f>IF(OR(I1750="",J1750="",L1750=""),"Incomplete","Complete")</f>
        <v>Complete</v>
      </c>
      <c r="N1750" t="str">
        <f>IF(M1750="Incomplete","Not checked",IF(ROUND(I1750*J1750,2)=ROUND(L1750,2),"Valid","Mismatch"))</f>
        <v>Valid</v>
      </c>
      <c r="O1750">
        <f t="shared" si="55"/>
        <v>825</v>
      </c>
    </row>
    <row r="1751" spans="1:15">
      <c r="A1751">
        <v>970</v>
      </c>
      <c r="B1751" t="str">
        <f t="shared" si="54"/>
        <v>2023-05</v>
      </c>
      <c r="C1751" s="1">
        <v>45071</v>
      </c>
      <c r="D1751" s="5">
        <v>0.75902777777777775</v>
      </c>
      <c r="E1751">
        <v>2</v>
      </c>
      <c r="F1751" t="s">
        <v>11</v>
      </c>
      <c r="G1751">
        <v>59</v>
      </c>
      <c r="H1751" t="s">
        <v>15</v>
      </c>
      <c r="I1751">
        <v>4</v>
      </c>
      <c r="J1751" s="6">
        <v>500</v>
      </c>
      <c r="K1751">
        <v>220</v>
      </c>
      <c r="L1751">
        <v>2000</v>
      </c>
      <c r="M1751" t="str">
        <f>IF(OR(I1751="",J1751="",L1751=""),"Incomplete","Complete")</f>
        <v>Complete</v>
      </c>
      <c r="N1751" t="str">
        <f>IF(M1751="Incomplete","Not checked",IF(ROUND(I1751*J1751,2)=ROUND(L1751,2),"Valid","Mismatch"))</f>
        <v>Valid</v>
      </c>
      <c r="O1751">
        <f t="shared" si="55"/>
        <v>1780</v>
      </c>
    </row>
    <row r="1752" spans="1:15">
      <c r="A1752">
        <v>1118</v>
      </c>
      <c r="B1752" t="str">
        <f t="shared" si="54"/>
        <v>2023-10</v>
      </c>
      <c r="C1752" s="1">
        <v>45212</v>
      </c>
      <c r="D1752" s="5">
        <v>0.72499999999999998</v>
      </c>
      <c r="E1752">
        <v>1</v>
      </c>
      <c r="F1752" t="s">
        <v>14</v>
      </c>
      <c r="G1752">
        <v>30</v>
      </c>
      <c r="H1752" t="s">
        <v>15</v>
      </c>
      <c r="I1752">
        <v>4</v>
      </c>
      <c r="J1752" s="6">
        <v>500</v>
      </c>
      <c r="K1752">
        <v>170</v>
      </c>
      <c r="L1752">
        <v>2000</v>
      </c>
      <c r="M1752" t="str">
        <f>IF(OR(I1752="",J1752="",L1752=""),"Incomplete","Complete")</f>
        <v>Complete</v>
      </c>
      <c r="N1752" t="str">
        <f>IF(M1752="Incomplete","Not checked",IF(ROUND(I1752*J1752,2)=ROUND(L1752,2),"Valid","Mismatch"))</f>
        <v>Valid</v>
      </c>
      <c r="O1752">
        <f t="shared" si="55"/>
        <v>1830</v>
      </c>
    </row>
    <row r="1753" spans="1:15">
      <c r="A1753">
        <v>1203</v>
      </c>
      <c r="B1753" t="str">
        <f t="shared" si="54"/>
        <v>2023-11</v>
      </c>
      <c r="C1753" s="1">
        <v>45256</v>
      </c>
      <c r="D1753" s="5">
        <v>0.77500000000000002</v>
      </c>
      <c r="E1753">
        <v>2</v>
      </c>
      <c r="F1753" t="s">
        <v>11</v>
      </c>
      <c r="G1753">
        <v>56</v>
      </c>
      <c r="H1753" t="s">
        <v>12</v>
      </c>
      <c r="I1753">
        <v>2</v>
      </c>
      <c r="J1753" s="6">
        <v>500</v>
      </c>
      <c r="K1753">
        <v>145</v>
      </c>
      <c r="L1753">
        <v>1000</v>
      </c>
      <c r="M1753" t="str">
        <f>IF(OR(I1753="",J1753="",L1753=""),"Incomplete","Complete")</f>
        <v>Complete</v>
      </c>
      <c r="N1753" t="str">
        <f>IF(M1753="Incomplete","Not checked",IF(ROUND(I1753*J1753,2)=ROUND(L1753,2),"Valid","Mismatch"))</f>
        <v>Valid</v>
      </c>
      <c r="O1753">
        <f t="shared" si="55"/>
        <v>855</v>
      </c>
    </row>
    <row r="1754" spans="1:15">
      <c r="A1754">
        <v>1970</v>
      </c>
      <c r="B1754" t="str">
        <f t="shared" si="54"/>
        <v>2023-05</v>
      </c>
      <c r="C1754" s="1">
        <v>45068</v>
      </c>
      <c r="D1754" s="5">
        <v>0.73888888888888893</v>
      </c>
      <c r="E1754">
        <v>5</v>
      </c>
      <c r="F1754" t="s">
        <v>11</v>
      </c>
      <c r="G1754">
        <v>59</v>
      </c>
      <c r="H1754" t="s">
        <v>15</v>
      </c>
      <c r="I1754">
        <v>4</v>
      </c>
      <c r="J1754" s="6">
        <v>500</v>
      </c>
      <c r="K1754">
        <v>230</v>
      </c>
      <c r="L1754">
        <v>2000</v>
      </c>
      <c r="M1754" t="str">
        <f>IF(OR(I1754="",J1754="",L1754=""),"Incomplete","Complete")</f>
        <v>Complete</v>
      </c>
      <c r="N1754" t="str">
        <f>IF(M1754="Incomplete","Not checked",IF(ROUND(I1754*J1754,2)=ROUND(L1754,2),"Valid","Mismatch"))</f>
        <v>Valid</v>
      </c>
      <c r="O1754">
        <f t="shared" si="55"/>
        <v>1770</v>
      </c>
    </row>
    <row r="1755" spans="1:15">
      <c r="A1755">
        <v>155</v>
      </c>
      <c r="B1755" t="str">
        <f t="shared" si="54"/>
        <v>2023-07</v>
      </c>
      <c r="C1755" s="1">
        <v>45125</v>
      </c>
      <c r="D1755" s="5">
        <v>0.75347222222222221</v>
      </c>
      <c r="E1755">
        <v>3</v>
      </c>
      <c r="F1755" t="s">
        <v>11</v>
      </c>
      <c r="G1755">
        <v>31</v>
      </c>
      <c r="H1755" t="s">
        <v>15</v>
      </c>
      <c r="I1755">
        <v>4</v>
      </c>
      <c r="J1755" s="6">
        <v>500</v>
      </c>
      <c r="K1755">
        <v>150</v>
      </c>
      <c r="L1755">
        <v>2000</v>
      </c>
      <c r="M1755" t="str">
        <f>IF(OR(I1755="",J1755="",L1755=""),"Incomplete","Complete")</f>
        <v>Complete</v>
      </c>
      <c r="N1755" t="str">
        <f>IF(M1755="Incomplete","Not checked",IF(ROUND(I1755*J1755,2)=ROUND(L1755,2),"Valid","Mismatch"))</f>
        <v>Valid</v>
      </c>
      <c r="O1755">
        <f t="shared" si="55"/>
        <v>1850</v>
      </c>
    </row>
    <row r="1756" spans="1:15">
      <c r="A1756">
        <v>470</v>
      </c>
      <c r="B1756" t="str">
        <f t="shared" si="54"/>
        <v>2023-12</v>
      </c>
      <c r="C1756" s="1">
        <v>45286</v>
      </c>
      <c r="D1756" s="5">
        <v>0.79027777777777775</v>
      </c>
      <c r="E1756">
        <v>4</v>
      </c>
      <c r="F1756" t="s">
        <v>14</v>
      </c>
      <c r="G1756">
        <v>57</v>
      </c>
      <c r="H1756" t="s">
        <v>12</v>
      </c>
      <c r="I1756">
        <v>2</v>
      </c>
      <c r="J1756" s="6">
        <v>500</v>
      </c>
      <c r="K1756">
        <v>165</v>
      </c>
      <c r="L1756">
        <v>1000</v>
      </c>
      <c r="M1756" t="str">
        <f>IF(OR(I1756="",J1756="",L1756=""),"Incomplete","Complete")</f>
        <v>Complete</v>
      </c>
      <c r="N1756" t="str">
        <f>IF(M1756="Incomplete","Not checked",IF(ROUND(I1756*J1756,2)=ROUND(L1756,2),"Valid","Mismatch"))</f>
        <v>Valid</v>
      </c>
      <c r="O1756">
        <f t="shared" si="55"/>
        <v>835</v>
      </c>
    </row>
    <row r="1757" spans="1:15">
      <c r="A1757">
        <v>1155</v>
      </c>
      <c r="B1757" t="str">
        <f t="shared" si="54"/>
        <v>2023-12</v>
      </c>
      <c r="C1757" s="1">
        <v>45263</v>
      </c>
      <c r="D1757" s="5">
        <v>0.76527777777777772</v>
      </c>
      <c r="E1757">
        <v>3</v>
      </c>
      <c r="F1757" t="s">
        <v>11</v>
      </c>
      <c r="G1757">
        <v>31</v>
      </c>
      <c r="H1757" t="s">
        <v>15</v>
      </c>
      <c r="I1757">
        <v>4</v>
      </c>
      <c r="J1757" s="6">
        <v>500</v>
      </c>
      <c r="K1757">
        <v>255</v>
      </c>
      <c r="L1757">
        <v>2000</v>
      </c>
      <c r="M1757" t="str">
        <f>IF(OR(I1757="",J1757="",L1757=""),"Incomplete","Complete")</f>
        <v>Complete</v>
      </c>
      <c r="N1757" t="str">
        <f>IF(M1757="Incomplete","Not checked",IF(ROUND(I1757*J1757,2)=ROUND(L1757,2),"Valid","Mismatch"))</f>
        <v>Valid</v>
      </c>
      <c r="O1757">
        <f t="shared" si="55"/>
        <v>1745</v>
      </c>
    </row>
    <row r="1758" spans="1:15">
      <c r="A1758">
        <v>1470</v>
      </c>
      <c r="B1758" t="str">
        <f t="shared" si="54"/>
        <v>2023-06</v>
      </c>
      <c r="C1758" s="1">
        <v>45103</v>
      </c>
      <c r="D1758" s="5">
        <v>0.82430555555555551</v>
      </c>
      <c r="E1758">
        <v>1</v>
      </c>
      <c r="F1758" t="s">
        <v>14</v>
      </c>
      <c r="G1758">
        <v>57</v>
      </c>
      <c r="H1758" t="s">
        <v>12</v>
      </c>
      <c r="I1758">
        <v>2</v>
      </c>
      <c r="J1758" s="6">
        <v>500</v>
      </c>
      <c r="K1758">
        <v>165</v>
      </c>
      <c r="L1758">
        <v>1000</v>
      </c>
      <c r="M1758" t="str">
        <f>IF(OR(I1758="",J1758="",L1758=""),"Incomplete","Complete")</f>
        <v>Complete</v>
      </c>
      <c r="N1758" t="str">
        <f>IF(M1758="Incomplete","Not checked",IF(ROUND(I1758*J1758,2)=ROUND(L1758,2),"Valid","Mismatch"))</f>
        <v>Valid</v>
      </c>
      <c r="O1758">
        <f t="shared" si="55"/>
        <v>835</v>
      </c>
    </row>
    <row r="1759" spans="1:15">
      <c r="A1759">
        <v>818</v>
      </c>
      <c r="B1759" t="str">
        <f t="shared" si="54"/>
        <v>2023-05</v>
      </c>
      <c r="C1759" s="1">
        <v>45075</v>
      </c>
      <c r="D1759" s="5">
        <v>0.78888888888888886</v>
      </c>
      <c r="E1759">
        <v>4</v>
      </c>
      <c r="F1759" t="s">
        <v>11</v>
      </c>
      <c r="G1759">
        <v>30</v>
      </c>
      <c r="H1759" t="s">
        <v>15</v>
      </c>
      <c r="I1759">
        <v>1</v>
      </c>
      <c r="J1759" s="6">
        <v>500</v>
      </c>
      <c r="K1759">
        <v>265</v>
      </c>
      <c r="L1759">
        <v>500</v>
      </c>
      <c r="M1759" t="str">
        <f>IF(OR(I1759="",J1759="",L1759=""),"Incomplete","Complete")</f>
        <v>Complete</v>
      </c>
      <c r="N1759" t="str">
        <f>IF(M1759="Incomplete","Not checked",IF(ROUND(I1759*J1759,2)=ROUND(L1759,2),"Valid","Mismatch"))</f>
        <v>Valid</v>
      </c>
      <c r="O1759">
        <f t="shared" si="55"/>
        <v>235</v>
      </c>
    </row>
    <row r="1760" spans="1:15">
      <c r="A1760">
        <v>1818</v>
      </c>
      <c r="B1760" t="str">
        <f t="shared" si="54"/>
        <v>2023-09</v>
      </c>
      <c r="C1760" s="1">
        <v>45189</v>
      </c>
      <c r="D1760" s="5">
        <v>0.72847222222222219</v>
      </c>
      <c r="E1760">
        <v>4</v>
      </c>
      <c r="F1760" t="s">
        <v>11</v>
      </c>
      <c r="G1760">
        <v>30</v>
      </c>
      <c r="H1760" t="s">
        <v>15</v>
      </c>
      <c r="I1760">
        <v>1</v>
      </c>
      <c r="J1760" s="6">
        <v>500</v>
      </c>
      <c r="K1760">
        <v>150</v>
      </c>
      <c r="L1760">
        <v>500</v>
      </c>
      <c r="M1760" t="str">
        <f>IF(OR(I1760="",J1760="",L1760=""),"Incomplete","Complete")</f>
        <v>Complete</v>
      </c>
      <c r="N1760" t="str">
        <f>IF(M1760="Incomplete","Not checked",IF(ROUND(I1760*J1760,2)=ROUND(L1760,2),"Valid","Mismatch"))</f>
        <v>Valid</v>
      </c>
      <c r="O1760">
        <f t="shared" si="55"/>
        <v>350</v>
      </c>
    </row>
    <row r="1761" spans="1:15">
      <c r="A1761">
        <v>94</v>
      </c>
      <c r="B1761" t="str">
        <f t="shared" si="54"/>
        <v>2023-03</v>
      </c>
      <c r="C1761" s="1">
        <v>44998</v>
      </c>
      <c r="D1761" s="5">
        <v>0.94374999999999998</v>
      </c>
      <c r="E1761">
        <v>5</v>
      </c>
      <c r="F1761" t="s">
        <v>14</v>
      </c>
      <c r="G1761">
        <v>47</v>
      </c>
      <c r="H1761" t="s">
        <v>13</v>
      </c>
      <c r="I1761">
        <v>2</v>
      </c>
      <c r="J1761" s="6">
        <v>500</v>
      </c>
      <c r="K1761">
        <v>250</v>
      </c>
      <c r="L1761">
        <v>1000</v>
      </c>
      <c r="M1761" t="str">
        <f>IF(OR(I1761="",J1761="",L1761=""),"Incomplete","Complete")</f>
        <v>Complete</v>
      </c>
      <c r="N1761" t="str">
        <f>IF(M1761="Incomplete","Not checked",IF(ROUND(I1761*J1761,2)=ROUND(L1761,2),"Valid","Mismatch"))</f>
        <v>Valid</v>
      </c>
      <c r="O1761">
        <f t="shared" si="55"/>
        <v>750</v>
      </c>
    </row>
    <row r="1762" spans="1:15">
      <c r="A1762">
        <v>1094</v>
      </c>
      <c r="B1762" t="str">
        <f t="shared" si="54"/>
        <v>2023-06</v>
      </c>
      <c r="C1762" s="1">
        <v>45092</v>
      </c>
      <c r="D1762" s="5">
        <v>0.8569444444444444</v>
      </c>
      <c r="E1762">
        <v>1</v>
      </c>
      <c r="F1762" t="s">
        <v>14</v>
      </c>
      <c r="G1762">
        <v>47</v>
      </c>
      <c r="H1762" t="s">
        <v>13</v>
      </c>
      <c r="I1762">
        <v>2</v>
      </c>
      <c r="J1762" s="6">
        <v>500</v>
      </c>
      <c r="K1762">
        <v>210</v>
      </c>
      <c r="L1762">
        <v>1000</v>
      </c>
      <c r="M1762" t="str">
        <f>IF(OR(I1762="",J1762="",L1762=""),"Incomplete","Complete")</f>
        <v>Complete</v>
      </c>
      <c r="N1762" t="str">
        <f>IF(M1762="Incomplete","Not checked",IF(ROUND(I1762*J1762,2)=ROUND(L1762,2),"Valid","Mismatch"))</f>
        <v>Valid</v>
      </c>
      <c r="O1762">
        <f t="shared" si="55"/>
        <v>790</v>
      </c>
    </row>
    <row r="1763" spans="1:15">
      <c r="A1763">
        <v>4</v>
      </c>
      <c r="B1763" t="str">
        <f t="shared" si="54"/>
        <v>2023-08</v>
      </c>
      <c r="C1763" s="1">
        <v>45165</v>
      </c>
      <c r="D1763" s="5">
        <v>0.7583333333333333</v>
      </c>
      <c r="E1763">
        <v>3</v>
      </c>
      <c r="F1763" t="s">
        <v>11</v>
      </c>
      <c r="G1763">
        <v>37</v>
      </c>
      <c r="H1763" t="s">
        <v>12</v>
      </c>
      <c r="I1763">
        <v>1</v>
      </c>
      <c r="J1763" s="6">
        <v>500</v>
      </c>
      <c r="K1763">
        <v>200</v>
      </c>
      <c r="L1763">
        <v>500</v>
      </c>
      <c r="M1763" t="str">
        <f>IF(OR(I1763="",J1763="",L1763=""),"Incomplete","Complete")</f>
        <v>Complete</v>
      </c>
      <c r="N1763" t="str">
        <f>IF(M1763="Incomplete","Not checked",IF(ROUND(I1763*J1763,2)=ROUND(L1763,2),"Valid","Mismatch"))</f>
        <v>Valid</v>
      </c>
      <c r="O1763">
        <f t="shared" si="55"/>
        <v>300</v>
      </c>
    </row>
    <row r="1764" spans="1:15">
      <c r="A1764">
        <v>647</v>
      </c>
      <c r="B1764" t="str">
        <f t="shared" si="54"/>
        <v>2023-03</v>
      </c>
      <c r="C1764" s="1">
        <v>44986</v>
      </c>
      <c r="D1764" s="5">
        <v>0.82847222222222228</v>
      </c>
      <c r="E1764">
        <v>5</v>
      </c>
      <c r="F1764" t="s">
        <v>11</v>
      </c>
      <c r="G1764">
        <v>59</v>
      </c>
      <c r="H1764" t="s">
        <v>12</v>
      </c>
      <c r="I1764">
        <v>3</v>
      </c>
      <c r="J1764" s="6">
        <v>500</v>
      </c>
      <c r="K1764">
        <v>190</v>
      </c>
      <c r="L1764">
        <v>1500</v>
      </c>
      <c r="M1764" t="str">
        <f>IF(OR(I1764="",J1764="",L1764=""),"Incomplete","Complete")</f>
        <v>Complete</v>
      </c>
      <c r="N1764" t="str">
        <f>IF(M1764="Incomplete","Not checked",IF(ROUND(I1764*J1764,2)=ROUND(L1764,2),"Valid","Mismatch"))</f>
        <v>Valid</v>
      </c>
      <c r="O1764">
        <f t="shared" si="55"/>
        <v>1310</v>
      </c>
    </row>
    <row r="1765" spans="1:15">
      <c r="A1765">
        <v>1004</v>
      </c>
      <c r="B1765" t="str">
        <f t="shared" si="54"/>
        <v>2023-01</v>
      </c>
      <c r="C1765" s="1">
        <v>44937</v>
      </c>
      <c r="D1765" s="5">
        <v>0.90694444444444444</v>
      </c>
      <c r="E1765">
        <v>2</v>
      </c>
      <c r="F1765" t="s">
        <v>11</v>
      </c>
      <c r="G1765">
        <v>37</v>
      </c>
      <c r="H1765" t="s">
        <v>12</v>
      </c>
      <c r="I1765">
        <v>1</v>
      </c>
      <c r="J1765" s="6">
        <v>500</v>
      </c>
      <c r="K1765">
        <v>230</v>
      </c>
      <c r="L1765">
        <v>500</v>
      </c>
      <c r="M1765" t="str">
        <f>IF(OR(I1765="",J1765="",L1765=""),"Incomplete","Complete")</f>
        <v>Complete</v>
      </c>
      <c r="N1765" t="str">
        <f>IF(M1765="Incomplete","Not checked",IF(ROUND(I1765*J1765,2)=ROUND(L1765,2),"Valid","Mismatch"))</f>
        <v>Valid</v>
      </c>
      <c r="O1765">
        <f t="shared" si="55"/>
        <v>270</v>
      </c>
    </row>
    <row r="1766" spans="1:15">
      <c r="A1766">
        <v>1647</v>
      </c>
      <c r="B1766" t="str">
        <f t="shared" si="54"/>
        <v>2023-05</v>
      </c>
      <c r="C1766" s="1">
        <v>45047</v>
      </c>
      <c r="D1766" s="5">
        <v>0.85138888888888886</v>
      </c>
      <c r="E1766">
        <v>5</v>
      </c>
      <c r="F1766" t="s">
        <v>11</v>
      </c>
      <c r="G1766">
        <v>59</v>
      </c>
      <c r="H1766" t="s">
        <v>12</v>
      </c>
      <c r="I1766">
        <v>3</v>
      </c>
      <c r="J1766" s="6">
        <v>500</v>
      </c>
      <c r="K1766">
        <v>240</v>
      </c>
      <c r="L1766">
        <v>1500</v>
      </c>
      <c r="M1766" t="str">
        <f>IF(OR(I1766="",J1766="",L1766=""),"Incomplete","Complete")</f>
        <v>Complete</v>
      </c>
      <c r="N1766" t="str">
        <f>IF(M1766="Incomplete","Not checked",IF(ROUND(I1766*J1766,2)=ROUND(L1766,2),"Valid","Mismatch"))</f>
        <v>Valid</v>
      </c>
      <c r="O1766">
        <f t="shared" si="55"/>
        <v>1260</v>
      </c>
    </row>
    <row r="1767" spans="1:15">
      <c r="A1767">
        <v>843</v>
      </c>
      <c r="B1767" t="str">
        <f t="shared" si="54"/>
        <v>2023-01</v>
      </c>
      <c r="C1767" s="1">
        <v>44951</v>
      </c>
      <c r="D1767" s="5">
        <v>0.94861111111111107</v>
      </c>
      <c r="E1767">
        <v>3</v>
      </c>
      <c r="F1767" t="s">
        <v>11</v>
      </c>
      <c r="G1767">
        <v>21</v>
      </c>
      <c r="H1767" t="s">
        <v>13</v>
      </c>
      <c r="I1767">
        <v>3</v>
      </c>
      <c r="J1767" s="6">
        <v>500</v>
      </c>
      <c r="K1767">
        <v>180</v>
      </c>
      <c r="L1767">
        <v>1500</v>
      </c>
      <c r="M1767" t="str">
        <f>IF(OR(I1767="",J1767="",L1767=""),"Incomplete","Complete")</f>
        <v>Complete</v>
      </c>
      <c r="N1767" t="str">
        <f>IF(M1767="Incomplete","Not checked",IF(ROUND(I1767*J1767,2)=ROUND(L1767,2),"Valid","Mismatch"))</f>
        <v>Valid</v>
      </c>
      <c r="O1767">
        <f t="shared" si="55"/>
        <v>1320</v>
      </c>
    </row>
    <row r="1768" spans="1:15">
      <c r="A1768">
        <v>1843</v>
      </c>
      <c r="B1768" t="str">
        <f t="shared" si="54"/>
        <v>2023-09</v>
      </c>
      <c r="C1768" s="1">
        <v>45190</v>
      </c>
      <c r="D1768" s="5">
        <v>0.79027777777777775</v>
      </c>
      <c r="E1768">
        <v>1</v>
      </c>
      <c r="F1768" t="s">
        <v>11</v>
      </c>
      <c r="G1768">
        <v>21</v>
      </c>
      <c r="H1768" t="s">
        <v>13</v>
      </c>
      <c r="I1768">
        <v>3</v>
      </c>
      <c r="J1768" s="6">
        <v>500</v>
      </c>
      <c r="K1768">
        <v>240</v>
      </c>
      <c r="L1768">
        <v>1500</v>
      </c>
      <c r="M1768" t="str">
        <f>IF(OR(I1768="",J1768="",L1768=""),"Incomplete","Complete")</f>
        <v>Complete</v>
      </c>
      <c r="N1768" t="str">
        <f>IF(M1768="Incomplete","Not checked",IF(ROUND(I1768*J1768,2)=ROUND(L1768,2),"Valid","Mismatch"))</f>
        <v>Valid</v>
      </c>
      <c r="O1768">
        <f t="shared" si="55"/>
        <v>1260</v>
      </c>
    </row>
    <row r="1769" spans="1:15">
      <c r="A1769">
        <v>72</v>
      </c>
      <c r="B1769" t="str">
        <f t="shared" si="54"/>
        <v>2023-12</v>
      </c>
      <c r="C1769" s="1">
        <v>45266</v>
      </c>
      <c r="D1769" s="5">
        <v>0.80486111111111114</v>
      </c>
      <c r="E1769">
        <v>5</v>
      </c>
      <c r="F1769" t="s">
        <v>14</v>
      </c>
      <c r="G1769">
        <v>20</v>
      </c>
      <c r="H1769" t="s">
        <v>15</v>
      </c>
      <c r="I1769">
        <v>4</v>
      </c>
      <c r="J1769" s="6">
        <v>500</v>
      </c>
      <c r="K1769">
        <v>195</v>
      </c>
      <c r="L1769">
        <v>2000</v>
      </c>
      <c r="M1769" t="str">
        <f>IF(OR(I1769="",J1769="",L1769=""),"Incomplete","Complete")</f>
        <v>Complete</v>
      </c>
      <c r="N1769" t="str">
        <f>IF(M1769="Incomplete","Not checked",IF(ROUND(I1769*J1769,2)=ROUND(L1769,2),"Valid","Mismatch"))</f>
        <v>Valid</v>
      </c>
      <c r="O1769">
        <f t="shared" si="55"/>
        <v>1805</v>
      </c>
    </row>
    <row r="1770" spans="1:15">
      <c r="A1770">
        <v>281</v>
      </c>
      <c r="B1770" t="str">
        <f t="shared" si="54"/>
        <v>2023-09</v>
      </c>
      <c r="C1770" s="1">
        <v>45187</v>
      </c>
      <c r="D1770" s="5">
        <v>0.83958333333333335</v>
      </c>
      <c r="E1770">
        <v>4</v>
      </c>
      <c r="F1770" t="s">
        <v>14</v>
      </c>
      <c r="G1770">
        <v>29</v>
      </c>
      <c r="H1770" t="s">
        <v>13</v>
      </c>
      <c r="I1770">
        <v>4</v>
      </c>
      <c r="J1770" s="6">
        <v>500</v>
      </c>
      <c r="K1770">
        <v>275</v>
      </c>
      <c r="L1770">
        <v>2000</v>
      </c>
      <c r="M1770" t="str">
        <f>IF(OR(I1770="",J1770="",L1770=""),"Incomplete","Complete")</f>
        <v>Complete</v>
      </c>
      <c r="N1770" t="str">
        <f>IF(M1770="Incomplete","Not checked",IF(ROUND(I1770*J1770,2)=ROUND(L1770,2),"Valid","Mismatch"))</f>
        <v>Valid</v>
      </c>
      <c r="O1770">
        <f t="shared" si="55"/>
        <v>1725</v>
      </c>
    </row>
    <row r="1771" spans="1:15">
      <c r="A1771">
        <v>1072</v>
      </c>
      <c r="B1771" t="str">
        <f t="shared" si="54"/>
        <v>2023-02</v>
      </c>
      <c r="C1771" s="1">
        <v>44981</v>
      </c>
      <c r="D1771" s="5">
        <v>0.75694444444444442</v>
      </c>
      <c r="E1771">
        <v>4</v>
      </c>
      <c r="F1771" t="s">
        <v>14</v>
      </c>
      <c r="G1771">
        <v>20</v>
      </c>
      <c r="H1771" t="s">
        <v>15</v>
      </c>
      <c r="I1771">
        <v>4</v>
      </c>
      <c r="J1771" s="6">
        <v>500</v>
      </c>
      <c r="K1771">
        <v>180</v>
      </c>
      <c r="L1771">
        <v>2000</v>
      </c>
      <c r="M1771" t="str">
        <f>IF(OR(I1771="",J1771="",L1771=""),"Incomplete","Complete")</f>
        <v>Complete</v>
      </c>
      <c r="N1771" t="str">
        <f>IF(M1771="Incomplete","Not checked",IF(ROUND(I1771*J1771,2)=ROUND(L1771,2),"Valid","Mismatch"))</f>
        <v>Valid</v>
      </c>
      <c r="O1771">
        <f t="shared" si="55"/>
        <v>1820</v>
      </c>
    </row>
    <row r="1772" spans="1:15">
      <c r="A1772">
        <v>1281</v>
      </c>
      <c r="B1772" t="str">
        <f t="shared" si="54"/>
        <v>2023-03</v>
      </c>
      <c r="C1772" s="1">
        <v>44999</v>
      </c>
      <c r="D1772" s="5">
        <v>0.81527777777777777</v>
      </c>
      <c r="E1772">
        <v>4</v>
      </c>
      <c r="F1772" t="s">
        <v>14</v>
      </c>
      <c r="G1772">
        <v>29</v>
      </c>
      <c r="H1772" t="s">
        <v>13</v>
      </c>
      <c r="I1772">
        <v>4</v>
      </c>
      <c r="J1772" s="6">
        <v>500</v>
      </c>
      <c r="K1772">
        <v>165</v>
      </c>
      <c r="L1772">
        <v>2000</v>
      </c>
      <c r="M1772" t="str">
        <f>IF(OR(I1772="",J1772="",L1772=""),"Incomplete","Complete")</f>
        <v>Complete</v>
      </c>
      <c r="N1772" t="str">
        <f>IF(M1772="Incomplete","Not checked",IF(ROUND(I1772*J1772,2)=ROUND(L1772,2),"Valid","Mismatch"))</f>
        <v>Valid</v>
      </c>
      <c r="O1772">
        <f t="shared" si="55"/>
        <v>1835</v>
      </c>
    </row>
    <row r="1773" spans="1:15">
      <c r="A1773">
        <v>404</v>
      </c>
      <c r="B1773" t="str">
        <f t="shared" si="54"/>
        <v>2023-02</v>
      </c>
      <c r="C1773" s="1">
        <v>44970</v>
      </c>
      <c r="D1773" s="5">
        <v>0.82986111111111116</v>
      </c>
      <c r="E1773">
        <v>59</v>
      </c>
      <c r="F1773" t="s">
        <v>11</v>
      </c>
      <c r="G1773">
        <v>46</v>
      </c>
      <c r="H1773" t="s">
        <v>15</v>
      </c>
      <c r="I1773">
        <v>2</v>
      </c>
      <c r="J1773" s="6">
        <v>500</v>
      </c>
      <c r="K1773">
        <v>160</v>
      </c>
      <c r="L1773">
        <v>1000</v>
      </c>
      <c r="M1773" t="str">
        <f>IF(OR(I1773="",J1773="",L1773=""),"Incomplete","Complete")</f>
        <v>Complete</v>
      </c>
      <c r="N1773" t="str">
        <f>IF(M1773="Incomplete","Not checked",IF(ROUND(I1773*J1773,2)=ROUND(L1773,2),"Valid","Mismatch"))</f>
        <v>Valid</v>
      </c>
      <c r="O1773">
        <f t="shared" si="55"/>
        <v>840</v>
      </c>
    </row>
    <row r="1774" spans="1:15">
      <c r="A1774">
        <v>990</v>
      </c>
      <c r="B1774" t="str">
        <f t="shared" si="54"/>
        <v>2023-03</v>
      </c>
      <c r="C1774" s="1">
        <v>45014</v>
      </c>
      <c r="D1774" s="5">
        <v>0.90625</v>
      </c>
      <c r="E1774">
        <v>68</v>
      </c>
      <c r="F1774" t="s">
        <v>14</v>
      </c>
      <c r="G1774">
        <v>58</v>
      </c>
      <c r="H1774" t="s">
        <v>13</v>
      </c>
      <c r="I1774">
        <v>2</v>
      </c>
      <c r="J1774" s="6">
        <v>500</v>
      </c>
      <c r="K1774">
        <v>235</v>
      </c>
      <c r="L1774">
        <v>1000</v>
      </c>
      <c r="M1774" t="str">
        <f>IF(OR(I1774="",J1774="",L1774=""),"Incomplete","Complete")</f>
        <v>Complete</v>
      </c>
      <c r="N1774" t="str">
        <f>IF(M1774="Incomplete","Not checked",IF(ROUND(I1774*J1774,2)=ROUND(L1774,2),"Valid","Mismatch"))</f>
        <v>Valid</v>
      </c>
      <c r="O1774">
        <f t="shared" si="55"/>
        <v>765</v>
      </c>
    </row>
    <row r="1775" spans="1:15">
      <c r="A1775">
        <v>1404</v>
      </c>
      <c r="B1775" t="str">
        <f t="shared" si="54"/>
        <v>2023-08</v>
      </c>
      <c r="C1775" s="1">
        <v>45158</v>
      </c>
      <c r="D1775" s="5">
        <v>0.76041666666666663</v>
      </c>
      <c r="E1775">
        <v>155</v>
      </c>
      <c r="F1775" t="s">
        <v>11</v>
      </c>
      <c r="G1775">
        <v>46</v>
      </c>
      <c r="H1775" t="s">
        <v>15</v>
      </c>
      <c r="I1775">
        <v>2</v>
      </c>
      <c r="J1775" s="6">
        <v>500</v>
      </c>
      <c r="K1775">
        <v>185</v>
      </c>
      <c r="L1775">
        <v>1000</v>
      </c>
      <c r="M1775" t="str">
        <f>IF(OR(I1775="",J1775="",L1775=""),"Incomplete","Complete")</f>
        <v>Complete</v>
      </c>
      <c r="N1775" t="str">
        <f>IF(M1775="Incomplete","Not checked",IF(ROUND(I1775*J1775,2)=ROUND(L1775,2),"Valid","Mismatch"))</f>
        <v>Valid</v>
      </c>
      <c r="O1775">
        <f t="shared" si="55"/>
        <v>815</v>
      </c>
    </row>
    <row r="1776" spans="1:15">
      <c r="A1776">
        <v>1990</v>
      </c>
      <c r="B1776" t="str">
        <f t="shared" si="54"/>
        <v>2023-11</v>
      </c>
      <c r="C1776" s="1">
        <v>45252</v>
      </c>
      <c r="D1776" s="5">
        <v>0.70972222222222225</v>
      </c>
      <c r="E1776">
        <v>48</v>
      </c>
      <c r="F1776" t="s">
        <v>14</v>
      </c>
      <c r="G1776">
        <v>58</v>
      </c>
      <c r="H1776" t="s">
        <v>13</v>
      </c>
      <c r="I1776">
        <v>2</v>
      </c>
      <c r="J1776" s="6">
        <v>500</v>
      </c>
      <c r="K1776">
        <v>155</v>
      </c>
      <c r="L1776">
        <v>1000</v>
      </c>
      <c r="M1776" t="str">
        <f>IF(OR(I1776="",J1776="",L1776=""),"Incomplete","Complete")</f>
        <v>Complete</v>
      </c>
      <c r="N1776" t="str">
        <f>IF(M1776="Incomplete","Not checked",IF(ROUND(I1776*J1776,2)=ROUND(L1776,2),"Valid","Mismatch"))</f>
        <v>Valid</v>
      </c>
      <c r="O1776">
        <f t="shared" si="55"/>
        <v>845</v>
      </c>
    </row>
    <row r="1777" spans="1:15">
      <c r="A1777">
        <v>382</v>
      </c>
      <c r="B1777" t="str">
        <f t="shared" si="54"/>
        <v>2023-07</v>
      </c>
      <c r="C1777" s="1">
        <v>45121</v>
      </c>
      <c r="D1777" s="5">
        <v>0.88888888888888884</v>
      </c>
      <c r="E1777">
        <v>29</v>
      </c>
      <c r="F1777" t="s">
        <v>14</v>
      </c>
      <c r="G1777">
        <v>53</v>
      </c>
      <c r="H1777" t="s">
        <v>12</v>
      </c>
      <c r="I1777">
        <v>2</v>
      </c>
      <c r="J1777" s="6">
        <v>500</v>
      </c>
      <c r="K1777">
        <v>245</v>
      </c>
      <c r="L1777">
        <v>1000</v>
      </c>
      <c r="M1777" t="str">
        <f>IF(OR(I1777="",J1777="",L1777=""),"Incomplete","Complete")</f>
        <v>Complete</v>
      </c>
      <c r="N1777" t="str">
        <f>IF(M1777="Incomplete","Not checked",IF(ROUND(I1777*J1777,2)=ROUND(L1777,2),"Valid","Mismatch"))</f>
        <v>Valid</v>
      </c>
      <c r="O1777">
        <f t="shared" si="55"/>
        <v>755</v>
      </c>
    </row>
    <row r="1778" spans="1:15">
      <c r="A1778">
        <v>1382</v>
      </c>
      <c r="B1778" t="str">
        <f t="shared" si="54"/>
        <v>2023-05</v>
      </c>
      <c r="C1778" s="1">
        <v>45066</v>
      </c>
      <c r="D1778" s="5">
        <v>0.75902777777777775</v>
      </c>
      <c r="E1778">
        <v>139</v>
      </c>
      <c r="F1778" t="s">
        <v>14</v>
      </c>
      <c r="G1778">
        <v>53</v>
      </c>
      <c r="H1778" t="s">
        <v>12</v>
      </c>
      <c r="I1778">
        <v>2</v>
      </c>
      <c r="J1778" s="6">
        <v>500</v>
      </c>
      <c r="K1778">
        <v>185</v>
      </c>
      <c r="L1778">
        <v>1000</v>
      </c>
      <c r="M1778" t="str">
        <f>IF(OR(I1778="",J1778="",L1778=""),"Incomplete","Complete")</f>
        <v>Complete</v>
      </c>
      <c r="N1778" t="str">
        <f>IF(M1778="Incomplete","Not checked",IF(ROUND(I1778*J1778,2)=ROUND(L1778,2),"Valid","Mismatch"))</f>
        <v>Valid</v>
      </c>
      <c r="O1778">
        <f t="shared" si="55"/>
        <v>815</v>
      </c>
    </row>
    <row r="1779" spans="1:15">
      <c r="A1779">
        <v>561</v>
      </c>
      <c r="B1779" t="str">
        <f t="shared" si="54"/>
        <v>2022-07</v>
      </c>
      <c r="C1779" s="1">
        <v>44771</v>
      </c>
      <c r="D1779" s="5">
        <v>0.71111111111111114</v>
      </c>
      <c r="E1779">
        <v>34</v>
      </c>
      <c r="F1779" t="s">
        <v>14</v>
      </c>
      <c r="G1779">
        <v>64</v>
      </c>
      <c r="H1779" t="s">
        <v>12</v>
      </c>
      <c r="I1779">
        <v>4</v>
      </c>
      <c r="J1779" s="6">
        <v>500</v>
      </c>
      <c r="K1779">
        <v>250</v>
      </c>
      <c r="L1779">
        <v>2000</v>
      </c>
      <c r="M1779" t="str">
        <f>IF(OR(I1779="",J1779="",L1779=""),"Incomplete","Complete")</f>
        <v>Complete</v>
      </c>
      <c r="N1779" t="str">
        <f>IF(M1779="Incomplete","Not checked",IF(ROUND(I1779*J1779,2)=ROUND(L1779,2),"Valid","Mismatch"))</f>
        <v>Valid</v>
      </c>
      <c r="O1779">
        <f t="shared" si="55"/>
        <v>1750</v>
      </c>
    </row>
    <row r="1780" spans="1:15">
      <c r="A1780">
        <v>1561</v>
      </c>
      <c r="B1780" t="str">
        <f t="shared" si="54"/>
        <v>2023-09</v>
      </c>
      <c r="C1780" s="1">
        <v>45186</v>
      </c>
      <c r="D1780" s="5">
        <v>0.81805555555555554</v>
      </c>
      <c r="E1780">
        <v>16</v>
      </c>
      <c r="F1780" t="s">
        <v>14</v>
      </c>
      <c r="G1780">
        <v>64</v>
      </c>
      <c r="H1780" t="s">
        <v>12</v>
      </c>
      <c r="I1780">
        <v>4</v>
      </c>
      <c r="J1780" s="6">
        <v>500</v>
      </c>
      <c r="K1780">
        <v>170</v>
      </c>
      <c r="L1780">
        <v>2000</v>
      </c>
      <c r="M1780" t="str">
        <f>IF(OR(I1780="",J1780="",L1780=""),"Incomplete","Complete")</f>
        <v>Complete</v>
      </c>
      <c r="N1780" t="str">
        <f>IF(M1780="Incomplete","Not checked",IF(ROUND(I1780*J1780,2)=ROUND(L1780,2),"Valid","Mismatch"))</f>
        <v>Valid</v>
      </c>
      <c r="O1780">
        <f t="shared" si="55"/>
        <v>1830</v>
      </c>
    </row>
    <row r="1781" spans="1:15">
      <c r="A1781">
        <v>394</v>
      </c>
      <c r="B1781" t="str">
        <f t="shared" si="54"/>
        <v>2022-08</v>
      </c>
      <c r="C1781" s="1">
        <v>44792</v>
      </c>
      <c r="D1781" s="5">
        <v>0.81041666666666667</v>
      </c>
      <c r="E1781">
        <v>105</v>
      </c>
      <c r="F1781" t="s">
        <v>14</v>
      </c>
      <c r="G1781">
        <v>27</v>
      </c>
      <c r="H1781" t="s">
        <v>12</v>
      </c>
      <c r="I1781">
        <v>1</v>
      </c>
      <c r="J1781" s="6">
        <v>500</v>
      </c>
      <c r="K1781">
        <v>165</v>
      </c>
      <c r="L1781">
        <v>500</v>
      </c>
      <c r="M1781" t="str">
        <f>IF(OR(I1781="",J1781="",L1781=""),"Incomplete","Complete")</f>
        <v>Complete</v>
      </c>
      <c r="N1781" t="str">
        <f>IF(M1781="Incomplete","Not checked",IF(ROUND(I1781*J1781,2)=ROUND(L1781,2),"Valid","Mismatch"))</f>
        <v>Valid</v>
      </c>
      <c r="O1781">
        <f t="shared" si="55"/>
        <v>335</v>
      </c>
    </row>
    <row r="1782" spans="1:15">
      <c r="A1782">
        <v>537</v>
      </c>
      <c r="B1782" t="str">
        <f t="shared" si="54"/>
        <v>2023-10</v>
      </c>
      <c r="C1782" s="1">
        <v>45200</v>
      </c>
      <c r="D1782" s="5">
        <v>0.75486111111111109</v>
      </c>
      <c r="E1782">
        <v>98</v>
      </c>
      <c r="F1782" t="s">
        <v>14</v>
      </c>
      <c r="G1782">
        <v>21</v>
      </c>
      <c r="H1782" t="s">
        <v>13</v>
      </c>
      <c r="I1782">
        <v>1</v>
      </c>
      <c r="J1782" s="6">
        <v>500</v>
      </c>
      <c r="K1782">
        <v>275</v>
      </c>
      <c r="L1782">
        <v>500</v>
      </c>
      <c r="M1782" t="str">
        <f>IF(OR(I1782="",J1782="",L1782=""),"Incomplete","Complete")</f>
        <v>Complete</v>
      </c>
      <c r="N1782" t="str">
        <f>IF(M1782="Incomplete","Not checked",IF(ROUND(I1782*J1782,2)=ROUND(L1782,2),"Valid","Mismatch"))</f>
        <v>Valid</v>
      </c>
      <c r="O1782">
        <f t="shared" si="55"/>
        <v>225</v>
      </c>
    </row>
    <row r="1783" spans="1:15">
      <c r="A1783">
        <v>1394</v>
      </c>
      <c r="B1783" t="str">
        <f t="shared" si="54"/>
        <v>2022-04</v>
      </c>
      <c r="C1783" s="1">
        <v>44668</v>
      </c>
      <c r="D1783" s="5">
        <v>0.83750000000000002</v>
      </c>
      <c r="E1783">
        <v>14</v>
      </c>
      <c r="F1783" t="s">
        <v>14</v>
      </c>
      <c r="G1783">
        <v>27</v>
      </c>
      <c r="H1783" t="s">
        <v>12</v>
      </c>
      <c r="I1783">
        <v>1</v>
      </c>
      <c r="J1783" s="6">
        <v>500</v>
      </c>
      <c r="K1783">
        <v>250</v>
      </c>
      <c r="L1783">
        <v>500</v>
      </c>
      <c r="M1783" t="str">
        <f>IF(OR(I1783="",J1783="",L1783=""),"Incomplete","Complete")</f>
        <v>Complete</v>
      </c>
      <c r="N1783" t="str">
        <f>IF(M1783="Incomplete","Not checked",IF(ROUND(I1783*J1783,2)=ROUND(L1783,2),"Valid","Mismatch"))</f>
        <v>Valid</v>
      </c>
      <c r="O1783">
        <f t="shared" si="55"/>
        <v>250</v>
      </c>
    </row>
    <row r="1784" spans="1:15">
      <c r="A1784">
        <v>1537</v>
      </c>
      <c r="B1784" t="str">
        <f t="shared" si="54"/>
        <v>2022-11</v>
      </c>
      <c r="C1784" s="1">
        <v>44894</v>
      </c>
      <c r="D1784" s="5">
        <v>0.74791666666666667</v>
      </c>
      <c r="E1784">
        <v>116</v>
      </c>
      <c r="F1784" t="s">
        <v>14</v>
      </c>
      <c r="G1784">
        <v>21</v>
      </c>
      <c r="H1784" t="s">
        <v>13</v>
      </c>
      <c r="I1784">
        <v>1</v>
      </c>
      <c r="J1784" s="6">
        <v>500</v>
      </c>
      <c r="K1784">
        <v>140</v>
      </c>
      <c r="L1784">
        <v>500</v>
      </c>
      <c r="M1784" t="str">
        <f>IF(OR(I1784="",J1784="",L1784=""),"Incomplete","Complete")</f>
        <v>Complete</v>
      </c>
      <c r="N1784" t="str">
        <f>IF(M1784="Incomplete","Not checked",IF(ROUND(I1784*J1784,2)=ROUND(L1784,2),"Valid","Mismatch"))</f>
        <v>Valid</v>
      </c>
      <c r="O1784">
        <f t="shared" si="55"/>
        <v>360</v>
      </c>
    </row>
    <row r="1785" spans="1:15">
      <c r="A1785">
        <v>867</v>
      </c>
      <c r="B1785" t="str">
        <f t="shared" si="54"/>
        <v>2022-07</v>
      </c>
      <c r="C1785" s="1">
        <v>44766</v>
      </c>
      <c r="D1785" s="5">
        <v>0.94444444444444442</v>
      </c>
      <c r="E1785">
        <v>152</v>
      </c>
      <c r="F1785" t="s">
        <v>11</v>
      </c>
      <c r="G1785">
        <v>21</v>
      </c>
      <c r="H1785" t="s">
        <v>15</v>
      </c>
      <c r="I1785">
        <v>1</v>
      </c>
      <c r="J1785" s="6">
        <v>500</v>
      </c>
      <c r="K1785">
        <v>185</v>
      </c>
      <c r="L1785">
        <v>500</v>
      </c>
      <c r="M1785" t="str">
        <f>IF(OR(I1785="",J1785="",L1785=""),"Incomplete","Complete")</f>
        <v>Complete</v>
      </c>
      <c r="N1785" t="str">
        <f>IF(M1785="Incomplete","Not checked",IF(ROUND(I1785*J1785,2)=ROUND(L1785,2),"Valid","Mismatch"))</f>
        <v>Valid</v>
      </c>
      <c r="O1785">
        <f t="shared" si="55"/>
        <v>315</v>
      </c>
    </row>
    <row r="1786" spans="1:15">
      <c r="A1786">
        <v>1867</v>
      </c>
      <c r="B1786" t="str">
        <f t="shared" si="54"/>
        <v>2023-05</v>
      </c>
      <c r="C1786" s="1">
        <v>45062</v>
      </c>
      <c r="D1786" s="5">
        <v>0.82986111111111116</v>
      </c>
      <c r="E1786">
        <v>144</v>
      </c>
      <c r="F1786" t="s">
        <v>11</v>
      </c>
      <c r="G1786">
        <v>21</v>
      </c>
      <c r="H1786" t="s">
        <v>15</v>
      </c>
      <c r="I1786">
        <v>1</v>
      </c>
      <c r="J1786" s="6">
        <v>500</v>
      </c>
      <c r="K1786">
        <v>190</v>
      </c>
      <c r="L1786">
        <v>500</v>
      </c>
      <c r="M1786" t="str">
        <f>IF(OR(I1786="",J1786="",L1786=""),"Incomplete","Complete")</f>
        <v>Complete</v>
      </c>
      <c r="N1786" t="str">
        <f>IF(M1786="Incomplete","Not checked",IF(ROUND(I1786*J1786,2)=ROUND(L1786,2),"Valid","Mismatch"))</f>
        <v>Valid</v>
      </c>
      <c r="O1786">
        <f t="shared" si="55"/>
        <v>310</v>
      </c>
    </row>
    <row r="1787" spans="1:15">
      <c r="A1787">
        <v>539</v>
      </c>
      <c r="B1787" t="str">
        <f t="shared" si="54"/>
        <v>2023-11</v>
      </c>
      <c r="C1787" s="1">
        <v>45260</v>
      </c>
      <c r="D1787" s="5">
        <v>0.75902777777777775</v>
      </c>
      <c r="E1787">
        <v>135</v>
      </c>
      <c r="F1787" t="s">
        <v>11</v>
      </c>
      <c r="G1787">
        <v>25</v>
      </c>
      <c r="H1787" t="s">
        <v>13</v>
      </c>
      <c r="I1787">
        <v>1</v>
      </c>
      <c r="J1787" s="6">
        <v>500</v>
      </c>
      <c r="K1787">
        <v>205</v>
      </c>
      <c r="L1787">
        <v>500</v>
      </c>
      <c r="M1787" t="str">
        <f>IF(OR(I1787="",J1787="",L1787=""),"Incomplete","Complete")</f>
        <v>Complete</v>
      </c>
      <c r="N1787" t="str">
        <f>IF(M1787="Incomplete","Not checked",IF(ROUND(I1787*J1787,2)=ROUND(L1787,2),"Valid","Mismatch"))</f>
        <v>Valid</v>
      </c>
      <c r="O1787">
        <f t="shared" si="55"/>
        <v>295</v>
      </c>
    </row>
    <row r="1788" spans="1:15">
      <c r="A1788">
        <v>1539</v>
      </c>
      <c r="B1788" t="str">
        <f t="shared" si="54"/>
        <v>2022-12</v>
      </c>
      <c r="C1788" s="1">
        <v>44901</v>
      </c>
      <c r="D1788" s="5">
        <v>0.91111111111111109</v>
      </c>
      <c r="E1788">
        <v>96</v>
      </c>
      <c r="F1788" t="s">
        <v>11</v>
      </c>
      <c r="G1788">
        <v>25</v>
      </c>
      <c r="H1788" t="s">
        <v>13</v>
      </c>
      <c r="I1788">
        <v>1</v>
      </c>
      <c r="J1788" s="6">
        <v>500</v>
      </c>
      <c r="K1788">
        <v>170</v>
      </c>
      <c r="L1788">
        <v>500</v>
      </c>
      <c r="M1788" t="str">
        <f>IF(OR(I1788="",J1788="",L1788=""),"Incomplete","Complete")</f>
        <v>Complete</v>
      </c>
      <c r="N1788" t="str">
        <f>IF(M1788="Incomplete","Not checked",IF(ROUND(I1788*J1788,2)=ROUND(L1788,2),"Valid","Mismatch"))</f>
        <v>Valid</v>
      </c>
      <c r="O1788">
        <f t="shared" si="55"/>
        <v>330</v>
      </c>
    </row>
    <row r="1789" spans="1:15">
      <c r="A1789">
        <v>212</v>
      </c>
      <c r="B1789" t="str">
        <f t="shared" si="54"/>
        <v>2023-10</v>
      </c>
      <c r="C1789" s="1">
        <v>45211</v>
      </c>
      <c r="D1789" s="5">
        <v>0.75902777777777775</v>
      </c>
      <c r="E1789">
        <v>105</v>
      </c>
      <c r="F1789" t="s">
        <v>11</v>
      </c>
      <c r="G1789">
        <v>21</v>
      </c>
      <c r="H1789" t="s">
        <v>12</v>
      </c>
      <c r="I1789">
        <v>3</v>
      </c>
      <c r="J1789" s="6">
        <v>500</v>
      </c>
      <c r="K1789">
        <v>215</v>
      </c>
      <c r="L1789">
        <v>1500</v>
      </c>
      <c r="M1789" t="str">
        <f>IF(OR(I1789="",J1789="",L1789=""),"Incomplete","Complete")</f>
        <v>Complete</v>
      </c>
      <c r="N1789" t="str">
        <f>IF(M1789="Incomplete","Not checked",IF(ROUND(I1789*J1789,2)=ROUND(L1789,2),"Valid","Mismatch"))</f>
        <v>Valid</v>
      </c>
      <c r="O1789">
        <f t="shared" si="55"/>
        <v>1285</v>
      </c>
    </row>
    <row r="1790" spans="1:15">
      <c r="A1790">
        <v>1212</v>
      </c>
      <c r="B1790" t="str">
        <f t="shared" si="54"/>
        <v>2022-03</v>
      </c>
      <c r="C1790" s="1">
        <v>44636</v>
      </c>
      <c r="D1790" s="5">
        <v>0.75347222222222221</v>
      </c>
      <c r="E1790">
        <v>142</v>
      </c>
      <c r="F1790" t="s">
        <v>11</v>
      </c>
      <c r="G1790">
        <v>21</v>
      </c>
      <c r="H1790" t="s">
        <v>12</v>
      </c>
      <c r="I1790">
        <v>3</v>
      </c>
      <c r="J1790" s="6">
        <v>500</v>
      </c>
      <c r="K1790">
        <v>265</v>
      </c>
      <c r="L1790">
        <v>1500</v>
      </c>
      <c r="M1790" t="str">
        <f>IF(OR(I1790="",J1790="",L1790=""),"Incomplete","Complete")</f>
        <v>Complete</v>
      </c>
      <c r="N1790" t="str">
        <f>IF(M1790="Incomplete","Not checked",IF(ROUND(I1790*J1790,2)=ROUND(L1790,2),"Valid","Mismatch"))</f>
        <v>Valid</v>
      </c>
      <c r="O1790">
        <f t="shared" si="55"/>
        <v>1235</v>
      </c>
    </row>
    <row r="1791" spans="1:15">
      <c r="A1791">
        <v>356</v>
      </c>
      <c r="B1791" t="str">
        <f t="shared" si="54"/>
        <v>2023-08</v>
      </c>
      <c r="C1791" s="1">
        <v>45165</v>
      </c>
      <c r="D1791" s="5">
        <v>0.77430555555555558</v>
      </c>
      <c r="E1791">
        <v>71</v>
      </c>
      <c r="F1791" t="s">
        <v>11</v>
      </c>
      <c r="G1791">
        <v>50</v>
      </c>
      <c r="H1791" t="s">
        <v>15</v>
      </c>
      <c r="I1791">
        <v>3</v>
      </c>
      <c r="J1791" s="6">
        <v>500</v>
      </c>
      <c r="K1791">
        <v>255</v>
      </c>
      <c r="L1791">
        <v>1500</v>
      </c>
      <c r="M1791" t="str">
        <f>IF(OR(I1791="",J1791="",L1791=""),"Incomplete","Complete")</f>
        <v>Complete</v>
      </c>
      <c r="N1791" t="str">
        <f>IF(M1791="Incomplete","Not checked",IF(ROUND(I1791*J1791,2)=ROUND(L1791,2),"Valid","Mismatch"))</f>
        <v>Valid</v>
      </c>
      <c r="O1791">
        <f t="shared" si="55"/>
        <v>1245</v>
      </c>
    </row>
    <row r="1792" spans="1:15">
      <c r="A1792">
        <v>534</v>
      </c>
      <c r="B1792" t="str">
        <f t="shared" si="54"/>
        <v>2023-04</v>
      </c>
      <c r="C1792" s="1">
        <v>45043</v>
      </c>
      <c r="D1792" s="5">
        <v>0.9375</v>
      </c>
      <c r="E1792">
        <v>112</v>
      </c>
      <c r="F1792" t="s">
        <v>11</v>
      </c>
      <c r="G1792">
        <v>45</v>
      </c>
      <c r="H1792" t="s">
        <v>12</v>
      </c>
      <c r="I1792">
        <v>2</v>
      </c>
      <c r="J1792" s="6">
        <v>500</v>
      </c>
      <c r="K1792">
        <v>140</v>
      </c>
      <c r="L1792">
        <v>1000</v>
      </c>
      <c r="M1792" t="str">
        <f>IF(OR(I1792="",J1792="",L1792=""),"Incomplete","Complete")</f>
        <v>Complete</v>
      </c>
      <c r="N1792" t="str">
        <f>IF(M1792="Incomplete","Not checked",IF(ROUND(I1792*J1792,2)=ROUND(L1792,2),"Valid","Mismatch"))</f>
        <v>Valid</v>
      </c>
      <c r="O1792">
        <f t="shared" si="55"/>
        <v>860</v>
      </c>
    </row>
    <row r="1793" spans="1:15">
      <c r="A1793">
        <v>1356</v>
      </c>
      <c r="B1793" t="str">
        <f t="shared" si="54"/>
        <v>2023-12</v>
      </c>
      <c r="C1793" s="1">
        <v>45278</v>
      </c>
      <c r="D1793" s="5">
        <v>0.89652777777777781</v>
      </c>
      <c r="E1793">
        <v>11</v>
      </c>
      <c r="F1793" t="s">
        <v>11</v>
      </c>
      <c r="G1793">
        <v>50</v>
      </c>
      <c r="H1793" t="s">
        <v>15</v>
      </c>
      <c r="I1793">
        <v>3</v>
      </c>
      <c r="J1793" s="6">
        <v>500</v>
      </c>
      <c r="K1793">
        <v>245</v>
      </c>
      <c r="L1793">
        <v>1500</v>
      </c>
      <c r="M1793" t="str">
        <f>IF(OR(I1793="",J1793="",L1793=""),"Incomplete","Complete")</f>
        <v>Complete</v>
      </c>
      <c r="N1793" t="str">
        <f>IF(M1793="Incomplete","Not checked",IF(ROUND(I1793*J1793,2)=ROUND(L1793,2),"Valid","Mismatch"))</f>
        <v>Valid</v>
      </c>
      <c r="O1793">
        <f t="shared" si="55"/>
        <v>1255</v>
      </c>
    </row>
    <row r="1794" spans="1:15">
      <c r="A1794">
        <v>1534</v>
      </c>
      <c r="B1794" t="str">
        <f t="shared" ref="B1794:B1857" si="56">TEXT(C1794,"yyyy-mm")</f>
        <v>2022-06</v>
      </c>
      <c r="C1794" s="1">
        <v>44725</v>
      </c>
      <c r="D1794" s="5">
        <v>0.82222222222222219</v>
      </c>
      <c r="E1794">
        <v>72</v>
      </c>
      <c r="F1794" t="s">
        <v>11</v>
      </c>
      <c r="G1794">
        <v>45</v>
      </c>
      <c r="H1794" t="s">
        <v>12</v>
      </c>
      <c r="I1794">
        <v>2</v>
      </c>
      <c r="J1794" s="6">
        <v>500</v>
      </c>
      <c r="K1794">
        <v>270</v>
      </c>
      <c r="L1794">
        <v>1000</v>
      </c>
      <c r="M1794" t="str">
        <f>IF(OR(I1794="",J1794="",L1794=""),"Incomplete","Complete")</f>
        <v>Complete</v>
      </c>
      <c r="N1794" t="str">
        <f>IF(M1794="Incomplete","Not checked",IF(ROUND(I1794*J1794,2)=ROUND(L1794,2),"Valid","Mismatch"))</f>
        <v>Valid</v>
      </c>
      <c r="O1794">
        <f t="shared" ref="O1794:O1857" si="57">IF(M1794="Incomplete","",L1794-K1794)</f>
        <v>730</v>
      </c>
    </row>
    <row r="1795" spans="1:15">
      <c r="A1795">
        <v>104</v>
      </c>
      <c r="B1795" t="str">
        <f t="shared" si="56"/>
        <v>2022-06</v>
      </c>
      <c r="C1795" s="1">
        <v>44721</v>
      </c>
      <c r="D1795" s="5">
        <v>0.95694444444444449</v>
      </c>
      <c r="E1795">
        <v>129</v>
      </c>
      <c r="F1795" t="s">
        <v>14</v>
      </c>
      <c r="G1795">
        <v>34</v>
      </c>
      <c r="H1795" t="s">
        <v>13</v>
      </c>
      <c r="I1795">
        <v>2</v>
      </c>
      <c r="J1795" s="6">
        <v>500</v>
      </c>
      <c r="K1795">
        <v>190</v>
      </c>
      <c r="L1795">
        <v>1000</v>
      </c>
      <c r="M1795" t="str">
        <f>IF(OR(I1795="",J1795="",L1795=""),"Incomplete","Complete")</f>
        <v>Complete</v>
      </c>
      <c r="N1795" t="str">
        <f>IF(M1795="Incomplete","Not checked",IF(ROUND(I1795*J1795,2)=ROUND(L1795,2),"Valid","Mismatch"))</f>
        <v>Valid</v>
      </c>
      <c r="O1795">
        <f t="shared" si="57"/>
        <v>810</v>
      </c>
    </row>
    <row r="1796" spans="1:15">
      <c r="A1796">
        <v>352</v>
      </c>
      <c r="B1796" t="str">
        <f t="shared" si="56"/>
        <v>2023-07</v>
      </c>
      <c r="C1796" s="1">
        <v>45135</v>
      </c>
      <c r="D1796" s="5">
        <v>0.74652777777777779</v>
      </c>
      <c r="E1796">
        <v>54</v>
      </c>
      <c r="F1796" t="s">
        <v>11</v>
      </c>
      <c r="G1796">
        <v>57</v>
      </c>
      <c r="H1796" t="s">
        <v>15</v>
      </c>
      <c r="I1796">
        <v>2</v>
      </c>
      <c r="J1796" s="6">
        <v>500</v>
      </c>
      <c r="K1796">
        <v>175</v>
      </c>
      <c r="L1796">
        <v>1000</v>
      </c>
      <c r="M1796" t="str">
        <f>IF(OR(I1796="",J1796="",L1796=""),"Incomplete","Complete")</f>
        <v>Complete</v>
      </c>
      <c r="N1796" t="str">
        <f>IF(M1796="Incomplete","Not checked",IF(ROUND(I1796*J1796,2)=ROUND(L1796,2),"Valid","Mismatch"))</f>
        <v>Valid</v>
      </c>
      <c r="O1796">
        <f t="shared" si="57"/>
        <v>825</v>
      </c>
    </row>
    <row r="1797" spans="1:15">
      <c r="A1797">
        <v>1104</v>
      </c>
      <c r="B1797" t="str">
        <f t="shared" si="56"/>
        <v>2022-07</v>
      </c>
      <c r="C1797" s="1">
        <v>44753</v>
      </c>
      <c r="D1797" s="5">
        <v>0.84236111111111112</v>
      </c>
      <c r="E1797">
        <v>70</v>
      </c>
      <c r="F1797" t="s">
        <v>14</v>
      </c>
      <c r="G1797">
        <v>34</v>
      </c>
      <c r="H1797" t="s">
        <v>13</v>
      </c>
      <c r="I1797">
        <v>2</v>
      </c>
      <c r="J1797" s="6">
        <v>500</v>
      </c>
      <c r="K1797">
        <v>150</v>
      </c>
      <c r="L1797">
        <v>1000</v>
      </c>
      <c r="M1797" t="str">
        <f>IF(OR(I1797="",J1797="",L1797=""),"Incomplete","Complete")</f>
        <v>Complete</v>
      </c>
      <c r="N1797" t="str">
        <f>IF(M1797="Incomplete","Not checked",IF(ROUND(I1797*J1797,2)=ROUND(L1797,2),"Valid","Mismatch"))</f>
        <v>Valid</v>
      </c>
      <c r="O1797">
        <f t="shared" si="57"/>
        <v>850</v>
      </c>
    </row>
    <row r="1798" spans="1:15">
      <c r="A1798">
        <v>1352</v>
      </c>
      <c r="B1798" t="str">
        <f t="shared" si="56"/>
        <v>2023-10</v>
      </c>
      <c r="C1798" s="1">
        <v>45218</v>
      </c>
      <c r="D1798" s="5">
        <v>0.73611111111111116</v>
      </c>
      <c r="E1798">
        <v>14</v>
      </c>
      <c r="F1798" t="s">
        <v>11</v>
      </c>
      <c r="G1798">
        <v>57</v>
      </c>
      <c r="H1798" t="s">
        <v>15</v>
      </c>
      <c r="I1798">
        <v>2</v>
      </c>
      <c r="J1798" s="6">
        <v>500</v>
      </c>
      <c r="K1798">
        <v>260</v>
      </c>
      <c r="L1798">
        <v>1000</v>
      </c>
      <c r="M1798" t="str">
        <f>IF(OR(I1798="",J1798="",L1798=""),"Incomplete","Complete")</f>
        <v>Complete</v>
      </c>
      <c r="N1798" t="str">
        <f>IF(M1798="Incomplete","Not checked",IF(ROUND(I1798*J1798,2)=ROUND(L1798,2),"Valid","Mismatch"))</f>
        <v>Valid</v>
      </c>
      <c r="O1798">
        <f t="shared" si="57"/>
        <v>740</v>
      </c>
    </row>
    <row r="1799" spans="1:15">
      <c r="A1799">
        <v>655</v>
      </c>
      <c r="B1799" t="str">
        <f t="shared" si="56"/>
        <v>2022-10</v>
      </c>
      <c r="C1799" s="1">
        <v>44865</v>
      </c>
      <c r="D1799" s="5">
        <v>0.77986111111111112</v>
      </c>
      <c r="E1799">
        <v>19</v>
      </c>
      <c r="F1799" t="s">
        <v>14</v>
      </c>
      <c r="G1799">
        <v>55</v>
      </c>
      <c r="H1799" t="s">
        <v>12</v>
      </c>
      <c r="I1799">
        <v>1</v>
      </c>
      <c r="J1799" s="6">
        <v>500</v>
      </c>
      <c r="K1799">
        <v>210</v>
      </c>
      <c r="L1799">
        <v>500</v>
      </c>
      <c r="M1799" t="str">
        <f>IF(OR(I1799="",J1799="",L1799=""),"Incomplete","Complete")</f>
        <v>Complete</v>
      </c>
      <c r="N1799" t="str">
        <f>IF(M1799="Incomplete","Not checked",IF(ROUND(I1799*J1799,2)=ROUND(L1799,2),"Valid","Mismatch"))</f>
        <v>Valid</v>
      </c>
      <c r="O1799">
        <f t="shared" si="57"/>
        <v>290</v>
      </c>
    </row>
    <row r="1800" spans="1:15">
      <c r="A1800">
        <v>1655</v>
      </c>
      <c r="B1800" t="str">
        <f t="shared" si="56"/>
        <v>2023-05</v>
      </c>
      <c r="C1800" s="1">
        <v>45074</v>
      </c>
      <c r="D1800" s="5">
        <v>0.74791666666666667</v>
      </c>
      <c r="E1800">
        <v>8</v>
      </c>
      <c r="F1800" t="s">
        <v>14</v>
      </c>
      <c r="G1800">
        <v>55</v>
      </c>
      <c r="H1800" t="s">
        <v>12</v>
      </c>
      <c r="I1800">
        <v>1</v>
      </c>
      <c r="J1800" s="6">
        <v>500</v>
      </c>
      <c r="K1800">
        <v>125</v>
      </c>
      <c r="L1800">
        <v>500</v>
      </c>
      <c r="M1800" t="str">
        <f>IF(OR(I1800="",J1800="",L1800=""),"Incomplete","Complete")</f>
        <v>Complete</v>
      </c>
      <c r="N1800" t="str">
        <f>IF(M1800="Incomplete","Not checked",IF(ROUND(I1800*J1800,2)=ROUND(L1800,2),"Valid","Mismatch"))</f>
        <v>Valid</v>
      </c>
      <c r="O1800">
        <f t="shared" si="57"/>
        <v>375</v>
      </c>
    </row>
    <row r="1801" spans="1:15">
      <c r="A1801">
        <v>239</v>
      </c>
      <c r="B1801" t="str">
        <f t="shared" si="56"/>
        <v>2022-09</v>
      </c>
      <c r="C1801" s="1">
        <v>44823</v>
      </c>
      <c r="D1801" s="5">
        <v>0.81527777777777777</v>
      </c>
      <c r="E1801">
        <v>1</v>
      </c>
      <c r="F1801" t="s">
        <v>11</v>
      </c>
      <c r="G1801">
        <v>38</v>
      </c>
      <c r="H1801" t="s">
        <v>15</v>
      </c>
      <c r="I1801">
        <v>3</v>
      </c>
      <c r="J1801" s="6">
        <v>500</v>
      </c>
      <c r="K1801">
        <v>165</v>
      </c>
      <c r="L1801">
        <v>1500</v>
      </c>
      <c r="M1801" t="str">
        <f>IF(OR(I1801="",J1801="",L1801=""),"Incomplete","Complete")</f>
        <v>Complete</v>
      </c>
      <c r="N1801" t="str">
        <f>IF(M1801="Incomplete","Not checked",IF(ROUND(I1801*J1801,2)=ROUND(L1801,2),"Valid","Mismatch"))</f>
        <v>Valid</v>
      </c>
      <c r="O1801">
        <f t="shared" si="57"/>
        <v>1335</v>
      </c>
    </row>
    <row r="1802" spans="1:15">
      <c r="A1802">
        <v>1239</v>
      </c>
      <c r="B1802" t="str">
        <f t="shared" si="56"/>
        <v>2022-07</v>
      </c>
      <c r="C1802" s="1">
        <v>44750</v>
      </c>
      <c r="D1802" s="5">
        <v>0.86250000000000004</v>
      </c>
      <c r="E1802">
        <v>134</v>
      </c>
      <c r="F1802" t="s">
        <v>11</v>
      </c>
      <c r="G1802">
        <v>38</v>
      </c>
      <c r="H1802" t="s">
        <v>15</v>
      </c>
      <c r="I1802">
        <v>3</v>
      </c>
      <c r="J1802" s="6">
        <v>500</v>
      </c>
      <c r="K1802">
        <v>255</v>
      </c>
      <c r="L1802">
        <v>1500</v>
      </c>
      <c r="M1802" t="str">
        <f>IF(OR(I1802="",J1802="",L1802=""),"Incomplete","Complete")</f>
        <v>Complete</v>
      </c>
      <c r="N1802" t="str">
        <f>IF(M1802="Incomplete","Not checked",IF(ROUND(I1802*J1802,2)=ROUND(L1802,2),"Valid","Mismatch"))</f>
        <v>Valid</v>
      </c>
      <c r="O1802">
        <f t="shared" si="57"/>
        <v>1245</v>
      </c>
    </row>
    <row r="1803" spans="1:15">
      <c r="A1803">
        <v>157</v>
      </c>
      <c r="B1803" t="str">
        <f t="shared" si="56"/>
        <v>2022-05</v>
      </c>
      <c r="C1803" s="1">
        <v>44696</v>
      </c>
      <c r="D1803" s="5">
        <v>0.91597222222222219</v>
      </c>
      <c r="E1803">
        <v>98</v>
      </c>
      <c r="F1803" t="s">
        <v>11</v>
      </c>
      <c r="G1803">
        <v>62</v>
      </c>
      <c r="H1803" t="s">
        <v>15</v>
      </c>
      <c r="I1803">
        <v>4</v>
      </c>
      <c r="J1803" s="6">
        <v>500</v>
      </c>
      <c r="K1803">
        <v>170</v>
      </c>
      <c r="L1803">
        <v>2000</v>
      </c>
      <c r="M1803" t="str">
        <f>IF(OR(I1803="",J1803="",L1803=""),"Incomplete","Complete")</f>
        <v>Complete</v>
      </c>
      <c r="N1803" t="str">
        <f>IF(M1803="Incomplete","Not checked",IF(ROUND(I1803*J1803,2)=ROUND(L1803,2),"Valid","Mismatch"))</f>
        <v>Valid</v>
      </c>
      <c r="O1803">
        <f t="shared" si="57"/>
        <v>1830</v>
      </c>
    </row>
    <row r="1804" spans="1:15">
      <c r="A1804">
        <v>927</v>
      </c>
      <c r="B1804" t="str">
        <f t="shared" si="56"/>
        <v>2022-02</v>
      </c>
      <c r="C1804" s="1">
        <v>44613</v>
      </c>
      <c r="D1804" s="5">
        <v>0.71736111111111112</v>
      </c>
      <c r="E1804">
        <v>83</v>
      </c>
      <c r="F1804" t="s">
        <v>11</v>
      </c>
      <c r="G1804">
        <v>43</v>
      </c>
      <c r="H1804" t="s">
        <v>15</v>
      </c>
      <c r="I1804">
        <v>4</v>
      </c>
      <c r="J1804" s="6">
        <v>500</v>
      </c>
      <c r="K1804">
        <v>250</v>
      </c>
      <c r="L1804">
        <v>2000</v>
      </c>
      <c r="M1804" t="str">
        <f>IF(OR(I1804="",J1804="",L1804=""),"Incomplete","Complete")</f>
        <v>Complete</v>
      </c>
      <c r="N1804" t="str">
        <f>IF(M1804="Incomplete","Not checked",IF(ROUND(I1804*J1804,2)=ROUND(L1804,2),"Valid","Mismatch"))</f>
        <v>Valid</v>
      </c>
      <c r="O1804">
        <f t="shared" si="57"/>
        <v>1750</v>
      </c>
    </row>
    <row r="1805" spans="1:15">
      <c r="A1805">
        <v>1157</v>
      </c>
      <c r="B1805" t="str">
        <f t="shared" si="56"/>
        <v>2022-12</v>
      </c>
      <c r="C1805" s="1">
        <v>44918</v>
      </c>
      <c r="D1805" s="5">
        <v>0.89166666666666672</v>
      </c>
      <c r="E1805">
        <v>81</v>
      </c>
      <c r="F1805" t="s">
        <v>11</v>
      </c>
      <c r="G1805">
        <v>62</v>
      </c>
      <c r="H1805" t="s">
        <v>15</v>
      </c>
      <c r="I1805">
        <v>4</v>
      </c>
      <c r="J1805" s="6">
        <v>500</v>
      </c>
      <c r="K1805">
        <v>270</v>
      </c>
      <c r="L1805">
        <v>2000</v>
      </c>
      <c r="M1805" t="str">
        <f>IF(OR(I1805="",J1805="",L1805=""),"Incomplete","Complete")</f>
        <v>Complete</v>
      </c>
      <c r="N1805" t="str">
        <f>IF(M1805="Incomplete","Not checked",IF(ROUND(I1805*J1805,2)=ROUND(L1805,2),"Valid","Mismatch"))</f>
        <v>Valid</v>
      </c>
      <c r="O1805">
        <f t="shared" si="57"/>
        <v>1730</v>
      </c>
    </row>
    <row r="1806" spans="1:15">
      <c r="A1806">
        <v>1927</v>
      </c>
      <c r="B1806" t="str">
        <f t="shared" si="56"/>
        <v>2023-09</v>
      </c>
      <c r="C1806" s="1">
        <v>45175</v>
      </c>
      <c r="D1806" s="5">
        <v>0.82222222222222219</v>
      </c>
      <c r="E1806">
        <v>46</v>
      </c>
      <c r="F1806" t="s">
        <v>11</v>
      </c>
      <c r="G1806">
        <v>43</v>
      </c>
      <c r="H1806" t="s">
        <v>15</v>
      </c>
      <c r="I1806">
        <v>4</v>
      </c>
      <c r="J1806" s="6">
        <v>500</v>
      </c>
      <c r="K1806">
        <v>180</v>
      </c>
      <c r="L1806">
        <v>2000</v>
      </c>
      <c r="M1806" t="str">
        <f>IF(OR(I1806="",J1806="",L1806=""),"Incomplete","Complete")</f>
        <v>Complete</v>
      </c>
      <c r="N1806" t="str">
        <f>IF(M1806="Incomplete","Not checked",IF(ROUND(I1806*J1806,2)=ROUND(L1806,2),"Valid","Mismatch"))</f>
        <v>Valid</v>
      </c>
      <c r="O1806">
        <f t="shared" si="57"/>
        <v>1820</v>
      </c>
    </row>
    <row r="1807" spans="1:15">
      <c r="A1807">
        <v>480</v>
      </c>
      <c r="B1807" t="str">
        <f t="shared" si="56"/>
        <v>2022-12</v>
      </c>
      <c r="C1807" s="1">
        <v>44917</v>
      </c>
      <c r="D1807" s="5">
        <v>0.92500000000000004</v>
      </c>
      <c r="E1807">
        <v>126</v>
      </c>
      <c r="F1807" t="s">
        <v>14</v>
      </c>
      <c r="G1807">
        <v>42</v>
      </c>
      <c r="H1807" t="s">
        <v>13</v>
      </c>
      <c r="I1807">
        <v>4</v>
      </c>
      <c r="J1807" s="6">
        <v>500</v>
      </c>
      <c r="K1807">
        <v>225</v>
      </c>
      <c r="L1807">
        <v>2000</v>
      </c>
      <c r="M1807" t="str">
        <f>IF(OR(I1807="",J1807="",L1807=""),"Incomplete","Complete")</f>
        <v>Complete</v>
      </c>
      <c r="N1807" t="str">
        <f>IF(M1807="Incomplete","Not checked",IF(ROUND(I1807*J1807,2)=ROUND(L1807,2),"Valid","Mismatch"))</f>
        <v>Valid</v>
      </c>
      <c r="O1807">
        <f t="shared" si="57"/>
        <v>1775</v>
      </c>
    </row>
    <row r="1808" spans="1:15">
      <c r="A1808">
        <v>1480</v>
      </c>
      <c r="B1808" t="str">
        <f t="shared" si="56"/>
        <v>2023-11</v>
      </c>
      <c r="C1808" s="1">
        <v>45256</v>
      </c>
      <c r="D1808" s="5">
        <v>0.75347222222222221</v>
      </c>
      <c r="E1808">
        <v>3</v>
      </c>
      <c r="F1808" t="s">
        <v>14</v>
      </c>
      <c r="G1808">
        <v>42</v>
      </c>
      <c r="H1808" t="s">
        <v>13</v>
      </c>
      <c r="I1808">
        <v>4</v>
      </c>
      <c r="J1808" s="6">
        <v>500</v>
      </c>
      <c r="K1808">
        <v>165</v>
      </c>
      <c r="L1808">
        <v>2000</v>
      </c>
      <c r="M1808" t="str">
        <f>IF(OR(I1808="",J1808="",L1808=""),"Incomplete","Complete")</f>
        <v>Complete</v>
      </c>
      <c r="N1808" t="str">
        <f>IF(M1808="Incomplete","Not checked",IF(ROUND(I1808*J1808,2)=ROUND(L1808,2),"Valid","Mismatch"))</f>
        <v>Valid</v>
      </c>
      <c r="O1808">
        <f t="shared" si="57"/>
        <v>1835</v>
      </c>
    </row>
    <row r="1809" spans="1:15">
      <c r="A1809">
        <v>684</v>
      </c>
      <c r="B1809" t="str">
        <f t="shared" si="56"/>
        <v>2023-06</v>
      </c>
      <c r="C1809" s="1">
        <v>45097</v>
      </c>
      <c r="D1809" s="5">
        <v>0.75138888888888888</v>
      </c>
      <c r="E1809">
        <v>54</v>
      </c>
      <c r="F1809" t="s">
        <v>14</v>
      </c>
      <c r="G1809">
        <v>28</v>
      </c>
      <c r="H1809" t="s">
        <v>12</v>
      </c>
      <c r="I1809">
        <v>2</v>
      </c>
      <c r="J1809" s="6">
        <v>500</v>
      </c>
      <c r="K1809">
        <v>225</v>
      </c>
      <c r="L1809">
        <v>1000</v>
      </c>
      <c r="M1809" t="str">
        <f>IF(OR(I1809="",J1809="",L1809=""),"Incomplete","Complete")</f>
        <v>Complete</v>
      </c>
      <c r="N1809" t="str">
        <f>IF(M1809="Incomplete","Not checked",IF(ROUND(I1809*J1809,2)=ROUND(L1809,2),"Valid","Mismatch"))</f>
        <v>Valid</v>
      </c>
      <c r="O1809">
        <f t="shared" si="57"/>
        <v>775</v>
      </c>
    </row>
    <row r="1810" spans="1:15">
      <c r="A1810">
        <v>1684</v>
      </c>
      <c r="B1810" t="str">
        <f t="shared" si="56"/>
        <v>2023-01</v>
      </c>
      <c r="C1810" s="1">
        <v>44949</v>
      </c>
      <c r="D1810" s="5">
        <v>0.90277777777777779</v>
      </c>
      <c r="E1810">
        <v>43</v>
      </c>
      <c r="F1810" t="s">
        <v>14</v>
      </c>
      <c r="G1810">
        <v>28</v>
      </c>
      <c r="H1810" t="s">
        <v>12</v>
      </c>
      <c r="I1810">
        <v>2</v>
      </c>
      <c r="J1810" s="6">
        <v>500</v>
      </c>
      <c r="K1810">
        <v>200</v>
      </c>
      <c r="L1810">
        <v>1000</v>
      </c>
      <c r="M1810" t="str">
        <f>IF(OR(I1810="",J1810="",L1810=""),"Incomplete","Complete")</f>
        <v>Complete</v>
      </c>
      <c r="N1810" t="str">
        <f>IF(M1810="Incomplete","Not checked",IF(ROUND(I1810*J1810,2)=ROUND(L1810,2),"Valid","Mismatch"))</f>
        <v>Valid</v>
      </c>
      <c r="O1810">
        <f t="shared" si="57"/>
        <v>800</v>
      </c>
    </row>
    <row r="1811" spans="1:15">
      <c r="A1811">
        <v>78</v>
      </c>
      <c r="B1811" t="str">
        <f t="shared" si="56"/>
        <v>2023-02</v>
      </c>
      <c r="C1811" s="1">
        <v>44974</v>
      </c>
      <c r="D1811" s="5">
        <v>0.88055555555555554</v>
      </c>
      <c r="E1811">
        <v>68</v>
      </c>
      <c r="F1811" t="s">
        <v>14</v>
      </c>
      <c r="G1811">
        <v>47</v>
      </c>
      <c r="H1811" t="s">
        <v>12</v>
      </c>
      <c r="I1811">
        <v>3</v>
      </c>
      <c r="J1811" s="6">
        <v>500</v>
      </c>
      <c r="K1811">
        <v>265</v>
      </c>
      <c r="L1811">
        <v>1500</v>
      </c>
      <c r="M1811" t="str">
        <f>IF(OR(I1811="",J1811="",L1811=""),"Incomplete","Complete")</f>
        <v>Complete</v>
      </c>
      <c r="N1811" t="str">
        <f>IF(M1811="Incomplete","Not checked",IF(ROUND(I1811*J1811,2)=ROUND(L1811,2),"Valid","Mismatch"))</f>
        <v>Valid</v>
      </c>
      <c r="O1811">
        <f t="shared" si="57"/>
        <v>1235</v>
      </c>
    </row>
    <row r="1812" spans="1:15">
      <c r="A1812">
        <v>1078</v>
      </c>
      <c r="B1812" t="str">
        <f t="shared" si="56"/>
        <v>2023-05</v>
      </c>
      <c r="C1812" s="1">
        <v>45050</v>
      </c>
      <c r="D1812" s="5">
        <v>0.93055555555555558</v>
      </c>
      <c r="E1812">
        <v>16</v>
      </c>
      <c r="F1812" t="s">
        <v>14</v>
      </c>
      <c r="G1812">
        <v>47</v>
      </c>
      <c r="H1812" t="s">
        <v>12</v>
      </c>
      <c r="I1812">
        <v>3</v>
      </c>
      <c r="J1812" s="6">
        <v>500</v>
      </c>
      <c r="K1812">
        <v>125</v>
      </c>
      <c r="L1812">
        <v>1500</v>
      </c>
      <c r="M1812" t="str">
        <f>IF(OR(I1812="",J1812="",L1812=""),"Incomplete","Complete")</f>
        <v>Complete</v>
      </c>
      <c r="N1812" t="str">
        <f>IF(M1812="Incomplete","Not checked",IF(ROUND(I1812*J1812,2)=ROUND(L1812,2),"Valid","Mismatch"))</f>
        <v>Valid</v>
      </c>
      <c r="O1812">
        <f t="shared" si="57"/>
        <v>1375</v>
      </c>
    </row>
    <row r="1813" spans="1:15">
      <c r="A1813">
        <v>904</v>
      </c>
      <c r="B1813" t="str">
        <f t="shared" si="56"/>
        <v>2022-04</v>
      </c>
      <c r="C1813" s="1">
        <v>44652</v>
      </c>
      <c r="D1813" s="5">
        <v>0.85138888888888886</v>
      </c>
      <c r="E1813">
        <v>43</v>
      </c>
      <c r="F1813" t="s">
        <v>11</v>
      </c>
      <c r="G1813">
        <v>28</v>
      </c>
      <c r="H1813" t="s">
        <v>12</v>
      </c>
      <c r="I1813">
        <v>1</v>
      </c>
      <c r="J1813" s="6">
        <v>500</v>
      </c>
      <c r="K1813">
        <v>160</v>
      </c>
      <c r="L1813">
        <v>500</v>
      </c>
      <c r="M1813" t="str">
        <f>IF(OR(I1813="",J1813="",L1813=""),"Incomplete","Complete")</f>
        <v>Complete</v>
      </c>
      <c r="N1813" t="str">
        <f>IF(M1813="Incomplete","Not checked",IF(ROUND(I1813*J1813,2)=ROUND(L1813,2),"Valid","Mismatch"))</f>
        <v>Valid</v>
      </c>
      <c r="O1813">
        <f t="shared" si="57"/>
        <v>340</v>
      </c>
    </row>
    <row r="1814" spans="1:15">
      <c r="A1814">
        <v>1904</v>
      </c>
      <c r="B1814" t="str">
        <f t="shared" si="56"/>
        <v>2022-11</v>
      </c>
      <c r="C1814" s="1">
        <v>44890</v>
      </c>
      <c r="D1814" s="5">
        <v>0.82013888888888886</v>
      </c>
      <c r="E1814">
        <v>117</v>
      </c>
      <c r="F1814" t="s">
        <v>11</v>
      </c>
      <c r="G1814">
        <v>28</v>
      </c>
      <c r="H1814" t="s">
        <v>12</v>
      </c>
      <c r="I1814">
        <v>1</v>
      </c>
      <c r="J1814" s="6">
        <v>500</v>
      </c>
      <c r="K1814">
        <v>220</v>
      </c>
      <c r="L1814">
        <v>500</v>
      </c>
      <c r="M1814" t="str">
        <f>IF(OR(I1814="",J1814="",L1814=""),"Incomplete","Complete")</f>
        <v>Complete</v>
      </c>
      <c r="N1814" t="str">
        <f>IF(M1814="Incomplete","Not checked",IF(ROUND(I1814*J1814,2)=ROUND(L1814,2),"Valid","Mismatch"))</f>
        <v>Valid</v>
      </c>
      <c r="O1814">
        <f t="shared" si="57"/>
        <v>280</v>
      </c>
    </row>
    <row r="1815" spans="1:15">
      <c r="A1815">
        <v>128</v>
      </c>
      <c r="B1815" t="str">
        <f t="shared" si="56"/>
        <v>2022-12</v>
      </c>
      <c r="C1815" s="1">
        <v>44916</v>
      </c>
      <c r="D1815" s="5">
        <v>0.93194444444444446</v>
      </c>
      <c r="E1815">
        <v>77</v>
      </c>
      <c r="F1815" t="s">
        <v>11</v>
      </c>
      <c r="G1815">
        <v>25</v>
      </c>
      <c r="H1815" t="s">
        <v>13</v>
      </c>
      <c r="I1815">
        <v>1</v>
      </c>
      <c r="J1815" s="6">
        <v>500</v>
      </c>
      <c r="K1815">
        <v>180</v>
      </c>
      <c r="L1815">
        <v>500</v>
      </c>
      <c r="M1815" t="str">
        <f>IF(OR(I1815="",J1815="",L1815=""),"Incomplete","Complete")</f>
        <v>Complete</v>
      </c>
      <c r="N1815" t="str">
        <f>IF(M1815="Incomplete","Not checked",IF(ROUND(I1815*J1815,2)=ROUND(L1815,2),"Valid","Mismatch"))</f>
        <v>Valid</v>
      </c>
      <c r="O1815">
        <f t="shared" si="57"/>
        <v>320</v>
      </c>
    </row>
    <row r="1816" spans="1:15">
      <c r="A1816">
        <v>1128</v>
      </c>
      <c r="B1816" t="str">
        <f t="shared" si="56"/>
        <v>2022-01</v>
      </c>
      <c r="C1816" s="1">
        <v>44565</v>
      </c>
      <c r="D1816" s="5">
        <v>0.73263888888888884</v>
      </c>
      <c r="E1816">
        <v>60</v>
      </c>
      <c r="F1816" t="s">
        <v>11</v>
      </c>
      <c r="G1816">
        <v>25</v>
      </c>
      <c r="H1816" t="s">
        <v>13</v>
      </c>
      <c r="I1816">
        <v>1</v>
      </c>
      <c r="J1816" s="6">
        <v>500</v>
      </c>
      <c r="K1816">
        <v>135</v>
      </c>
      <c r="L1816">
        <v>500</v>
      </c>
      <c r="M1816" t="str">
        <f>IF(OR(I1816="",J1816="",L1816=""),"Incomplete","Complete")</f>
        <v>Complete</v>
      </c>
      <c r="N1816" t="str">
        <f>IF(M1816="Incomplete","Not checked",IF(ROUND(I1816*J1816,2)=ROUND(L1816,2),"Valid","Mismatch"))</f>
        <v>Valid</v>
      </c>
      <c r="O1816">
        <f t="shared" si="57"/>
        <v>365</v>
      </c>
    </row>
    <row r="1817" spans="1:15">
      <c r="A1817">
        <v>447</v>
      </c>
      <c r="B1817" t="str">
        <f t="shared" si="56"/>
        <v>2023-04</v>
      </c>
      <c r="C1817" s="1">
        <v>45034</v>
      </c>
      <c r="D1817" s="5">
        <v>0.74791666666666667</v>
      </c>
      <c r="E1817">
        <v>37</v>
      </c>
      <c r="F1817" t="s">
        <v>11</v>
      </c>
      <c r="G1817">
        <v>22</v>
      </c>
      <c r="H1817" t="s">
        <v>13</v>
      </c>
      <c r="I1817">
        <v>4</v>
      </c>
      <c r="J1817" s="6">
        <v>500</v>
      </c>
      <c r="K1817">
        <v>245</v>
      </c>
      <c r="L1817">
        <v>2000</v>
      </c>
      <c r="M1817" t="str">
        <f>IF(OR(I1817="",J1817="",L1817=""),"Incomplete","Complete")</f>
        <v>Complete</v>
      </c>
      <c r="N1817" t="str">
        <f>IF(M1817="Incomplete","Not checked",IF(ROUND(I1817*J1817,2)=ROUND(L1817,2),"Valid","Mismatch"))</f>
        <v>Valid</v>
      </c>
      <c r="O1817">
        <f t="shared" si="57"/>
        <v>1755</v>
      </c>
    </row>
    <row r="1818" spans="1:15">
      <c r="A1818">
        <v>1447</v>
      </c>
      <c r="B1818" t="str">
        <f t="shared" si="56"/>
        <v>2022-05</v>
      </c>
      <c r="C1818" s="1">
        <v>44711</v>
      </c>
      <c r="D1818" s="5">
        <v>0.93125000000000002</v>
      </c>
      <c r="E1818">
        <v>137</v>
      </c>
      <c r="F1818" t="s">
        <v>11</v>
      </c>
      <c r="G1818">
        <v>22</v>
      </c>
      <c r="H1818" t="s">
        <v>13</v>
      </c>
      <c r="I1818">
        <v>4</v>
      </c>
      <c r="J1818" s="6">
        <v>500</v>
      </c>
      <c r="K1818">
        <v>155</v>
      </c>
      <c r="L1818">
        <v>2000</v>
      </c>
      <c r="M1818" t="str">
        <f>IF(OR(I1818="",J1818="",L1818=""),"Incomplete","Complete")</f>
        <v>Complete</v>
      </c>
      <c r="N1818" t="str">
        <f>IF(M1818="Incomplete","Not checked",IF(ROUND(I1818*J1818,2)=ROUND(L1818,2),"Valid","Mismatch"))</f>
        <v>Valid</v>
      </c>
      <c r="O1818">
        <f t="shared" si="57"/>
        <v>1845</v>
      </c>
    </row>
    <row r="1819" spans="1:15">
      <c r="A1819">
        <v>93</v>
      </c>
      <c r="B1819" t="str">
        <f t="shared" si="56"/>
        <v>2022-01</v>
      </c>
      <c r="C1819" s="1">
        <v>44586</v>
      </c>
      <c r="D1819" s="5">
        <v>0.86944444444444446</v>
      </c>
      <c r="E1819">
        <v>148</v>
      </c>
      <c r="F1819" t="s">
        <v>14</v>
      </c>
      <c r="G1819">
        <v>35</v>
      </c>
      <c r="H1819" t="s">
        <v>13</v>
      </c>
      <c r="I1819">
        <v>4</v>
      </c>
      <c r="J1819" s="6">
        <v>500</v>
      </c>
      <c r="K1819">
        <v>140</v>
      </c>
      <c r="L1819">
        <v>2000</v>
      </c>
      <c r="M1819" t="str">
        <f>IF(OR(I1819="",J1819="",L1819=""),"Incomplete","Complete")</f>
        <v>Complete</v>
      </c>
      <c r="N1819" t="str">
        <f>IF(M1819="Incomplete","Not checked",IF(ROUND(I1819*J1819,2)=ROUND(L1819,2),"Valid","Mismatch"))</f>
        <v>Valid</v>
      </c>
      <c r="O1819">
        <f t="shared" si="57"/>
        <v>1860</v>
      </c>
    </row>
    <row r="1820" spans="1:15">
      <c r="A1820">
        <v>1093</v>
      </c>
      <c r="B1820" t="str">
        <f t="shared" si="56"/>
        <v>2023-11</v>
      </c>
      <c r="C1820" s="1">
        <v>45236</v>
      </c>
      <c r="D1820" s="5">
        <v>0.72638888888888886</v>
      </c>
      <c r="E1820">
        <v>87</v>
      </c>
      <c r="F1820" t="s">
        <v>14</v>
      </c>
      <c r="G1820">
        <v>35</v>
      </c>
      <c r="H1820" t="s">
        <v>13</v>
      </c>
      <c r="I1820">
        <v>4</v>
      </c>
      <c r="J1820" s="6">
        <v>500</v>
      </c>
      <c r="K1820">
        <v>270</v>
      </c>
      <c r="L1820">
        <v>2000</v>
      </c>
      <c r="M1820" t="str">
        <f>IF(OR(I1820="",J1820="",L1820=""),"Incomplete","Complete")</f>
        <v>Complete</v>
      </c>
      <c r="N1820" t="str">
        <f>IF(M1820="Incomplete","Not checked",IF(ROUND(I1820*J1820,2)=ROUND(L1820,2),"Valid","Mismatch"))</f>
        <v>Valid</v>
      </c>
      <c r="O1820">
        <f t="shared" si="57"/>
        <v>1730</v>
      </c>
    </row>
    <row r="1821" spans="1:15">
      <c r="A1821">
        <v>144</v>
      </c>
      <c r="B1821" t="str">
        <f t="shared" si="56"/>
        <v>2022-03</v>
      </c>
      <c r="C1821" s="1">
        <v>44646</v>
      </c>
      <c r="D1821" s="5">
        <v>0.9291666666666667</v>
      </c>
      <c r="E1821">
        <v>119</v>
      </c>
      <c r="F1821" t="s">
        <v>14</v>
      </c>
      <c r="G1821">
        <v>59</v>
      </c>
      <c r="H1821" t="s">
        <v>13</v>
      </c>
      <c r="I1821">
        <v>3</v>
      </c>
      <c r="J1821" s="6">
        <v>500</v>
      </c>
      <c r="K1821">
        <v>255</v>
      </c>
      <c r="L1821">
        <v>1500</v>
      </c>
      <c r="M1821" t="str">
        <f>IF(OR(I1821="",J1821="",L1821=""),"Incomplete","Complete")</f>
        <v>Complete</v>
      </c>
      <c r="N1821" t="str">
        <f>IF(M1821="Incomplete","Not checked",IF(ROUND(I1821*J1821,2)=ROUND(L1821,2),"Valid","Mismatch"))</f>
        <v>Valid</v>
      </c>
      <c r="O1821">
        <f t="shared" si="57"/>
        <v>1245</v>
      </c>
    </row>
    <row r="1822" spans="1:15">
      <c r="A1822">
        <v>474</v>
      </c>
      <c r="B1822" t="str">
        <f t="shared" si="56"/>
        <v>2022-05</v>
      </c>
      <c r="C1822" s="1">
        <v>44689</v>
      </c>
      <c r="D1822" s="5">
        <v>0.74791666666666667</v>
      </c>
      <c r="E1822">
        <v>145</v>
      </c>
      <c r="F1822" t="s">
        <v>14</v>
      </c>
      <c r="G1822">
        <v>26</v>
      </c>
      <c r="H1822" t="s">
        <v>12</v>
      </c>
      <c r="I1822">
        <v>3</v>
      </c>
      <c r="J1822" s="6">
        <v>500</v>
      </c>
      <c r="K1822">
        <v>210</v>
      </c>
      <c r="L1822">
        <v>1500</v>
      </c>
      <c r="M1822" t="str">
        <f>IF(OR(I1822="",J1822="",L1822=""),"Incomplete","Complete")</f>
        <v>Complete</v>
      </c>
      <c r="N1822" t="str">
        <f>IF(M1822="Incomplete","Not checked",IF(ROUND(I1822*J1822,2)=ROUND(L1822,2),"Valid","Mismatch"))</f>
        <v>Valid</v>
      </c>
      <c r="O1822">
        <f t="shared" si="57"/>
        <v>1290</v>
      </c>
    </row>
    <row r="1823" spans="1:15">
      <c r="A1823">
        <v>1144</v>
      </c>
      <c r="B1823" t="str">
        <f t="shared" si="56"/>
        <v>2022-12</v>
      </c>
      <c r="C1823" s="1">
        <v>44925</v>
      </c>
      <c r="D1823" s="5">
        <v>0.89375000000000004</v>
      </c>
      <c r="E1823">
        <v>148</v>
      </c>
      <c r="F1823" t="s">
        <v>14</v>
      </c>
      <c r="G1823">
        <v>59</v>
      </c>
      <c r="H1823" t="s">
        <v>13</v>
      </c>
      <c r="I1823">
        <v>3</v>
      </c>
      <c r="J1823" s="6">
        <v>500</v>
      </c>
      <c r="K1823">
        <v>125</v>
      </c>
      <c r="L1823">
        <v>1500</v>
      </c>
      <c r="M1823" t="str">
        <f>IF(OR(I1823="",J1823="",L1823=""),"Incomplete","Complete")</f>
        <v>Complete</v>
      </c>
      <c r="N1823" t="str">
        <f>IF(M1823="Incomplete","Not checked",IF(ROUND(I1823*J1823,2)=ROUND(L1823,2),"Valid","Mismatch"))</f>
        <v>Valid</v>
      </c>
      <c r="O1823">
        <f t="shared" si="57"/>
        <v>1375</v>
      </c>
    </row>
    <row r="1824" spans="1:15">
      <c r="A1824">
        <v>1474</v>
      </c>
      <c r="B1824" t="str">
        <f t="shared" si="56"/>
        <v>2022-05</v>
      </c>
      <c r="C1824" s="1">
        <v>44696</v>
      </c>
      <c r="D1824" s="5">
        <v>0.86736111111111114</v>
      </c>
      <c r="E1824">
        <v>84</v>
      </c>
      <c r="F1824" t="s">
        <v>14</v>
      </c>
      <c r="G1824">
        <v>26</v>
      </c>
      <c r="H1824" t="s">
        <v>12</v>
      </c>
      <c r="I1824">
        <v>3</v>
      </c>
      <c r="J1824" s="6">
        <v>500</v>
      </c>
      <c r="K1824">
        <v>255</v>
      </c>
      <c r="L1824">
        <v>1500</v>
      </c>
      <c r="M1824" t="str">
        <f>IF(OR(I1824="",J1824="",L1824=""),"Incomplete","Complete")</f>
        <v>Complete</v>
      </c>
      <c r="N1824" t="str">
        <f>IF(M1824="Incomplete","Not checked",IF(ROUND(I1824*J1824,2)=ROUND(L1824,2),"Valid","Mismatch"))</f>
        <v>Valid</v>
      </c>
      <c r="O1824">
        <f t="shared" si="57"/>
        <v>1245</v>
      </c>
    </row>
    <row r="1825" spans="1:15">
      <c r="A1825">
        <v>676</v>
      </c>
      <c r="B1825" t="str">
        <f t="shared" si="56"/>
        <v>2023-07</v>
      </c>
      <c r="C1825" s="1">
        <v>45117</v>
      </c>
      <c r="D1825" s="5">
        <v>0.92569444444444449</v>
      </c>
      <c r="E1825">
        <v>80</v>
      </c>
      <c r="F1825" t="s">
        <v>11</v>
      </c>
      <c r="G1825">
        <v>63</v>
      </c>
      <c r="H1825" t="s">
        <v>15</v>
      </c>
      <c r="I1825">
        <v>3</v>
      </c>
      <c r="J1825" s="6">
        <v>500</v>
      </c>
      <c r="K1825">
        <v>205</v>
      </c>
      <c r="L1825">
        <v>1500</v>
      </c>
      <c r="M1825" t="str">
        <f>IF(OR(I1825="",J1825="",L1825=""),"Incomplete","Complete")</f>
        <v>Complete</v>
      </c>
      <c r="N1825" t="str">
        <f>IF(M1825="Incomplete","Not checked",IF(ROUND(I1825*J1825,2)=ROUND(L1825,2),"Valid","Mismatch"))</f>
        <v>Valid</v>
      </c>
      <c r="O1825">
        <f t="shared" si="57"/>
        <v>1295</v>
      </c>
    </row>
    <row r="1826" spans="1:15">
      <c r="A1826">
        <v>1676</v>
      </c>
      <c r="B1826" t="str">
        <f t="shared" si="56"/>
        <v>2023-09</v>
      </c>
      <c r="C1826" s="1">
        <v>45190</v>
      </c>
      <c r="D1826" s="5">
        <v>0.84861111111111109</v>
      </c>
      <c r="E1826">
        <v>91</v>
      </c>
      <c r="F1826" t="s">
        <v>11</v>
      </c>
      <c r="G1826">
        <v>63</v>
      </c>
      <c r="H1826" t="s">
        <v>15</v>
      </c>
      <c r="I1826">
        <v>3</v>
      </c>
      <c r="J1826" s="6">
        <v>500</v>
      </c>
      <c r="K1826">
        <v>210</v>
      </c>
      <c r="L1826">
        <v>1500</v>
      </c>
      <c r="M1826" t="str">
        <f>IF(OR(I1826="",J1826="",L1826=""),"Incomplete","Complete")</f>
        <v>Complete</v>
      </c>
      <c r="N1826" t="str">
        <f>IF(M1826="Incomplete","Not checked",IF(ROUND(I1826*J1826,2)=ROUND(L1826,2),"Valid","Mismatch"))</f>
        <v>Valid</v>
      </c>
      <c r="O1826">
        <f t="shared" si="57"/>
        <v>1290</v>
      </c>
    </row>
    <row r="1827" spans="1:15">
      <c r="A1827">
        <v>709</v>
      </c>
      <c r="B1827" t="str">
        <f t="shared" si="56"/>
        <v>2022-09</v>
      </c>
      <c r="C1827" s="1">
        <v>44826</v>
      </c>
      <c r="D1827" s="5">
        <v>0.93888888888888888</v>
      </c>
      <c r="E1827">
        <v>61</v>
      </c>
      <c r="F1827" t="s">
        <v>14</v>
      </c>
      <c r="G1827">
        <v>19</v>
      </c>
      <c r="H1827" t="s">
        <v>15</v>
      </c>
      <c r="I1827">
        <v>2</v>
      </c>
      <c r="J1827" s="6">
        <v>500</v>
      </c>
      <c r="K1827">
        <v>140</v>
      </c>
      <c r="L1827">
        <v>1000</v>
      </c>
      <c r="M1827" t="str">
        <f>IF(OR(I1827="",J1827="",L1827=""),"Incomplete","Complete")</f>
        <v>Complete</v>
      </c>
      <c r="N1827" t="str">
        <f>IF(M1827="Incomplete","Not checked",IF(ROUND(I1827*J1827,2)=ROUND(L1827,2),"Valid","Mismatch"))</f>
        <v>Valid</v>
      </c>
      <c r="O1827">
        <f t="shared" si="57"/>
        <v>860</v>
      </c>
    </row>
    <row r="1828" spans="1:15">
      <c r="A1828">
        <v>1709</v>
      </c>
      <c r="B1828" t="str">
        <f t="shared" si="56"/>
        <v>2023-09</v>
      </c>
      <c r="C1828" s="1">
        <v>45182</v>
      </c>
      <c r="D1828" s="5">
        <v>0.84861111111111109</v>
      </c>
      <c r="E1828">
        <v>97</v>
      </c>
      <c r="F1828" t="s">
        <v>14</v>
      </c>
      <c r="G1828">
        <v>19</v>
      </c>
      <c r="H1828" t="s">
        <v>15</v>
      </c>
      <c r="I1828">
        <v>2</v>
      </c>
      <c r="J1828" s="6">
        <v>500</v>
      </c>
      <c r="K1828">
        <v>185</v>
      </c>
      <c r="L1828">
        <v>1000</v>
      </c>
      <c r="M1828" t="str">
        <f>IF(OR(I1828="",J1828="",L1828=""),"Incomplete","Complete")</f>
        <v>Complete</v>
      </c>
      <c r="N1828" t="str">
        <f>IF(M1828="Incomplete","Not checked",IF(ROUND(I1828*J1828,2)=ROUND(L1828,2),"Valid","Mismatch"))</f>
        <v>Valid</v>
      </c>
      <c r="O1828">
        <f t="shared" si="57"/>
        <v>815</v>
      </c>
    </row>
    <row r="1829" spans="1:15">
      <c r="A1829">
        <v>773</v>
      </c>
      <c r="B1829" t="str">
        <f t="shared" si="56"/>
        <v>2023-01</v>
      </c>
      <c r="C1829" s="1">
        <v>44940</v>
      </c>
      <c r="D1829" s="5">
        <v>0.79861111111111116</v>
      </c>
      <c r="E1829">
        <v>3</v>
      </c>
      <c r="F1829" t="s">
        <v>11</v>
      </c>
      <c r="G1829">
        <v>25</v>
      </c>
      <c r="H1829" t="s">
        <v>15</v>
      </c>
      <c r="I1829">
        <v>4</v>
      </c>
      <c r="J1829" s="6">
        <v>500</v>
      </c>
      <c r="K1829">
        <v>175</v>
      </c>
      <c r="L1829">
        <v>2000</v>
      </c>
      <c r="M1829" t="str">
        <f>IF(OR(I1829="",J1829="",L1829=""),"Incomplete","Complete")</f>
        <v>Complete</v>
      </c>
      <c r="N1829" t="str">
        <f>IF(M1829="Incomplete","Not checked",IF(ROUND(I1829*J1829,2)=ROUND(L1829,2),"Valid","Mismatch"))</f>
        <v>Valid</v>
      </c>
      <c r="O1829">
        <f t="shared" si="57"/>
        <v>1825</v>
      </c>
    </row>
    <row r="1830" spans="1:15">
      <c r="A1830">
        <v>1773</v>
      </c>
      <c r="B1830" t="str">
        <f t="shared" si="56"/>
        <v>2023-12</v>
      </c>
      <c r="C1830" s="1">
        <v>45272</v>
      </c>
      <c r="D1830" s="5">
        <v>0.78472222222222221</v>
      </c>
      <c r="E1830">
        <v>80</v>
      </c>
      <c r="F1830" t="s">
        <v>11</v>
      </c>
      <c r="G1830">
        <v>25</v>
      </c>
      <c r="H1830" t="s">
        <v>15</v>
      </c>
      <c r="I1830">
        <v>4</v>
      </c>
      <c r="J1830" s="6">
        <v>500</v>
      </c>
      <c r="K1830">
        <v>165</v>
      </c>
      <c r="L1830">
        <v>2000</v>
      </c>
      <c r="M1830" t="str">
        <f>IF(OR(I1830="",J1830="",L1830=""),"Incomplete","Complete")</f>
        <v>Complete</v>
      </c>
      <c r="N1830" t="str">
        <f>IF(M1830="Incomplete","Not checked",IF(ROUND(I1830*J1830,2)=ROUND(L1830,2),"Valid","Mismatch"))</f>
        <v>Valid</v>
      </c>
      <c r="O1830">
        <f t="shared" si="57"/>
        <v>1835</v>
      </c>
    </row>
    <row r="1831" spans="1:15">
      <c r="A1831">
        <v>213</v>
      </c>
      <c r="B1831" t="str">
        <f t="shared" si="56"/>
        <v>2023-08</v>
      </c>
      <c r="C1831" s="1">
        <v>45151</v>
      </c>
      <c r="D1831" s="5">
        <v>0.8666666666666667</v>
      </c>
      <c r="E1831">
        <v>113</v>
      </c>
      <c r="F1831" t="s">
        <v>11</v>
      </c>
      <c r="G1831">
        <v>27</v>
      </c>
      <c r="H1831" t="s">
        <v>13</v>
      </c>
      <c r="I1831">
        <v>3</v>
      </c>
      <c r="J1831" s="6">
        <v>500</v>
      </c>
      <c r="K1831">
        <v>275</v>
      </c>
      <c r="L1831">
        <v>1500</v>
      </c>
      <c r="M1831" t="str">
        <f>IF(OR(I1831="",J1831="",L1831=""),"Incomplete","Complete")</f>
        <v>Complete</v>
      </c>
      <c r="N1831" t="str">
        <f>IF(M1831="Incomplete","Not checked",IF(ROUND(I1831*J1831,2)=ROUND(L1831,2),"Valid","Mismatch"))</f>
        <v>Valid</v>
      </c>
      <c r="O1831">
        <f t="shared" si="57"/>
        <v>1225</v>
      </c>
    </row>
    <row r="1832" spans="1:15">
      <c r="A1832">
        <v>487</v>
      </c>
      <c r="B1832" t="str">
        <f t="shared" si="56"/>
        <v>2023-04</v>
      </c>
      <c r="C1832" s="1">
        <v>45025</v>
      </c>
      <c r="D1832" s="5">
        <v>0.87708333333333333</v>
      </c>
      <c r="E1832">
        <v>36</v>
      </c>
      <c r="F1832" t="s">
        <v>11</v>
      </c>
      <c r="G1832">
        <v>44</v>
      </c>
      <c r="H1832" t="s">
        <v>12</v>
      </c>
      <c r="I1832">
        <v>4</v>
      </c>
      <c r="J1832" s="6">
        <v>500</v>
      </c>
      <c r="K1832">
        <v>235</v>
      </c>
      <c r="L1832">
        <v>2000</v>
      </c>
      <c r="M1832" t="str">
        <f>IF(OR(I1832="",J1832="",L1832=""),"Incomplete","Complete")</f>
        <v>Complete</v>
      </c>
      <c r="N1832" t="str">
        <f>IF(M1832="Incomplete","Not checked",IF(ROUND(I1832*J1832,2)=ROUND(L1832,2),"Valid","Mismatch"))</f>
        <v>Valid</v>
      </c>
      <c r="O1832">
        <f t="shared" si="57"/>
        <v>1765</v>
      </c>
    </row>
    <row r="1833" spans="1:15">
      <c r="A1833">
        <v>605</v>
      </c>
      <c r="B1833" t="str">
        <f t="shared" si="56"/>
        <v>2023-10</v>
      </c>
      <c r="C1833" s="1">
        <v>45218</v>
      </c>
      <c r="D1833" s="5">
        <v>0.93333333333333335</v>
      </c>
      <c r="E1833">
        <v>76</v>
      </c>
      <c r="F1833" t="s">
        <v>11</v>
      </c>
      <c r="G1833">
        <v>37</v>
      </c>
      <c r="H1833" t="s">
        <v>15</v>
      </c>
      <c r="I1833">
        <v>2</v>
      </c>
      <c r="J1833" s="6">
        <v>500</v>
      </c>
      <c r="K1833">
        <v>180</v>
      </c>
      <c r="L1833">
        <v>1000</v>
      </c>
      <c r="M1833" t="str">
        <f>IF(OR(I1833="",J1833="",L1833=""),"Incomplete","Complete")</f>
        <v>Complete</v>
      </c>
      <c r="N1833" t="str">
        <f>IF(M1833="Incomplete","Not checked",IF(ROUND(I1833*J1833,2)=ROUND(L1833,2),"Valid","Mismatch"))</f>
        <v>Valid</v>
      </c>
      <c r="O1833">
        <f t="shared" si="57"/>
        <v>820</v>
      </c>
    </row>
    <row r="1834" spans="1:15">
      <c r="A1834">
        <v>1213</v>
      </c>
      <c r="B1834" t="str">
        <f t="shared" si="56"/>
        <v>2023-06</v>
      </c>
      <c r="C1834" s="1">
        <v>45098</v>
      </c>
      <c r="D1834" s="5">
        <v>0.72430555555555554</v>
      </c>
      <c r="E1834">
        <v>41</v>
      </c>
      <c r="F1834" t="s">
        <v>11</v>
      </c>
      <c r="G1834">
        <v>27</v>
      </c>
      <c r="H1834" t="s">
        <v>13</v>
      </c>
      <c r="I1834">
        <v>3</v>
      </c>
      <c r="J1834" s="6">
        <v>500</v>
      </c>
      <c r="K1834">
        <v>185</v>
      </c>
      <c r="L1834">
        <v>1500</v>
      </c>
      <c r="M1834" t="str">
        <f>IF(OR(I1834="",J1834="",L1834=""),"Incomplete","Complete")</f>
        <v>Complete</v>
      </c>
      <c r="N1834" t="str">
        <f>IF(M1834="Incomplete","Not checked",IF(ROUND(I1834*J1834,2)=ROUND(L1834,2),"Valid","Mismatch"))</f>
        <v>Valid</v>
      </c>
      <c r="O1834">
        <f t="shared" si="57"/>
        <v>1315</v>
      </c>
    </row>
    <row r="1835" spans="1:15">
      <c r="A1835">
        <v>1487</v>
      </c>
      <c r="B1835" t="str">
        <f t="shared" si="56"/>
        <v>2023-02</v>
      </c>
      <c r="C1835" s="1">
        <v>44958</v>
      </c>
      <c r="D1835" s="5">
        <v>0.79236111111111107</v>
      </c>
      <c r="E1835">
        <v>131</v>
      </c>
      <c r="F1835" t="s">
        <v>11</v>
      </c>
      <c r="G1835">
        <v>44</v>
      </c>
      <c r="H1835" t="s">
        <v>12</v>
      </c>
      <c r="I1835">
        <v>4</v>
      </c>
      <c r="J1835" s="6">
        <v>500</v>
      </c>
      <c r="K1835">
        <v>140</v>
      </c>
      <c r="L1835">
        <v>2000</v>
      </c>
      <c r="M1835" t="str">
        <f>IF(OR(I1835="",J1835="",L1835=""),"Incomplete","Complete")</f>
        <v>Complete</v>
      </c>
      <c r="N1835" t="str">
        <f>IF(M1835="Incomplete","Not checked",IF(ROUND(I1835*J1835,2)=ROUND(L1835,2),"Valid","Mismatch"))</f>
        <v>Valid</v>
      </c>
      <c r="O1835">
        <f t="shared" si="57"/>
        <v>1860</v>
      </c>
    </row>
    <row r="1836" spans="1:15">
      <c r="A1836">
        <v>1605</v>
      </c>
      <c r="B1836" t="str">
        <f t="shared" si="56"/>
        <v>2022-01</v>
      </c>
      <c r="C1836" s="1">
        <v>44585</v>
      </c>
      <c r="D1836" s="5">
        <v>0.81874999999999998</v>
      </c>
      <c r="E1836">
        <v>2</v>
      </c>
      <c r="F1836" t="s">
        <v>11</v>
      </c>
      <c r="G1836">
        <v>37</v>
      </c>
      <c r="H1836" t="s">
        <v>15</v>
      </c>
      <c r="I1836">
        <v>2</v>
      </c>
      <c r="J1836" s="6">
        <v>500</v>
      </c>
      <c r="K1836">
        <v>165</v>
      </c>
      <c r="L1836">
        <v>1000</v>
      </c>
      <c r="M1836" t="str">
        <f>IF(OR(I1836="",J1836="",L1836=""),"Incomplete","Complete")</f>
        <v>Complete</v>
      </c>
      <c r="N1836" t="str">
        <f>IF(M1836="Incomplete","Not checked",IF(ROUND(I1836*J1836,2)=ROUND(L1836,2),"Valid","Mismatch"))</f>
        <v>Valid</v>
      </c>
      <c r="O1836">
        <f t="shared" si="57"/>
        <v>835</v>
      </c>
    </row>
    <row r="1837" spans="1:15">
      <c r="A1837">
        <v>105</v>
      </c>
      <c r="B1837" t="str">
        <f t="shared" si="56"/>
        <v>2023-06</v>
      </c>
      <c r="C1837" s="1">
        <v>45095</v>
      </c>
      <c r="D1837" s="5">
        <v>0.75347222222222221</v>
      </c>
      <c r="E1837">
        <v>82</v>
      </c>
      <c r="F1837" t="s">
        <v>14</v>
      </c>
      <c r="G1837">
        <v>22</v>
      </c>
      <c r="H1837" t="s">
        <v>15</v>
      </c>
      <c r="I1837">
        <v>1</v>
      </c>
      <c r="J1837" s="6">
        <v>500</v>
      </c>
      <c r="K1837">
        <v>230</v>
      </c>
      <c r="L1837">
        <v>500</v>
      </c>
      <c r="M1837" t="str">
        <f>IF(OR(I1837="",J1837="",L1837=""),"Incomplete","Complete")</f>
        <v>Complete</v>
      </c>
      <c r="N1837" t="str">
        <f>IF(M1837="Incomplete","Not checked",IF(ROUND(I1837*J1837,2)=ROUND(L1837,2),"Valid","Mismatch"))</f>
        <v>Valid</v>
      </c>
      <c r="O1837">
        <f t="shared" si="57"/>
        <v>270</v>
      </c>
    </row>
    <row r="1838" spans="1:15">
      <c r="A1838">
        <v>299</v>
      </c>
      <c r="B1838" t="str">
        <f t="shared" si="56"/>
        <v>2023-01</v>
      </c>
      <c r="C1838" s="1">
        <v>44951</v>
      </c>
      <c r="D1838" s="5">
        <v>0.8354166666666667</v>
      </c>
      <c r="E1838">
        <v>76</v>
      </c>
      <c r="F1838" t="s">
        <v>11</v>
      </c>
      <c r="G1838">
        <v>61</v>
      </c>
      <c r="H1838" t="s">
        <v>15</v>
      </c>
      <c r="I1838">
        <v>2</v>
      </c>
      <c r="J1838" s="6">
        <v>500</v>
      </c>
      <c r="K1838">
        <v>230</v>
      </c>
      <c r="L1838">
        <v>1000</v>
      </c>
      <c r="M1838" t="str">
        <f>IF(OR(I1838="",J1838="",L1838=""),"Incomplete","Complete")</f>
        <v>Complete</v>
      </c>
      <c r="N1838" t="str">
        <f>IF(M1838="Incomplete","Not checked",IF(ROUND(I1838*J1838,2)=ROUND(L1838,2),"Valid","Mismatch"))</f>
        <v>Valid</v>
      </c>
      <c r="O1838">
        <f t="shared" si="57"/>
        <v>770</v>
      </c>
    </row>
    <row r="1839" spans="1:15">
      <c r="A1839">
        <v>934</v>
      </c>
      <c r="B1839" t="str">
        <f t="shared" si="56"/>
        <v>2022-11</v>
      </c>
      <c r="C1839" s="1">
        <v>44887</v>
      </c>
      <c r="D1839" s="5">
        <v>0.76388888888888884</v>
      </c>
      <c r="E1839">
        <v>111</v>
      </c>
      <c r="F1839" t="s">
        <v>11</v>
      </c>
      <c r="G1839">
        <v>30</v>
      </c>
      <c r="H1839" t="s">
        <v>13</v>
      </c>
      <c r="I1839">
        <v>1</v>
      </c>
      <c r="J1839" s="6">
        <v>500</v>
      </c>
      <c r="K1839">
        <v>240</v>
      </c>
      <c r="L1839">
        <v>500</v>
      </c>
      <c r="M1839" t="str">
        <f>IF(OR(I1839="",J1839="",L1839=""),"Incomplete","Complete")</f>
        <v>Complete</v>
      </c>
      <c r="N1839" t="str">
        <f>IF(M1839="Incomplete","Not checked",IF(ROUND(I1839*J1839,2)=ROUND(L1839,2),"Valid","Mismatch"))</f>
        <v>Valid</v>
      </c>
      <c r="O1839">
        <f t="shared" si="57"/>
        <v>260</v>
      </c>
    </row>
    <row r="1840" spans="1:15">
      <c r="A1840">
        <v>1105</v>
      </c>
      <c r="B1840" t="str">
        <f t="shared" si="56"/>
        <v>2022-11</v>
      </c>
      <c r="C1840" s="1">
        <v>44877</v>
      </c>
      <c r="D1840" s="5">
        <v>0.79791666666666672</v>
      </c>
      <c r="E1840">
        <v>19</v>
      </c>
      <c r="F1840" t="s">
        <v>14</v>
      </c>
      <c r="G1840">
        <v>22</v>
      </c>
      <c r="H1840" t="s">
        <v>15</v>
      </c>
      <c r="I1840">
        <v>1</v>
      </c>
      <c r="J1840" s="6">
        <v>500</v>
      </c>
      <c r="K1840">
        <v>270</v>
      </c>
      <c r="L1840">
        <v>500</v>
      </c>
      <c r="M1840" t="str">
        <f>IF(OR(I1840="",J1840="",L1840=""),"Incomplete","Complete")</f>
        <v>Complete</v>
      </c>
      <c r="N1840" t="str">
        <f>IF(M1840="Incomplete","Not checked",IF(ROUND(I1840*J1840,2)=ROUND(L1840,2),"Valid","Mismatch"))</f>
        <v>Valid</v>
      </c>
      <c r="O1840">
        <f t="shared" si="57"/>
        <v>230</v>
      </c>
    </row>
    <row r="1841" spans="1:15">
      <c r="A1841">
        <v>1299</v>
      </c>
      <c r="B1841" t="str">
        <f t="shared" si="56"/>
        <v>2022-05</v>
      </c>
      <c r="C1841" s="1">
        <v>44689</v>
      </c>
      <c r="D1841" s="5">
        <v>0.79027777777777775</v>
      </c>
      <c r="E1841">
        <v>11</v>
      </c>
      <c r="F1841" t="s">
        <v>11</v>
      </c>
      <c r="G1841">
        <v>61</v>
      </c>
      <c r="H1841" t="s">
        <v>15</v>
      </c>
      <c r="I1841">
        <v>2</v>
      </c>
      <c r="J1841" s="6">
        <v>500</v>
      </c>
      <c r="K1841">
        <v>250</v>
      </c>
      <c r="L1841">
        <v>1000</v>
      </c>
      <c r="M1841" t="str">
        <f>IF(OR(I1841="",J1841="",L1841=""),"Incomplete","Complete")</f>
        <v>Complete</v>
      </c>
      <c r="N1841" t="str">
        <f>IF(M1841="Incomplete","Not checked",IF(ROUND(I1841*J1841,2)=ROUND(L1841,2),"Valid","Mismatch"))</f>
        <v>Valid</v>
      </c>
      <c r="O1841">
        <f t="shared" si="57"/>
        <v>750</v>
      </c>
    </row>
    <row r="1842" spans="1:15">
      <c r="A1842">
        <v>1934</v>
      </c>
      <c r="B1842" t="str">
        <f t="shared" si="56"/>
        <v>2022-09</v>
      </c>
      <c r="C1842" s="1">
        <v>44812</v>
      </c>
      <c r="D1842" s="5">
        <v>0.71250000000000002</v>
      </c>
      <c r="E1842">
        <v>69</v>
      </c>
      <c r="F1842" t="s">
        <v>11</v>
      </c>
      <c r="G1842">
        <v>30</v>
      </c>
      <c r="H1842" t="s">
        <v>13</v>
      </c>
      <c r="I1842">
        <v>1</v>
      </c>
      <c r="J1842" s="6">
        <v>500</v>
      </c>
      <c r="K1842">
        <v>150</v>
      </c>
      <c r="L1842">
        <v>500</v>
      </c>
      <c r="M1842" t="str">
        <f>IF(OR(I1842="",J1842="",L1842=""),"Incomplete","Complete")</f>
        <v>Complete</v>
      </c>
      <c r="N1842" t="str">
        <f>IF(M1842="Incomplete","Not checked",IF(ROUND(I1842*J1842,2)=ROUND(L1842,2),"Valid","Mismatch"))</f>
        <v>Valid</v>
      </c>
      <c r="O1842">
        <f t="shared" si="57"/>
        <v>350</v>
      </c>
    </row>
    <row r="1843" spans="1:15">
      <c r="A1843">
        <v>864</v>
      </c>
      <c r="B1843" t="str">
        <f t="shared" si="56"/>
        <v>2023-07</v>
      </c>
      <c r="C1843" s="1">
        <v>45138</v>
      </c>
      <c r="D1843" s="5">
        <v>0.92777777777777781</v>
      </c>
      <c r="E1843">
        <v>139</v>
      </c>
      <c r="F1843" t="s">
        <v>14</v>
      </c>
      <c r="G1843">
        <v>51</v>
      </c>
      <c r="H1843" t="s">
        <v>15</v>
      </c>
      <c r="I1843">
        <v>1</v>
      </c>
      <c r="J1843" s="6">
        <v>500</v>
      </c>
      <c r="K1843">
        <v>215</v>
      </c>
      <c r="L1843">
        <v>500</v>
      </c>
      <c r="M1843" t="str">
        <f>IF(OR(I1843="",J1843="",L1843=""),"Incomplete","Complete")</f>
        <v>Complete</v>
      </c>
      <c r="N1843" t="str">
        <f>IF(M1843="Incomplete","Not checked",IF(ROUND(I1843*J1843,2)=ROUND(L1843,2),"Valid","Mismatch"))</f>
        <v>Valid</v>
      </c>
      <c r="O1843">
        <f t="shared" si="57"/>
        <v>285</v>
      </c>
    </row>
    <row r="1844" spans="1:15">
      <c r="A1844">
        <v>1864</v>
      </c>
      <c r="B1844" t="str">
        <f t="shared" si="56"/>
        <v>2023-04</v>
      </c>
      <c r="C1844" s="1">
        <v>45046</v>
      </c>
      <c r="D1844" s="5">
        <v>0.875</v>
      </c>
      <c r="E1844">
        <v>112</v>
      </c>
      <c r="F1844" t="s">
        <v>14</v>
      </c>
      <c r="G1844">
        <v>51</v>
      </c>
      <c r="H1844" t="s">
        <v>15</v>
      </c>
      <c r="I1844">
        <v>1</v>
      </c>
      <c r="J1844" s="6">
        <v>500</v>
      </c>
      <c r="K1844">
        <v>190</v>
      </c>
      <c r="L1844">
        <v>500</v>
      </c>
      <c r="M1844" t="str">
        <f>IF(OR(I1844="",J1844="",L1844=""),"Incomplete","Complete")</f>
        <v>Complete</v>
      </c>
      <c r="N1844" t="str">
        <f>IF(M1844="Incomplete","Not checked",IF(ROUND(I1844*J1844,2)=ROUND(L1844,2),"Valid","Mismatch"))</f>
        <v>Valid</v>
      </c>
      <c r="O1844">
        <f t="shared" si="57"/>
        <v>310</v>
      </c>
    </row>
    <row r="1845" spans="1:15">
      <c r="A1845">
        <v>254</v>
      </c>
      <c r="B1845" t="str">
        <f t="shared" si="56"/>
        <v>2022-12</v>
      </c>
      <c r="C1845" s="1">
        <v>44909</v>
      </c>
      <c r="D1845" s="5">
        <v>0.94791666666666663</v>
      </c>
      <c r="E1845">
        <v>104</v>
      </c>
      <c r="F1845" t="s">
        <v>11</v>
      </c>
      <c r="G1845">
        <v>41</v>
      </c>
      <c r="H1845" t="s">
        <v>15</v>
      </c>
      <c r="I1845">
        <v>1</v>
      </c>
      <c r="J1845" s="6">
        <v>500</v>
      </c>
      <c r="K1845">
        <v>165</v>
      </c>
      <c r="L1845">
        <v>500</v>
      </c>
      <c r="M1845" t="str">
        <f>IF(OR(I1845="",J1845="",L1845=""),"Incomplete","Complete")</f>
        <v>Complete</v>
      </c>
      <c r="N1845" t="str">
        <f>IF(M1845="Incomplete","Not checked",IF(ROUND(I1845*J1845,2)=ROUND(L1845,2),"Valid","Mismatch"))</f>
        <v>Valid</v>
      </c>
      <c r="O1845">
        <f t="shared" si="57"/>
        <v>335</v>
      </c>
    </row>
    <row r="1846" spans="1:15">
      <c r="A1846">
        <v>850</v>
      </c>
      <c r="B1846" t="str">
        <f t="shared" si="56"/>
        <v>2023-09</v>
      </c>
      <c r="C1846" s="1">
        <v>45183</v>
      </c>
      <c r="D1846" s="5">
        <v>0.79236111111111107</v>
      </c>
      <c r="E1846">
        <v>58</v>
      </c>
      <c r="F1846" t="s">
        <v>14</v>
      </c>
      <c r="G1846">
        <v>26</v>
      </c>
      <c r="H1846" t="s">
        <v>13</v>
      </c>
      <c r="I1846">
        <v>2</v>
      </c>
      <c r="J1846" s="6">
        <v>500</v>
      </c>
      <c r="K1846">
        <v>235</v>
      </c>
      <c r="L1846">
        <v>1000</v>
      </c>
      <c r="M1846" t="str">
        <f>IF(OR(I1846="",J1846="",L1846=""),"Incomplete","Complete")</f>
        <v>Complete</v>
      </c>
      <c r="N1846" t="str">
        <f>IF(M1846="Incomplete","Not checked",IF(ROUND(I1846*J1846,2)=ROUND(L1846,2),"Valid","Mismatch"))</f>
        <v>Valid</v>
      </c>
      <c r="O1846">
        <f t="shared" si="57"/>
        <v>765</v>
      </c>
    </row>
    <row r="1847" spans="1:15">
      <c r="A1847">
        <v>1254</v>
      </c>
      <c r="B1847" t="str">
        <f t="shared" si="56"/>
        <v>2023-04</v>
      </c>
      <c r="C1847" s="1">
        <v>45028</v>
      </c>
      <c r="D1847" s="5">
        <v>0.76666666666666672</v>
      </c>
      <c r="E1847">
        <v>86</v>
      </c>
      <c r="F1847" t="s">
        <v>11</v>
      </c>
      <c r="G1847">
        <v>41</v>
      </c>
      <c r="H1847" t="s">
        <v>15</v>
      </c>
      <c r="I1847">
        <v>1</v>
      </c>
      <c r="J1847" s="6">
        <v>500</v>
      </c>
      <c r="K1847">
        <v>180</v>
      </c>
      <c r="L1847">
        <v>500</v>
      </c>
      <c r="M1847" t="str">
        <f>IF(OR(I1847="",J1847="",L1847=""),"Incomplete","Complete")</f>
        <v>Complete</v>
      </c>
      <c r="N1847" t="str">
        <f>IF(M1847="Incomplete","Not checked",IF(ROUND(I1847*J1847,2)=ROUND(L1847,2),"Valid","Mismatch"))</f>
        <v>Valid</v>
      </c>
      <c r="O1847">
        <f t="shared" si="57"/>
        <v>320</v>
      </c>
    </row>
    <row r="1848" spans="1:15">
      <c r="A1848">
        <v>1850</v>
      </c>
      <c r="B1848" t="str">
        <f t="shared" si="56"/>
        <v>2022-02</v>
      </c>
      <c r="C1848" s="1">
        <v>44608</v>
      </c>
      <c r="D1848" s="5">
        <v>0.86388888888888893</v>
      </c>
      <c r="E1848">
        <v>154</v>
      </c>
      <c r="F1848" t="s">
        <v>14</v>
      </c>
      <c r="G1848">
        <v>26</v>
      </c>
      <c r="H1848" t="s">
        <v>13</v>
      </c>
      <c r="I1848">
        <v>2</v>
      </c>
      <c r="J1848" s="6">
        <v>500</v>
      </c>
      <c r="K1848">
        <v>240</v>
      </c>
      <c r="L1848">
        <v>1000</v>
      </c>
      <c r="M1848" t="str">
        <f>IF(OR(I1848="",J1848="",L1848=""),"Incomplete","Complete")</f>
        <v>Complete</v>
      </c>
      <c r="N1848" t="str">
        <f>IF(M1848="Incomplete","Not checked",IF(ROUND(I1848*J1848,2)=ROUND(L1848,2),"Valid","Mismatch"))</f>
        <v>Valid</v>
      </c>
      <c r="O1848">
        <f t="shared" si="57"/>
        <v>760</v>
      </c>
    </row>
    <row r="1849" spans="1:15">
      <c r="A1849">
        <v>541</v>
      </c>
      <c r="B1849" t="str">
        <f t="shared" si="56"/>
        <v>2022-12</v>
      </c>
      <c r="C1849" s="1">
        <v>44920</v>
      </c>
      <c r="D1849" s="5">
        <v>0.77569444444444446</v>
      </c>
      <c r="E1849">
        <v>39</v>
      </c>
      <c r="F1849" t="s">
        <v>11</v>
      </c>
      <c r="G1849">
        <v>56</v>
      </c>
      <c r="H1849" t="s">
        <v>13</v>
      </c>
      <c r="I1849">
        <v>1</v>
      </c>
      <c r="J1849" s="6">
        <v>500</v>
      </c>
      <c r="K1849">
        <v>215</v>
      </c>
      <c r="L1849">
        <v>500</v>
      </c>
      <c r="M1849" t="str">
        <f>IF(OR(I1849="",J1849="",L1849=""),"Incomplete","Complete")</f>
        <v>Complete</v>
      </c>
      <c r="N1849" t="str">
        <f>IF(M1849="Incomplete","Not checked",IF(ROUND(I1849*J1849,2)=ROUND(L1849,2),"Valid","Mismatch"))</f>
        <v>Valid</v>
      </c>
      <c r="O1849">
        <f t="shared" si="57"/>
        <v>285</v>
      </c>
    </row>
    <row r="1850" spans="1:15">
      <c r="A1850">
        <v>1541</v>
      </c>
      <c r="B1850" t="str">
        <f t="shared" si="56"/>
        <v>2023-10</v>
      </c>
      <c r="C1850" s="1">
        <v>45201</v>
      </c>
      <c r="D1850" s="5">
        <v>0.92847222222222225</v>
      </c>
      <c r="E1850">
        <v>57</v>
      </c>
      <c r="F1850" t="s">
        <v>11</v>
      </c>
      <c r="G1850">
        <v>56</v>
      </c>
      <c r="H1850" t="s">
        <v>13</v>
      </c>
      <c r="I1850">
        <v>1</v>
      </c>
      <c r="J1850" s="6">
        <v>500</v>
      </c>
      <c r="K1850">
        <v>195</v>
      </c>
      <c r="L1850">
        <v>500</v>
      </c>
      <c r="M1850" t="str">
        <f>IF(OR(I1850="",J1850="",L1850=""),"Incomplete","Complete")</f>
        <v>Complete</v>
      </c>
      <c r="N1850" t="str">
        <f>IF(M1850="Incomplete","Not checked",IF(ROUND(I1850*J1850,2)=ROUND(L1850,2),"Valid","Mismatch"))</f>
        <v>Valid</v>
      </c>
      <c r="O1850">
        <f t="shared" si="57"/>
        <v>305</v>
      </c>
    </row>
    <row r="1851" spans="1:15">
      <c r="A1851">
        <v>463</v>
      </c>
      <c r="B1851" t="str">
        <f t="shared" si="56"/>
        <v>2023-01</v>
      </c>
      <c r="C1851" s="1">
        <v>44955</v>
      </c>
      <c r="D1851" s="5">
        <v>0.84861111111111109</v>
      </c>
      <c r="E1851">
        <v>55</v>
      </c>
      <c r="F1851" t="s">
        <v>14</v>
      </c>
      <c r="G1851">
        <v>54</v>
      </c>
      <c r="H1851" t="s">
        <v>13</v>
      </c>
      <c r="I1851">
        <v>3</v>
      </c>
      <c r="J1851" s="6">
        <v>500</v>
      </c>
      <c r="K1851">
        <v>175</v>
      </c>
      <c r="L1851">
        <v>1500</v>
      </c>
      <c r="M1851" t="str">
        <f>IF(OR(I1851="",J1851="",L1851=""),"Incomplete","Complete")</f>
        <v>Complete</v>
      </c>
      <c r="N1851" t="str">
        <f>IF(M1851="Incomplete","Not checked",IF(ROUND(I1851*J1851,2)=ROUND(L1851,2),"Valid","Mismatch"))</f>
        <v>Valid</v>
      </c>
      <c r="O1851">
        <f t="shared" si="57"/>
        <v>1325</v>
      </c>
    </row>
    <row r="1852" spans="1:15">
      <c r="A1852">
        <v>1463</v>
      </c>
      <c r="B1852" t="str">
        <f t="shared" si="56"/>
        <v>2022-07</v>
      </c>
      <c r="C1852" s="1">
        <v>44771</v>
      </c>
      <c r="D1852" s="5">
        <v>0.82291666666666663</v>
      </c>
      <c r="E1852">
        <v>98</v>
      </c>
      <c r="F1852" t="s">
        <v>14</v>
      </c>
      <c r="G1852">
        <v>54</v>
      </c>
      <c r="H1852" t="s">
        <v>13</v>
      </c>
      <c r="I1852">
        <v>3</v>
      </c>
      <c r="J1852" s="6">
        <v>500</v>
      </c>
      <c r="K1852">
        <v>170</v>
      </c>
      <c r="L1852">
        <v>1500</v>
      </c>
      <c r="M1852" t="str">
        <f>IF(OR(I1852="",J1852="",L1852=""),"Incomplete","Complete")</f>
        <v>Complete</v>
      </c>
      <c r="N1852" t="str">
        <f>IF(M1852="Incomplete","Not checked",IF(ROUND(I1852*J1852,2)=ROUND(L1852,2),"Valid","Mismatch"))</f>
        <v>Valid</v>
      </c>
      <c r="O1852">
        <f t="shared" si="57"/>
        <v>1330</v>
      </c>
    </row>
    <row r="1853" spans="1:15">
      <c r="A1853">
        <v>667</v>
      </c>
      <c r="B1853" t="str">
        <f t="shared" si="56"/>
        <v>2022-12</v>
      </c>
      <c r="C1853" s="1">
        <v>44896</v>
      </c>
      <c r="D1853" s="5">
        <v>0.78194444444444444</v>
      </c>
      <c r="E1853">
        <v>22</v>
      </c>
      <c r="F1853" t="s">
        <v>14</v>
      </c>
      <c r="G1853">
        <v>29</v>
      </c>
      <c r="H1853" t="s">
        <v>15</v>
      </c>
      <c r="I1853">
        <v>1</v>
      </c>
      <c r="J1853" s="6">
        <v>500</v>
      </c>
      <c r="K1853">
        <v>190</v>
      </c>
      <c r="L1853">
        <v>500</v>
      </c>
      <c r="M1853" t="str">
        <f>IF(OR(I1853="",J1853="",L1853=""),"Incomplete","Complete")</f>
        <v>Complete</v>
      </c>
      <c r="N1853" t="str">
        <f>IF(M1853="Incomplete","Not checked",IF(ROUND(I1853*J1853,2)=ROUND(L1853,2),"Valid","Mismatch"))</f>
        <v>Valid</v>
      </c>
      <c r="O1853">
        <f t="shared" si="57"/>
        <v>310</v>
      </c>
    </row>
    <row r="1854" spans="1:15">
      <c r="A1854">
        <v>1667</v>
      </c>
      <c r="B1854" t="str">
        <f t="shared" si="56"/>
        <v>2022-07</v>
      </c>
      <c r="C1854" s="1">
        <v>44746</v>
      </c>
      <c r="D1854" s="5">
        <v>0.79791666666666672</v>
      </c>
      <c r="E1854">
        <v>40</v>
      </c>
      <c r="F1854" t="s">
        <v>14</v>
      </c>
      <c r="G1854">
        <v>29</v>
      </c>
      <c r="H1854" t="s">
        <v>15</v>
      </c>
      <c r="I1854">
        <v>1</v>
      </c>
      <c r="J1854" s="6">
        <v>500</v>
      </c>
      <c r="K1854">
        <v>125</v>
      </c>
      <c r="L1854">
        <v>500</v>
      </c>
      <c r="M1854" t="str">
        <f>IF(OR(I1854="",J1854="",L1854=""),"Incomplete","Complete")</f>
        <v>Complete</v>
      </c>
      <c r="N1854" t="str">
        <f>IF(M1854="Incomplete","Not checked",IF(ROUND(I1854*J1854,2)=ROUND(L1854,2),"Valid","Mismatch"))</f>
        <v>Valid</v>
      </c>
      <c r="O1854">
        <f t="shared" si="57"/>
        <v>375</v>
      </c>
    </row>
    <row r="1855" spans="1:15">
      <c r="A1855">
        <v>13</v>
      </c>
      <c r="B1855" t="str">
        <f t="shared" si="56"/>
        <v>2023-02</v>
      </c>
      <c r="C1855" s="1">
        <v>44965</v>
      </c>
      <c r="D1855" s="5">
        <v>0.73819444444444449</v>
      </c>
      <c r="E1855">
        <v>106</v>
      </c>
      <c r="F1855" t="s">
        <v>11</v>
      </c>
      <c r="G1855">
        <v>22</v>
      </c>
      <c r="H1855" t="s">
        <v>15</v>
      </c>
      <c r="I1855">
        <v>3</v>
      </c>
      <c r="J1855" s="6">
        <v>500</v>
      </c>
      <c r="K1855">
        <v>245</v>
      </c>
      <c r="L1855">
        <v>1500</v>
      </c>
      <c r="M1855" t="str">
        <f>IF(OR(I1855="",J1855="",L1855=""),"Incomplete","Complete")</f>
        <v>Complete</v>
      </c>
      <c r="N1855" t="str">
        <f>IF(M1855="Incomplete","Not checked",IF(ROUND(I1855*J1855,2)=ROUND(L1855,2),"Valid","Mismatch"))</f>
        <v>Valid</v>
      </c>
      <c r="O1855">
        <f t="shared" si="57"/>
        <v>1255</v>
      </c>
    </row>
    <row r="1856" spans="1:15">
      <c r="A1856">
        <v>279</v>
      </c>
      <c r="B1856" t="str">
        <f t="shared" si="56"/>
        <v>2023-08</v>
      </c>
      <c r="C1856" s="1">
        <v>45148</v>
      </c>
      <c r="D1856" s="5">
        <v>0.72847222222222219</v>
      </c>
      <c r="E1856">
        <v>38</v>
      </c>
      <c r="F1856" t="s">
        <v>11</v>
      </c>
      <c r="G1856">
        <v>50</v>
      </c>
      <c r="H1856" t="s">
        <v>12</v>
      </c>
      <c r="I1856">
        <v>1</v>
      </c>
      <c r="J1856" s="6">
        <v>500</v>
      </c>
      <c r="K1856">
        <v>210</v>
      </c>
      <c r="L1856">
        <v>500</v>
      </c>
      <c r="M1856" t="str">
        <f>IF(OR(I1856="",J1856="",L1856=""),"Incomplete","Complete")</f>
        <v>Complete</v>
      </c>
      <c r="N1856" t="str">
        <f>IF(M1856="Incomplete","Not checked",IF(ROUND(I1856*J1856,2)=ROUND(L1856,2),"Valid","Mismatch"))</f>
        <v>Valid</v>
      </c>
      <c r="O1856">
        <f t="shared" si="57"/>
        <v>290</v>
      </c>
    </row>
    <row r="1857" spans="1:15">
      <c r="A1857">
        <v>418</v>
      </c>
      <c r="B1857" t="str">
        <f t="shared" si="56"/>
        <v>2022-04</v>
      </c>
      <c r="C1857" s="1">
        <v>44652</v>
      </c>
      <c r="D1857" s="5">
        <v>0.75347222222222221</v>
      </c>
      <c r="E1857">
        <v>95</v>
      </c>
      <c r="F1857" t="s">
        <v>14</v>
      </c>
      <c r="G1857">
        <v>60</v>
      </c>
      <c r="H1857" t="s">
        <v>15</v>
      </c>
      <c r="I1857">
        <v>2</v>
      </c>
      <c r="J1857" s="6">
        <v>500</v>
      </c>
      <c r="K1857">
        <v>155</v>
      </c>
      <c r="L1857">
        <v>1000</v>
      </c>
      <c r="M1857" t="str">
        <f>IF(OR(I1857="",J1857="",L1857=""),"Incomplete","Complete")</f>
        <v>Complete</v>
      </c>
      <c r="N1857" t="str">
        <f>IF(M1857="Incomplete","Not checked",IF(ROUND(I1857*J1857,2)=ROUND(L1857,2),"Valid","Mismatch"))</f>
        <v>Valid</v>
      </c>
      <c r="O1857">
        <f t="shared" si="57"/>
        <v>845</v>
      </c>
    </row>
    <row r="1858" spans="1:15">
      <c r="A1858">
        <v>1013</v>
      </c>
      <c r="B1858" t="str">
        <f t="shared" ref="B1858:B1921" si="58">TEXT(C1858,"yyyy-mm")</f>
        <v>2022-07</v>
      </c>
      <c r="C1858" s="1">
        <v>44758</v>
      </c>
      <c r="D1858" s="5">
        <v>0.81805555555555554</v>
      </c>
      <c r="E1858">
        <v>111</v>
      </c>
      <c r="F1858" t="s">
        <v>11</v>
      </c>
      <c r="G1858">
        <v>22</v>
      </c>
      <c r="H1858" t="s">
        <v>15</v>
      </c>
      <c r="I1858">
        <v>3</v>
      </c>
      <c r="J1858" s="6">
        <v>500</v>
      </c>
      <c r="K1858">
        <v>200</v>
      </c>
      <c r="L1858">
        <v>1500</v>
      </c>
      <c r="M1858" t="str">
        <f>IF(OR(I1858="",J1858="",L1858=""),"Incomplete","Complete")</f>
        <v>Complete</v>
      </c>
      <c r="N1858" t="str">
        <f>IF(M1858="Incomplete","Not checked",IF(ROUND(I1858*J1858,2)=ROUND(L1858,2),"Valid","Mismatch"))</f>
        <v>Valid</v>
      </c>
      <c r="O1858">
        <f t="shared" ref="O1858:O1921" si="59">IF(M1858="Incomplete","",L1858-K1858)</f>
        <v>1300</v>
      </c>
    </row>
    <row r="1859" spans="1:15">
      <c r="A1859">
        <v>1279</v>
      </c>
      <c r="B1859" t="str">
        <f t="shared" si="58"/>
        <v>2022-04</v>
      </c>
      <c r="C1859" s="1">
        <v>44672</v>
      </c>
      <c r="D1859" s="5">
        <v>0.95486111111111116</v>
      </c>
      <c r="E1859">
        <v>116</v>
      </c>
      <c r="F1859" t="s">
        <v>11</v>
      </c>
      <c r="G1859">
        <v>50</v>
      </c>
      <c r="H1859" t="s">
        <v>12</v>
      </c>
      <c r="I1859">
        <v>1</v>
      </c>
      <c r="J1859" s="6">
        <v>500</v>
      </c>
      <c r="K1859">
        <v>170</v>
      </c>
      <c r="L1859">
        <v>500</v>
      </c>
      <c r="M1859" t="str">
        <f>IF(OR(I1859="",J1859="",L1859=""),"Incomplete","Complete")</f>
        <v>Complete</v>
      </c>
      <c r="N1859" t="str">
        <f>IF(M1859="Incomplete","Not checked",IF(ROUND(I1859*J1859,2)=ROUND(L1859,2),"Valid","Mismatch"))</f>
        <v>Valid</v>
      </c>
      <c r="O1859">
        <f t="shared" si="59"/>
        <v>330</v>
      </c>
    </row>
    <row r="1860" spans="1:15">
      <c r="A1860">
        <v>1418</v>
      </c>
      <c r="B1860" t="str">
        <f t="shared" si="58"/>
        <v>2022-09</v>
      </c>
      <c r="C1860" s="1">
        <v>44821</v>
      </c>
      <c r="D1860" s="5">
        <v>0.7631944444444444</v>
      </c>
      <c r="E1860">
        <v>68</v>
      </c>
      <c r="F1860" t="s">
        <v>14</v>
      </c>
      <c r="G1860">
        <v>60</v>
      </c>
      <c r="H1860" t="s">
        <v>15</v>
      </c>
      <c r="I1860">
        <v>2</v>
      </c>
      <c r="J1860" s="6">
        <v>500</v>
      </c>
      <c r="K1860">
        <v>215</v>
      </c>
      <c r="L1860">
        <v>1000</v>
      </c>
      <c r="M1860" t="str">
        <f>IF(OR(I1860="",J1860="",L1860=""),"Incomplete","Complete")</f>
        <v>Complete</v>
      </c>
      <c r="N1860" t="str">
        <f>IF(M1860="Incomplete","Not checked",IF(ROUND(I1860*J1860,2)=ROUND(L1860,2),"Valid","Mismatch"))</f>
        <v>Valid</v>
      </c>
      <c r="O1860">
        <f t="shared" si="59"/>
        <v>785</v>
      </c>
    </row>
    <row r="1861" spans="1:15">
      <c r="A1861">
        <v>612</v>
      </c>
      <c r="B1861" t="str">
        <f t="shared" si="58"/>
        <v>2022-02</v>
      </c>
      <c r="C1861" s="1">
        <v>44615</v>
      </c>
      <c r="D1861" s="5">
        <v>0.79583333333333328</v>
      </c>
      <c r="E1861">
        <v>77</v>
      </c>
      <c r="F1861" t="s">
        <v>14</v>
      </c>
      <c r="G1861">
        <v>61</v>
      </c>
      <c r="H1861" t="s">
        <v>15</v>
      </c>
      <c r="I1861">
        <v>1</v>
      </c>
      <c r="J1861" s="6">
        <v>500</v>
      </c>
      <c r="K1861">
        <v>235</v>
      </c>
      <c r="L1861">
        <v>500</v>
      </c>
      <c r="M1861" t="str">
        <f>IF(OR(I1861="",J1861="",L1861=""),"Incomplete","Complete")</f>
        <v>Complete</v>
      </c>
      <c r="N1861" t="str">
        <f>IF(M1861="Incomplete","Not checked",IF(ROUND(I1861*J1861,2)=ROUND(L1861,2),"Valid","Mismatch"))</f>
        <v>Valid</v>
      </c>
      <c r="O1861">
        <f t="shared" si="59"/>
        <v>265</v>
      </c>
    </row>
    <row r="1862" spans="1:15">
      <c r="A1862">
        <v>875</v>
      </c>
      <c r="B1862" t="str">
        <f t="shared" si="58"/>
        <v>2023-11</v>
      </c>
      <c r="C1862" s="1">
        <v>45260</v>
      </c>
      <c r="D1862" s="5">
        <v>0.90763888888888888</v>
      </c>
      <c r="E1862">
        <v>134</v>
      </c>
      <c r="F1862" t="s">
        <v>14</v>
      </c>
      <c r="G1862">
        <v>51</v>
      </c>
      <c r="H1862" t="s">
        <v>15</v>
      </c>
      <c r="I1862">
        <v>4</v>
      </c>
      <c r="J1862" s="6">
        <v>500</v>
      </c>
      <c r="K1862">
        <v>135</v>
      </c>
      <c r="L1862">
        <v>2000</v>
      </c>
      <c r="M1862" t="str">
        <f>IF(OR(I1862="",J1862="",L1862=""),"Incomplete","Complete")</f>
        <v>Complete</v>
      </c>
      <c r="N1862" t="str">
        <f>IF(M1862="Incomplete","Not checked",IF(ROUND(I1862*J1862,2)=ROUND(L1862,2),"Valid","Mismatch"))</f>
        <v>Valid</v>
      </c>
      <c r="O1862">
        <f t="shared" si="59"/>
        <v>1865</v>
      </c>
    </row>
    <row r="1863" spans="1:15">
      <c r="A1863">
        <v>1612</v>
      </c>
      <c r="B1863" t="str">
        <f t="shared" si="58"/>
        <v>2022-12</v>
      </c>
      <c r="C1863" s="1">
        <v>44913</v>
      </c>
      <c r="D1863" s="5">
        <v>0.88472222222222219</v>
      </c>
      <c r="E1863">
        <v>140</v>
      </c>
      <c r="F1863" t="s">
        <v>14</v>
      </c>
      <c r="G1863">
        <v>61</v>
      </c>
      <c r="H1863" t="s">
        <v>15</v>
      </c>
      <c r="I1863">
        <v>1</v>
      </c>
      <c r="J1863" s="6">
        <v>500</v>
      </c>
      <c r="K1863">
        <v>230</v>
      </c>
      <c r="L1863">
        <v>500</v>
      </c>
      <c r="M1863" t="str">
        <f>IF(OR(I1863="",J1863="",L1863=""),"Incomplete","Complete")</f>
        <v>Complete</v>
      </c>
      <c r="N1863" t="str">
        <f>IF(M1863="Incomplete","Not checked",IF(ROUND(I1863*J1863,2)=ROUND(L1863,2),"Valid","Mismatch"))</f>
        <v>Valid</v>
      </c>
      <c r="O1863">
        <f t="shared" si="59"/>
        <v>270</v>
      </c>
    </row>
    <row r="1864" spans="1:15">
      <c r="A1864">
        <v>1875</v>
      </c>
      <c r="B1864" t="str">
        <f t="shared" si="58"/>
        <v>2022-06</v>
      </c>
      <c r="C1864" s="1">
        <v>44715</v>
      </c>
      <c r="D1864" s="5">
        <v>0.9458333333333333</v>
      </c>
      <c r="E1864">
        <v>141</v>
      </c>
      <c r="F1864" t="s">
        <v>14</v>
      </c>
      <c r="G1864">
        <v>51</v>
      </c>
      <c r="H1864" t="s">
        <v>15</v>
      </c>
      <c r="I1864">
        <v>4</v>
      </c>
      <c r="J1864" s="6">
        <v>500</v>
      </c>
      <c r="K1864">
        <v>165</v>
      </c>
      <c r="L1864">
        <v>2000</v>
      </c>
      <c r="M1864" t="str">
        <f>IF(OR(I1864="",J1864="",L1864=""),"Incomplete","Complete")</f>
        <v>Complete</v>
      </c>
      <c r="N1864" t="str">
        <f>IF(M1864="Incomplete","Not checked",IF(ROUND(I1864*J1864,2)=ROUND(L1864,2),"Valid","Mismatch"))</f>
        <v>Valid</v>
      </c>
      <c r="O1864">
        <f t="shared" si="59"/>
        <v>1835</v>
      </c>
    </row>
    <row r="1865" spans="1:15">
      <c r="A1865">
        <v>816</v>
      </c>
      <c r="B1865" t="str">
        <f t="shared" si="58"/>
        <v>2023-09</v>
      </c>
      <c r="C1865" s="1">
        <v>45196</v>
      </c>
      <c r="D1865" s="5">
        <v>0.81180555555555556</v>
      </c>
      <c r="E1865">
        <v>133</v>
      </c>
      <c r="F1865" t="s">
        <v>11</v>
      </c>
      <c r="G1865">
        <v>47</v>
      </c>
      <c r="H1865" t="s">
        <v>13</v>
      </c>
      <c r="I1865">
        <v>2</v>
      </c>
      <c r="J1865" s="6">
        <v>500</v>
      </c>
      <c r="K1865">
        <v>240</v>
      </c>
      <c r="L1865">
        <v>1000</v>
      </c>
      <c r="M1865" t="str">
        <f>IF(OR(I1865="",J1865="",L1865=""),"Incomplete","Complete")</f>
        <v>Complete</v>
      </c>
      <c r="N1865" t="str">
        <f>IF(M1865="Incomplete","Not checked",IF(ROUND(I1865*J1865,2)=ROUND(L1865,2),"Valid","Mismatch"))</f>
        <v>Valid</v>
      </c>
      <c r="O1865">
        <f t="shared" si="59"/>
        <v>760</v>
      </c>
    </row>
    <row r="1866" spans="1:15">
      <c r="A1866">
        <v>1816</v>
      </c>
      <c r="B1866" t="str">
        <f t="shared" si="58"/>
        <v>2022-06</v>
      </c>
      <c r="C1866" s="1">
        <v>44729</v>
      </c>
      <c r="D1866" s="5">
        <v>0.9375</v>
      </c>
      <c r="E1866">
        <v>52</v>
      </c>
      <c r="F1866" t="s">
        <v>11</v>
      </c>
      <c r="G1866">
        <v>47</v>
      </c>
      <c r="H1866" t="s">
        <v>13</v>
      </c>
      <c r="I1866">
        <v>2</v>
      </c>
      <c r="J1866" s="6">
        <v>500</v>
      </c>
      <c r="K1866">
        <v>245</v>
      </c>
      <c r="L1866">
        <v>1000</v>
      </c>
      <c r="M1866" t="str">
        <f>IF(OR(I1866="",J1866="",L1866=""),"Incomplete","Complete")</f>
        <v>Complete</v>
      </c>
      <c r="N1866" t="str">
        <f>IF(M1866="Incomplete","Not checked",IF(ROUND(I1866*J1866,2)=ROUND(L1866,2),"Valid","Mismatch"))</f>
        <v>Valid</v>
      </c>
      <c r="O1866">
        <f t="shared" si="59"/>
        <v>755</v>
      </c>
    </row>
    <row r="1867" spans="1:15">
      <c r="A1867">
        <v>384</v>
      </c>
      <c r="B1867" t="str">
        <f t="shared" si="58"/>
        <v>2022-04</v>
      </c>
      <c r="C1867" s="1">
        <v>44661</v>
      </c>
      <c r="D1867" s="5">
        <v>0.82847222222222228</v>
      </c>
      <c r="E1867">
        <v>127</v>
      </c>
      <c r="F1867" t="s">
        <v>11</v>
      </c>
      <c r="G1867">
        <v>55</v>
      </c>
      <c r="H1867" t="s">
        <v>12</v>
      </c>
      <c r="I1867">
        <v>1</v>
      </c>
      <c r="J1867" s="6">
        <v>500</v>
      </c>
      <c r="K1867">
        <v>145</v>
      </c>
      <c r="L1867">
        <v>500</v>
      </c>
      <c r="M1867" t="str">
        <f>IF(OR(I1867="",J1867="",L1867=""),"Incomplete","Complete")</f>
        <v>Complete</v>
      </c>
      <c r="N1867" t="str">
        <f>IF(M1867="Incomplete","Not checked",IF(ROUND(I1867*J1867,2)=ROUND(L1867,2),"Valid","Mismatch"))</f>
        <v>Valid</v>
      </c>
      <c r="O1867">
        <f t="shared" si="59"/>
        <v>355</v>
      </c>
    </row>
    <row r="1868" spans="1:15">
      <c r="A1868">
        <v>1384</v>
      </c>
      <c r="B1868" t="str">
        <f t="shared" si="58"/>
        <v>2023-12</v>
      </c>
      <c r="C1868" s="1">
        <v>45277</v>
      </c>
      <c r="D1868" s="5">
        <v>0.84930555555555554</v>
      </c>
      <c r="E1868">
        <v>106</v>
      </c>
      <c r="F1868" t="s">
        <v>11</v>
      </c>
      <c r="G1868">
        <v>55</v>
      </c>
      <c r="H1868" t="s">
        <v>12</v>
      </c>
      <c r="I1868">
        <v>1</v>
      </c>
      <c r="J1868" s="6">
        <v>500</v>
      </c>
      <c r="K1868">
        <v>260</v>
      </c>
      <c r="L1868">
        <v>500</v>
      </c>
      <c r="M1868" t="str">
        <f>IF(OR(I1868="",J1868="",L1868=""),"Incomplete","Complete")</f>
        <v>Complete</v>
      </c>
      <c r="N1868" t="str">
        <f>IF(M1868="Incomplete","Not checked",IF(ROUND(I1868*J1868,2)=ROUND(L1868,2),"Valid","Mismatch"))</f>
        <v>Valid</v>
      </c>
      <c r="O1868">
        <f t="shared" si="59"/>
        <v>240</v>
      </c>
    </row>
    <row r="1869" spans="1:15">
      <c r="A1869">
        <v>570</v>
      </c>
      <c r="B1869" t="str">
        <f t="shared" si="58"/>
        <v>2022-06</v>
      </c>
      <c r="C1869" s="1">
        <v>44721</v>
      </c>
      <c r="D1869" s="5">
        <v>0.95347222222222228</v>
      </c>
      <c r="E1869">
        <v>91</v>
      </c>
      <c r="F1869" t="s">
        <v>11</v>
      </c>
      <c r="G1869">
        <v>49</v>
      </c>
      <c r="H1869" t="s">
        <v>12</v>
      </c>
      <c r="I1869">
        <v>1</v>
      </c>
      <c r="J1869" s="6">
        <v>500</v>
      </c>
      <c r="K1869">
        <v>185</v>
      </c>
      <c r="L1869">
        <v>500</v>
      </c>
      <c r="M1869" t="str">
        <f>IF(OR(I1869="",J1869="",L1869=""),"Incomplete","Complete")</f>
        <v>Complete</v>
      </c>
      <c r="N1869" t="str">
        <f>IF(M1869="Incomplete","Not checked",IF(ROUND(I1869*J1869,2)=ROUND(L1869,2),"Valid","Mismatch"))</f>
        <v>Valid</v>
      </c>
      <c r="O1869">
        <f t="shared" si="59"/>
        <v>315</v>
      </c>
    </row>
    <row r="1870" spans="1:15">
      <c r="A1870">
        <v>1570</v>
      </c>
      <c r="B1870" t="str">
        <f t="shared" si="58"/>
        <v>2023-06</v>
      </c>
      <c r="C1870" s="1">
        <v>45092</v>
      </c>
      <c r="D1870" s="5">
        <v>0.93888888888888888</v>
      </c>
      <c r="E1870">
        <v>109</v>
      </c>
      <c r="F1870" t="s">
        <v>11</v>
      </c>
      <c r="G1870">
        <v>49</v>
      </c>
      <c r="H1870" t="s">
        <v>12</v>
      </c>
      <c r="I1870">
        <v>1</v>
      </c>
      <c r="J1870" s="6">
        <v>500</v>
      </c>
      <c r="K1870">
        <v>170</v>
      </c>
      <c r="L1870">
        <v>500</v>
      </c>
      <c r="M1870" t="str">
        <f>IF(OR(I1870="",J1870="",L1870=""),"Incomplete","Complete")</f>
        <v>Complete</v>
      </c>
      <c r="N1870" t="str">
        <f>IF(M1870="Incomplete","Not checked",IF(ROUND(I1870*J1870,2)=ROUND(L1870,2),"Valid","Mismatch"))</f>
        <v>Valid</v>
      </c>
      <c r="O1870">
        <f t="shared" si="59"/>
        <v>330</v>
      </c>
    </row>
    <row r="1871" spans="1:15">
      <c r="A1871">
        <v>859</v>
      </c>
      <c r="B1871" t="str">
        <f t="shared" si="58"/>
        <v>2022-09</v>
      </c>
      <c r="C1871" s="1">
        <v>44824</v>
      </c>
      <c r="D1871" s="5">
        <v>0.91111111111111109</v>
      </c>
      <c r="E1871">
        <v>46</v>
      </c>
      <c r="F1871" t="s">
        <v>14</v>
      </c>
      <c r="G1871">
        <v>56</v>
      </c>
      <c r="H1871" t="s">
        <v>15</v>
      </c>
      <c r="I1871">
        <v>3</v>
      </c>
      <c r="J1871" s="6">
        <v>500</v>
      </c>
      <c r="K1871">
        <v>190</v>
      </c>
      <c r="L1871">
        <v>1500</v>
      </c>
      <c r="M1871" t="str">
        <f>IF(OR(I1871="",J1871="",L1871=""),"Incomplete","Complete")</f>
        <v>Complete</v>
      </c>
      <c r="N1871" t="str">
        <f>IF(M1871="Incomplete","Not checked",IF(ROUND(I1871*J1871,2)=ROUND(L1871,2),"Valid","Mismatch"))</f>
        <v>Valid</v>
      </c>
      <c r="O1871">
        <f t="shared" si="59"/>
        <v>1310</v>
      </c>
    </row>
    <row r="1872" spans="1:15">
      <c r="A1872">
        <v>1859</v>
      </c>
      <c r="B1872" t="str">
        <f t="shared" si="58"/>
        <v>2022-09</v>
      </c>
      <c r="C1872" s="1">
        <v>44818</v>
      </c>
      <c r="D1872" s="5">
        <v>0.87361111111111112</v>
      </c>
      <c r="E1872">
        <v>32</v>
      </c>
      <c r="F1872" t="s">
        <v>14</v>
      </c>
      <c r="G1872">
        <v>56</v>
      </c>
      <c r="H1872" t="s">
        <v>15</v>
      </c>
      <c r="I1872">
        <v>3</v>
      </c>
      <c r="J1872" s="6">
        <v>500</v>
      </c>
      <c r="K1872">
        <v>205</v>
      </c>
      <c r="L1872">
        <v>1500</v>
      </c>
      <c r="M1872" t="str">
        <f>IF(OR(I1872="",J1872="",L1872=""),"Incomplete","Complete")</f>
        <v>Complete</v>
      </c>
      <c r="N1872" t="str">
        <f>IF(M1872="Incomplete","Not checked",IF(ROUND(I1872*J1872,2)=ROUND(L1872,2),"Valid","Mismatch"))</f>
        <v>Valid</v>
      </c>
      <c r="O1872">
        <f t="shared" si="59"/>
        <v>1295</v>
      </c>
    </row>
    <row r="1873" spans="1:15">
      <c r="A1873">
        <v>638</v>
      </c>
      <c r="B1873" t="str">
        <f t="shared" si="58"/>
        <v>2023-01</v>
      </c>
      <c r="C1873" s="1">
        <v>44936</v>
      </c>
      <c r="D1873" s="5">
        <v>0.82777777777777772</v>
      </c>
      <c r="E1873">
        <v>154</v>
      </c>
      <c r="F1873" t="s">
        <v>11</v>
      </c>
      <c r="G1873">
        <v>46</v>
      </c>
      <c r="H1873" t="s">
        <v>15</v>
      </c>
      <c r="I1873">
        <v>1</v>
      </c>
      <c r="J1873" s="6">
        <v>500</v>
      </c>
      <c r="K1873">
        <v>190</v>
      </c>
      <c r="L1873">
        <v>500</v>
      </c>
      <c r="M1873" t="str">
        <f>IF(OR(I1873="",J1873="",L1873=""),"Incomplete","Complete")</f>
        <v>Complete</v>
      </c>
      <c r="N1873" t="str">
        <f>IF(M1873="Incomplete","Not checked",IF(ROUND(I1873*J1873,2)=ROUND(L1873,2),"Valid","Mismatch"))</f>
        <v>Valid</v>
      </c>
      <c r="O1873">
        <f t="shared" si="59"/>
        <v>310</v>
      </c>
    </row>
    <row r="1874" spans="1:15">
      <c r="A1874">
        <v>956</v>
      </c>
      <c r="B1874" t="str">
        <f t="shared" si="58"/>
        <v>2023-04</v>
      </c>
      <c r="C1874" s="1">
        <v>45040</v>
      </c>
      <c r="D1874" s="5">
        <v>0.90972222222222221</v>
      </c>
      <c r="E1874">
        <v>140</v>
      </c>
      <c r="F1874" t="s">
        <v>11</v>
      </c>
      <c r="G1874">
        <v>30</v>
      </c>
      <c r="H1874" t="s">
        <v>12</v>
      </c>
      <c r="I1874">
        <v>3</v>
      </c>
      <c r="J1874" s="6">
        <v>500</v>
      </c>
      <c r="K1874">
        <v>135</v>
      </c>
      <c r="L1874">
        <v>1500</v>
      </c>
      <c r="M1874" t="str">
        <f>IF(OR(I1874="",J1874="",L1874=""),"Incomplete","Complete")</f>
        <v>Complete</v>
      </c>
      <c r="N1874" t="str">
        <f>IF(M1874="Incomplete","Not checked",IF(ROUND(I1874*J1874,2)=ROUND(L1874,2),"Valid","Mismatch"))</f>
        <v>Valid</v>
      </c>
      <c r="O1874">
        <f t="shared" si="59"/>
        <v>1365</v>
      </c>
    </row>
    <row r="1875" spans="1:15">
      <c r="A1875">
        <v>1638</v>
      </c>
      <c r="B1875" t="str">
        <f t="shared" si="58"/>
        <v>2022-08</v>
      </c>
      <c r="C1875" s="1">
        <v>44786</v>
      </c>
      <c r="D1875" s="5">
        <v>0.7680555555555556</v>
      </c>
      <c r="E1875">
        <v>37</v>
      </c>
      <c r="F1875" t="s">
        <v>11</v>
      </c>
      <c r="G1875">
        <v>46</v>
      </c>
      <c r="H1875" t="s">
        <v>15</v>
      </c>
      <c r="I1875">
        <v>1</v>
      </c>
      <c r="J1875" s="6">
        <v>500</v>
      </c>
      <c r="K1875">
        <v>155</v>
      </c>
      <c r="L1875">
        <v>500</v>
      </c>
      <c r="M1875" t="str">
        <f>IF(OR(I1875="",J1875="",L1875=""),"Incomplete","Complete")</f>
        <v>Complete</v>
      </c>
      <c r="N1875" t="str">
        <f>IF(M1875="Incomplete","Not checked",IF(ROUND(I1875*J1875,2)=ROUND(L1875,2),"Valid","Mismatch"))</f>
        <v>Valid</v>
      </c>
      <c r="O1875">
        <f t="shared" si="59"/>
        <v>345</v>
      </c>
    </row>
    <row r="1876" spans="1:15">
      <c r="A1876">
        <v>1956</v>
      </c>
      <c r="B1876" t="str">
        <f t="shared" si="58"/>
        <v>2023-06</v>
      </c>
      <c r="C1876" s="1">
        <v>45078</v>
      </c>
      <c r="D1876" s="5">
        <v>0.86111111111111116</v>
      </c>
      <c r="E1876">
        <v>62</v>
      </c>
      <c r="F1876" t="s">
        <v>11</v>
      </c>
      <c r="G1876">
        <v>30</v>
      </c>
      <c r="H1876" t="s">
        <v>12</v>
      </c>
      <c r="I1876">
        <v>3</v>
      </c>
      <c r="J1876" s="6">
        <v>500</v>
      </c>
      <c r="K1876">
        <v>170</v>
      </c>
      <c r="L1876">
        <v>1500</v>
      </c>
      <c r="M1876" t="str">
        <f>IF(OR(I1876="",J1876="",L1876=""),"Incomplete","Complete")</f>
        <v>Complete</v>
      </c>
      <c r="N1876" t="str">
        <f>IF(M1876="Incomplete","Not checked",IF(ROUND(I1876*J1876,2)=ROUND(L1876,2),"Valid","Mismatch"))</f>
        <v>Valid</v>
      </c>
      <c r="O1876">
        <f t="shared" si="59"/>
        <v>1330</v>
      </c>
    </row>
    <row r="1877" spans="1:15">
      <c r="A1877">
        <v>880</v>
      </c>
      <c r="B1877" t="str">
        <f t="shared" si="58"/>
        <v>2023-09</v>
      </c>
      <c r="C1877" s="1">
        <v>45195</v>
      </c>
      <c r="D1877" s="5">
        <v>0.84236111111111112</v>
      </c>
      <c r="E1877">
        <v>63</v>
      </c>
      <c r="F1877" t="s">
        <v>11</v>
      </c>
      <c r="G1877">
        <v>22</v>
      </c>
      <c r="H1877" t="s">
        <v>13</v>
      </c>
      <c r="I1877">
        <v>2</v>
      </c>
      <c r="J1877" s="6">
        <v>500</v>
      </c>
      <c r="K1877">
        <v>175</v>
      </c>
      <c r="L1877">
        <v>1000</v>
      </c>
      <c r="M1877" t="str">
        <f>IF(OR(I1877="",J1877="",L1877=""),"Incomplete","Complete")</f>
        <v>Complete</v>
      </c>
      <c r="N1877" t="str">
        <f>IF(M1877="Incomplete","Not checked",IF(ROUND(I1877*J1877,2)=ROUND(L1877,2),"Valid","Mismatch"))</f>
        <v>Valid</v>
      </c>
      <c r="O1877">
        <f t="shared" si="59"/>
        <v>825</v>
      </c>
    </row>
    <row r="1878" spans="1:15">
      <c r="A1878">
        <v>1880</v>
      </c>
      <c r="B1878" t="str">
        <f t="shared" si="58"/>
        <v>2023-06</v>
      </c>
      <c r="C1878" s="1">
        <v>45091</v>
      </c>
      <c r="D1878" s="5">
        <v>0.8354166666666667</v>
      </c>
      <c r="E1878">
        <v>37</v>
      </c>
      <c r="F1878" t="s">
        <v>11</v>
      </c>
      <c r="G1878">
        <v>22</v>
      </c>
      <c r="H1878" t="s">
        <v>13</v>
      </c>
      <c r="I1878">
        <v>2</v>
      </c>
      <c r="J1878" s="6">
        <v>500</v>
      </c>
      <c r="K1878">
        <v>175</v>
      </c>
      <c r="L1878">
        <v>1000</v>
      </c>
      <c r="M1878" t="str">
        <f>IF(OR(I1878="",J1878="",L1878=""),"Incomplete","Complete")</f>
        <v>Complete</v>
      </c>
      <c r="N1878" t="str">
        <f>IF(M1878="Incomplete","Not checked",IF(ROUND(I1878*J1878,2)=ROUND(L1878,2),"Valid","Mismatch"))</f>
        <v>Valid</v>
      </c>
      <c r="O1878">
        <f t="shared" si="59"/>
        <v>825</v>
      </c>
    </row>
    <row r="1879" spans="1:15">
      <c r="A1879">
        <v>364</v>
      </c>
      <c r="B1879" t="str">
        <f t="shared" si="58"/>
        <v>2022-06</v>
      </c>
      <c r="C1879" s="1">
        <v>44719</v>
      </c>
      <c r="D1879" s="5">
        <v>0.79583333333333328</v>
      </c>
      <c r="E1879">
        <v>98</v>
      </c>
      <c r="F1879" t="s">
        <v>14</v>
      </c>
      <c r="G1879">
        <v>19</v>
      </c>
      <c r="H1879" t="s">
        <v>13</v>
      </c>
      <c r="I1879">
        <v>1</v>
      </c>
      <c r="J1879" s="6">
        <v>500</v>
      </c>
      <c r="K1879">
        <v>200</v>
      </c>
      <c r="L1879">
        <v>500</v>
      </c>
      <c r="M1879" t="str">
        <f>IF(OR(I1879="",J1879="",L1879=""),"Incomplete","Complete")</f>
        <v>Complete</v>
      </c>
      <c r="N1879" t="str">
        <f>IF(M1879="Incomplete","Not checked",IF(ROUND(I1879*J1879,2)=ROUND(L1879,2),"Valid","Mismatch"))</f>
        <v>Valid</v>
      </c>
      <c r="O1879">
        <f t="shared" si="59"/>
        <v>300</v>
      </c>
    </row>
    <row r="1880" spans="1:15">
      <c r="A1880">
        <v>1364</v>
      </c>
      <c r="B1880" t="str">
        <f t="shared" si="58"/>
        <v>2023-09</v>
      </c>
      <c r="C1880" s="1">
        <v>45192</v>
      </c>
      <c r="D1880" s="5">
        <v>0.71111111111111114</v>
      </c>
      <c r="E1880">
        <v>72</v>
      </c>
      <c r="F1880" t="s">
        <v>14</v>
      </c>
      <c r="G1880">
        <v>19</v>
      </c>
      <c r="H1880" t="s">
        <v>13</v>
      </c>
      <c r="I1880">
        <v>1</v>
      </c>
      <c r="J1880" s="6">
        <v>500</v>
      </c>
      <c r="K1880">
        <v>250</v>
      </c>
      <c r="L1880">
        <v>500</v>
      </c>
      <c r="M1880" t="str">
        <f>IF(OR(I1880="",J1880="",L1880=""),"Incomplete","Complete")</f>
        <v>Complete</v>
      </c>
      <c r="N1880" t="str">
        <f>IF(M1880="Incomplete","Not checked",IF(ROUND(I1880*J1880,2)=ROUND(L1880,2),"Valid","Mismatch"))</f>
        <v>Valid</v>
      </c>
      <c r="O1880">
        <f t="shared" si="59"/>
        <v>250</v>
      </c>
    </row>
    <row r="1881" spans="1:15">
      <c r="A1881">
        <v>476</v>
      </c>
      <c r="B1881" t="str">
        <f t="shared" si="58"/>
        <v>2023-12</v>
      </c>
      <c r="C1881" s="1">
        <v>45272</v>
      </c>
      <c r="D1881" s="5">
        <v>0.77152777777777781</v>
      </c>
      <c r="E1881">
        <v>131</v>
      </c>
      <c r="F1881" t="s">
        <v>14</v>
      </c>
      <c r="G1881">
        <v>27</v>
      </c>
      <c r="H1881" t="s">
        <v>12</v>
      </c>
      <c r="I1881">
        <v>4</v>
      </c>
      <c r="J1881" s="6">
        <v>500</v>
      </c>
      <c r="K1881">
        <v>570</v>
      </c>
      <c r="L1881">
        <v>2000</v>
      </c>
      <c r="M1881" t="str">
        <f>IF(OR(I1881="",J1881="",L1881=""),"Incomplete","Complete")</f>
        <v>Complete</v>
      </c>
      <c r="N1881" t="str">
        <f>IF(M1881="Incomplete","Not checked",IF(ROUND(I1881*J1881,2)=ROUND(L1881,2),"Valid","Mismatch"))</f>
        <v>Valid</v>
      </c>
      <c r="O1881">
        <f t="shared" si="59"/>
        <v>1430</v>
      </c>
    </row>
    <row r="1882" spans="1:15">
      <c r="A1882">
        <v>984</v>
      </c>
      <c r="B1882" t="str">
        <f t="shared" si="58"/>
        <v>2023-11</v>
      </c>
      <c r="C1882" s="1">
        <v>45250</v>
      </c>
      <c r="D1882" s="5">
        <v>0.81180555555555556</v>
      </c>
      <c r="E1882">
        <v>83</v>
      </c>
      <c r="F1882" t="s">
        <v>11</v>
      </c>
      <c r="G1882">
        <v>56</v>
      </c>
      <c r="H1882" t="s">
        <v>12</v>
      </c>
      <c r="I1882">
        <v>1</v>
      </c>
      <c r="J1882" s="6">
        <v>500</v>
      </c>
      <c r="K1882">
        <v>480</v>
      </c>
      <c r="L1882">
        <v>500</v>
      </c>
      <c r="M1882" t="str">
        <f>IF(OR(I1882="",J1882="",L1882=""),"Incomplete","Complete")</f>
        <v>Complete</v>
      </c>
      <c r="N1882" t="str">
        <f>IF(M1882="Incomplete","Not checked",IF(ROUND(I1882*J1882,2)=ROUND(L1882,2),"Valid","Mismatch"))</f>
        <v>Valid</v>
      </c>
      <c r="O1882">
        <f t="shared" si="59"/>
        <v>20</v>
      </c>
    </row>
    <row r="1883" spans="1:15">
      <c r="A1883">
        <v>1476</v>
      </c>
      <c r="B1883" t="str">
        <f t="shared" si="58"/>
        <v>2022-11</v>
      </c>
      <c r="C1883" s="1">
        <v>44876</v>
      </c>
      <c r="D1883" s="5">
        <v>0.93541666666666667</v>
      </c>
      <c r="E1883">
        <v>130</v>
      </c>
      <c r="F1883" t="s">
        <v>14</v>
      </c>
      <c r="G1883">
        <v>27</v>
      </c>
      <c r="H1883" t="s">
        <v>12</v>
      </c>
      <c r="I1883">
        <v>4</v>
      </c>
      <c r="J1883" s="6">
        <v>500</v>
      </c>
      <c r="K1883">
        <v>555</v>
      </c>
      <c r="L1883">
        <v>2000</v>
      </c>
      <c r="M1883" t="str">
        <f>IF(OR(I1883="",J1883="",L1883=""),"Incomplete","Complete")</f>
        <v>Complete</v>
      </c>
      <c r="N1883" t="str">
        <f>IF(M1883="Incomplete","Not checked",IF(ROUND(I1883*J1883,2)=ROUND(L1883,2),"Valid","Mismatch"))</f>
        <v>Valid</v>
      </c>
      <c r="O1883">
        <f t="shared" si="59"/>
        <v>1445</v>
      </c>
    </row>
    <row r="1884" spans="1:15">
      <c r="A1884">
        <v>1984</v>
      </c>
      <c r="B1884" t="str">
        <f t="shared" si="58"/>
        <v>2023-09</v>
      </c>
      <c r="C1884" s="1">
        <v>45178</v>
      </c>
      <c r="D1884" s="5">
        <v>0.84027777777777779</v>
      </c>
      <c r="E1884">
        <v>126</v>
      </c>
      <c r="F1884" t="s">
        <v>11</v>
      </c>
      <c r="G1884">
        <v>56</v>
      </c>
      <c r="H1884" t="s">
        <v>12</v>
      </c>
      <c r="I1884">
        <v>1</v>
      </c>
      <c r="J1884" s="6">
        <v>500</v>
      </c>
      <c r="K1884">
        <v>530</v>
      </c>
      <c r="L1884">
        <v>500</v>
      </c>
      <c r="M1884" t="str">
        <f>IF(OR(I1884="",J1884="",L1884=""),"Incomplete","Complete")</f>
        <v>Complete</v>
      </c>
      <c r="N1884" t="str">
        <f>IF(M1884="Incomplete","Not checked",IF(ROUND(I1884*J1884,2)=ROUND(L1884,2),"Valid","Mismatch"))</f>
        <v>Valid</v>
      </c>
      <c r="O1884">
        <f t="shared" si="59"/>
        <v>-30</v>
      </c>
    </row>
    <row r="1885" spans="1:15">
      <c r="A1885">
        <v>253</v>
      </c>
      <c r="B1885" t="str">
        <f t="shared" si="58"/>
        <v>2022-09</v>
      </c>
      <c r="C1885" s="1">
        <v>44834</v>
      </c>
      <c r="D1885" s="5">
        <v>0.8930555555555556</v>
      </c>
      <c r="E1885">
        <v>66</v>
      </c>
      <c r="F1885" t="s">
        <v>14</v>
      </c>
      <c r="G1885">
        <v>53</v>
      </c>
      <c r="H1885" t="s">
        <v>12</v>
      </c>
      <c r="I1885">
        <v>4</v>
      </c>
      <c r="J1885" s="6">
        <v>500</v>
      </c>
      <c r="K1885">
        <v>525</v>
      </c>
      <c r="L1885">
        <v>2000</v>
      </c>
      <c r="M1885" t="str">
        <f>IF(OR(I1885="",J1885="",L1885=""),"Incomplete","Complete")</f>
        <v>Complete</v>
      </c>
      <c r="N1885" t="str">
        <f>IF(M1885="Incomplete","Not checked",IF(ROUND(I1885*J1885,2)=ROUND(L1885,2),"Valid","Mismatch"))</f>
        <v>Valid</v>
      </c>
      <c r="O1885">
        <f t="shared" si="59"/>
        <v>1475</v>
      </c>
    </row>
    <row r="1886" spans="1:15">
      <c r="A1886">
        <v>1253</v>
      </c>
      <c r="B1886" t="str">
        <f t="shared" si="58"/>
        <v>2023-12</v>
      </c>
      <c r="C1886" s="1">
        <v>45263</v>
      </c>
      <c r="D1886" s="5">
        <v>0.83194444444444449</v>
      </c>
      <c r="E1886">
        <v>108</v>
      </c>
      <c r="F1886" t="s">
        <v>14</v>
      </c>
      <c r="G1886">
        <v>53</v>
      </c>
      <c r="H1886" t="s">
        <v>12</v>
      </c>
      <c r="I1886">
        <v>4</v>
      </c>
      <c r="J1886" s="6">
        <v>500</v>
      </c>
      <c r="K1886">
        <v>605</v>
      </c>
      <c r="L1886">
        <v>2000</v>
      </c>
      <c r="M1886" t="str">
        <f>IF(OR(I1886="",J1886="",L1886=""),"Incomplete","Complete")</f>
        <v>Complete</v>
      </c>
      <c r="N1886" t="str">
        <f>IF(M1886="Incomplete","Not checked",IF(ROUND(I1886*J1886,2)=ROUND(L1886,2),"Valid","Mismatch"))</f>
        <v>Valid</v>
      </c>
      <c r="O1886">
        <f t="shared" si="59"/>
        <v>1395</v>
      </c>
    </row>
    <row r="1887" spans="1:15">
      <c r="A1887">
        <v>297</v>
      </c>
      <c r="B1887" t="str">
        <f t="shared" si="58"/>
        <v>2022-09</v>
      </c>
      <c r="C1887" s="1">
        <v>44816</v>
      </c>
      <c r="D1887" s="5">
        <v>0.88124999999999998</v>
      </c>
      <c r="E1887">
        <v>70</v>
      </c>
      <c r="F1887" t="s">
        <v>14</v>
      </c>
      <c r="G1887">
        <v>40</v>
      </c>
      <c r="H1887" t="s">
        <v>15</v>
      </c>
      <c r="I1887">
        <v>2</v>
      </c>
      <c r="J1887" s="6">
        <v>500</v>
      </c>
      <c r="K1887">
        <v>595</v>
      </c>
      <c r="L1887">
        <v>1000</v>
      </c>
      <c r="M1887" t="str">
        <f>IF(OR(I1887="",J1887="",L1887=""),"Incomplete","Complete")</f>
        <v>Complete</v>
      </c>
      <c r="N1887" t="str">
        <f>IF(M1887="Incomplete","Not checked",IF(ROUND(I1887*J1887,2)=ROUND(L1887,2),"Valid","Mismatch"))</f>
        <v>Valid</v>
      </c>
      <c r="O1887">
        <f t="shared" si="59"/>
        <v>405</v>
      </c>
    </row>
    <row r="1888" spans="1:15">
      <c r="A1888">
        <v>1297</v>
      </c>
      <c r="B1888" t="str">
        <f t="shared" si="58"/>
        <v>2023-10</v>
      </c>
      <c r="C1888" s="1">
        <v>45219</v>
      </c>
      <c r="D1888" s="5">
        <v>0.93888888888888888</v>
      </c>
      <c r="E1888">
        <v>21</v>
      </c>
      <c r="F1888" t="s">
        <v>14</v>
      </c>
      <c r="G1888">
        <v>40</v>
      </c>
      <c r="H1888" t="s">
        <v>15</v>
      </c>
      <c r="I1888">
        <v>2</v>
      </c>
      <c r="J1888" s="6">
        <v>500</v>
      </c>
      <c r="K1888">
        <v>535</v>
      </c>
      <c r="L1888">
        <v>1000</v>
      </c>
      <c r="M1888" t="str">
        <f>IF(OR(I1888="",J1888="",L1888=""),"Incomplete","Complete")</f>
        <v>Complete</v>
      </c>
      <c r="N1888" t="str">
        <f>IF(M1888="Incomplete","Not checked",IF(ROUND(I1888*J1888,2)=ROUND(L1888,2),"Valid","Mismatch"))</f>
        <v>Valid</v>
      </c>
      <c r="O1888">
        <f t="shared" si="59"/>
        <v>465</v>
      </c>
    </row>
    <row r="1889" spans="1:15">
      <c r="A1889">
        <v>814</v>
      </c>
      <c r="B1889" t="str">
        <f t="shared" si="58"/>
        <v>2022-10</v>
      </c>
      <c r="C1889" s="1">
        <v>44835</v>
      </c>
      <c r="D1889" s="5">
        <v>0.85624999999999996</v>
      </c>
      <c r="E1889">
        <v>96</v>
      </c>
      <c r="F1889" t="s">
        <v>14</v>
      </c>
      <c r="G1889">
        <v>59</v>
      </c>
      <c r="H1889" t="s">
        <v>12</v>
      </c>
      <c r="I1889">
        <v>1</v>
      </c>
      <c r="J1889" s="6">
        <v>500</v>
      </c>
      <c r="K1889">
        <v>540</v>
      </c>
      <c r="L1889">
        <v>500</v>
      </c>
      <c r="M1889" t="str">
        <f>IF(OR(I1889="",J1889="",L1889=""),"Incomplete","Complete")</f>
        <v>Complete</v>
      </c>
      <c r="N1889" t="str">
        <f>IF(M1889="Incomplete","Not checked",IF(ROUND(I1889*J1889,2)=ROUND(L1889,2),"Valid","Mismatch"))</f>
        <v>Valid</v>
      </c>
      <c r="O1889">
        <f t="shared" si="59"/>
        <v>-40</v>
      </c>
    </row>
    <row r="1890" spans="1:15">
      <c r="A1890">
        <v>1814</v>
      </c>
      <c r="B1890" t="str">
        <f t="shared" si="58"/>
        <v>2022-09</v>
      </c>
      <c r="C1890" s="1">
        <v>44811</v>
      </c>
      <c r="D1890" s="5">
        <v>0.74513888888888891</v>
      </c>
      <c r="E1890">
        <v>43</v>
      </c>
      <c r="F1890" t="s">
        <v>14</v>
      </c>
      <c r="G1890">
        <v>59</v>
      </c>
      <c r="H1890" t="s">
        <v>12</v>
      </c>
      <c r="I1890">
        <v>1</v>
      </c>
      <c r="J1890" s="6">
        <v>500</v>
      </c>
      <c r="K1890">
        <v>620</v>
      </c>
      <c r="L1890">
        <v>500</v>
      </c>
      <c r="M1890" t="str">
        <f>IF(OR(I1890="",J1890="",L1890=""),"Incomplete","Complete")</f>
        <v>Complete</v>
      </c>
      <c r="N1890" t="str">
        <f>IF(M1890="Incomplete","Not checked",IF(ROUND(I1890*J1890,2)=ROUND(L1890,2),"Valid","Mismatch"))</f>
        <v>Valid</v>
      </c>
      <c r="O1890">
        <f t="shared" si="59"/>
        <v>-120</v>
      </c>
    </row>
    <row r="1891" spans="1:15">
      <c r="A1891">
        <v>832</v>
      </c>
      <c r="B1891" t="str">
        <f t="shared" si="58"/>
        <v>2022-11</v>
      </c>
      <c r="C1891" s="1">
        <v>44878</v>
      </c>
      <c r="D1891" s="5">
        <v>0.72569444444444442</v>
      </c>
      <c r="E1891">
        <v>106</v>
      </c>
      <c r="F1891" t="s">
        <v>11</v>
      </c>
      <c r="G1891">
        <v>47</v>
      </c>
      <c r="H1891" t="s">
        <v>13</v>
      </c>
      <c r="I1891">
        <v>4</v>
      </c>
      <c r="J1891" s="6">
        <v>500</v>
      </c>
      <c r="K1891">
        <v>600</v>
      </c>
      <c r="L1891">
        <v>2000</v>
      </c>
      <c r="M1891" t="str">
        <f>IF(OR(I1891="",J1891="",L1891=""),"Incomplete","Complete")</f>
        <v>Complete</v>
      </c>
      <c r="N1891" t="str">
        <f>IF(M1891="Incomplete","Not checked",IF(ROUND(I1891*J1891,2)=ROUND(L1891,2),"Valid","Mismatch"))</f>
        <v>Valid</v>
      </c>
      <c r="O1891">
        <f t="shared" si="59"/>
        <v>1400</v>
      </c>
    </row>
    <row r="1892" spans="1:15">
      <c r="A1892">
        <v>1832</v>
      </c>
      <c r="B1892" t="str">
        <f t="shared" si="58"/>
        <v>2023-11</v>
      </c>
      <c r="C1892" s="1">
        <v>45240</v>
      </c>
      <c r="D1892" s="5">
        <v>0.88680555555555551</v>
      </c>
      <c r="E1892">
        <v>57</v>
      </c>
      <c r="F1892" t="s">
        <v>11</v>
      </c>
      <c r="G1892">
        <v>47</v>
      </c>
      <c r="H1892" t="s">
        <v>13</v>
      </c>
      <c r="I1892">
        <v>4</v>
      </c>
      <c r="J1892" s="6">
        <v>500</v>
      </c>
      <c r="K1892">
        <v>480</v>
      </c>
      <c r="L1892">
        <v>2000</v>
      </c>
      <c r="M1892" t="str">
        <f>IF(OR(I1892="",J1892="",L1892=""),"Incomplete","Complete")</f>
        <v>Complete</v>
      </c>
      <c r="N1892" t="str">
        <f>IF(M1892="Incomplete","Not checked",IF(ROUND(I1892*J1892,2)=ROUND(L1892,2),"Valid","Mismatch"))</f>
        <v>Valid</v>
      </c>
      <c r="O1892">
        <f t="shared" si="59"/>
        <v>1520</v>
      </c>
    </row>
    <row r="1893" spans="1:15">
      <c r="A1893">
        <v>412</v>
      </c>
      <c r="B1893" t="str">
        <f t="shared" si="58"/>
        <v>2022-09</v>
      </c>
      <c r="C1893" s="1">
        <v>44808</v>
      </c>
      <c r="D1893" s="5">
        <v>0.81666666666666665</v>
      </c>
      <c r="E1893">
        <v>30</v>
      </c>
      <c r="F1893" t="s">
        <v>14</v>
      </c>
      <c r="G1893">
        <v>19</v>
      </c>
      <c r="H1893" t="s">
        <v>15</v>
      </c>
      <c r="I1893">
        <v>4</v>
      </c>
      <c r="J1893" s="6">
        <v>500</v>
      </c>
      <c r="K1893">
        <v>570</v>
      </c>
      <c r="L1893">
        <v>2000</v>
      </c>
      <c r="M1893" t="str">
        <f>IF(OR(I1893="",J1893="",L1893=""),"Incomplete","Complete")</f>
        <v>Complete</v>
      </c>
      <c r="N1893" t="str">
        <f>IF(M1893="Incomplete","Not checked",IF(ROUND(I1893*J1893,2)=ROUND(L1893,2),"Valid","Mismatch"))</f>
        <v>Valid</v>
      </c>
      <c r="O1893">
        <f t="shared" si="59"/>
        <v>1430</v>
      </c>
    </row>
    <row r="1894" spans="1:15">
      <c r="A1894">
        <v>1412</v>
      </c>
      <c r="B1894" t="str">
        <f t="shared" si="58"/>
        <v>2022-10</v>
      </c>
      <c r="C1894" s="1">
        <v>44847</v>
      </c>
      <c r="D1894" s="5">
        <v>0.83263888888888893</v>
      </c>
      <c r="E1894">
        <v>75</v>
      </c>
      <c r="F1894" t="s">
        <v>14</v>
      </c>
      <c r="G1894">
        <v>19</v>
      </c>
      <c r="H1894" t="s">
        <v>15</v>
      </c>
      <c r="I1894">
        <v>4</v>
      </c>
      <c r="J1894" s="6">
        <v>500</v>
      </c>
      <c r="K1894">
        <v>615</v>
      </c>
      <c r="L1894">
        <v>2000</v>
      </c>
      <c r="M1894" t="str">
        <f>IF(OR(I1894="",J1894="",L1894=""),"Incomplete","Complete")</f>
        <v>Complete</v>
      </c>
      <c r="N1894" t="str">
        <f>IF(M1894="Incomplete","Not checked",IF(ROUND(I1894*J1894,2)=ROUND(L1894,2),"Valid","Mismatch"))</f>
        <v>Valid</v>
      </c>
      <c r="O1894">
        <f t="shared" si="59"/>
        <v>1385</v>
      </c>
    </row>
    <row r="1895" spans="1:15">
      <c r="A1895">
        <v>626</v>
      </c>
      <c r="B1895" t="str">
        <f t="shared" si="58"/>
        <v>2022-10</v>
      </c>
      <c r="C1895" s="1">
        <v>44864</v>
      </c>
      <c r="D1895" s="5">
        <v>0.87569444444444444</v>
      </c>
      <c r="E1895">
        <v>65</v>
      </c>
      <c r="F1895" t="s">
        <v>14</v>
      </c>
      <c r="G1895">
        <v>26</v>
      </c>
      <c r="H1895" t="s">
        <v>12</v>
      </c>
      <c r="I1895">
        <v>4</v>
      </c>
      <c r="J1895" s="6">
        <v>500</v>
      </c>
      <c r="K1895">
        <v>555</v>
      </c>
      <c r="L1895">
        <v>2000</v>
      </c>
      <c r="M1895" t="str">
        <f>IF(OR(I1895="",J1895="",L1895=""),"Incomplete","Complete")</f>
        <v>Complete</v>
      </c>
      <c r="N1895" t="str">
        <f>IF(M1895="Incomplete","Not checked",IF(ROUND(I1895*J1895,2)=ROUND(L1895,2),"Valid","Mismatch"))</f>
        <v>Valid</v>
      </c>
      <c r="O1895">
        <f t="shared" si="59"/>
        <v>1445</v>
      </c>
    </row>
    <row r="1896" spans="1:15">
      <c r="A1896">
        <v>1626</v>
      </c>
      <c r="B1896" t="str">
        <f t="shared" si="58"/>
        <v>2022-10</v>
      </c>
      <c r="C1896" s="1">
        <v>44844</v>
      </c>
      <c r="D1896" s="5">
        <v>0.80069444444444449</v>
      </c>
      <c r="E1896">
        <v>19</v>
      </c>
      <c r="F1896" t="s">
        <v>14</v>
      </c>
      <c r="G1896">
        <v>26</v>
      </c>
      <c r="H1896" t="s">
        <v>12</v>
      </c>
      <c r="I1896">
        <v>4</v>
      </c>
      <c r="J1896" s="6">
        <v>500</v>
      </c>
      <c r="K1896">
        <v>495</v>
      </c>
      <c r="L1896">
        <v>2000</v>
      </c>
      <c r="M1896" t="str">
        <f>IF(OR(I1896="",J1896="",L1896=""),"Incomplete","Complete")</f>
        <v>Complete</v>
      </c>
      <c r="N1896" t="str">
        <f>IF(M1896="Incomplete","Not checked",IF(ROUND(I1896*J1896,2)=ROUND(L1896,2),"Valid","Mismatch"))</f>
        <v>Valid</v>
      </c>
      <c r="O1896">
        <f t="shared" si="59"/>
        <v>1505</v>
      </c>
    </row>
    <row r="1897" spans="1:15">
      <c r="A1897">
        <v>789</v>
      </c>
      <c r="B1897" t="str">
        <f t="shared" si="58"/>
        <v>2023-12</v>
      </c>
      <c r="C1897" s="1">
        <v>45266</v>
      </c>
      <c r="D1897" s="5">
        <v>0.92569444444444449</v>
      </c>
      <c r="E1897">
        <v>34</v>
      </c>
      <c r="F1897" t="s">
        <v>14</v>
      </c>
      <c r="G1897">
        <v>61</v>
      </c>
      <c r="H1897" t="s">
        <v>12</v>
      </c>
      <c r="I1897">
        <v>4</v>
      </c>
      <c r="J1897" s="6">
        <v>500</v>
      </c>
      <c r="K1897">
        <v>510</v>
      </c>
      <c r="L1897">
        <v>2000</v>
      </c>
      <c r="M1897" t="str">
        <f>IF(OR(I1897="",J1897="",L1897=""),"Incomplete","Complete")</f>
        <v>Complete</v>
      </c>
      <c r="N1897" t="str">
        <f>IF(M1897="Incomplete","Not checked",IF(ROUND(I1897*J1897,2)=ROUND(L1897,2),"Valid","Mismatch"))</f>
        <v>Valid</v>
      </c>
      <c r="O1897">
        <f t="shared" si="59"/>
        <v>1490</v>
      </c>
    </row>
    <row r="1898" spans="1:15">
      <c r="A1898">
        <v>1789</v>
      </c>
      <c r="B1898" t="str">
        <f t="shared" si="58"/>
        <v>2023-11</v>
      </c>
      <c r="C1898" s="1">
        <v>45240</v>
      </c>
      <c r="D1898" s="5">
        <v>0.70972222222222225</v>
      </c>
      <c r="E1898">
        <v>144</v>
      </c>
      <c r="F1898" t="s">
        <v>14</v>
      </c>
      <c r="G1898">
        <v>61</v>
      </c>
      <c r="H1898" t="s">
        <v>12</v>
      </c>
      <c r="I1898">
        <v>4</v>
      </c>
      <c r="J1898" s="6">
        <v>500</v>
      </c>
      <c r="K1898">
        <v>615</v>
      </c>
      <c r="L1898">
        <v>2000</v>
      </c>
      <c r="M1898" t="str">
        <f>IF(OR(I1898="",J1898="",L1898=""),"Incomplete","Complete")</f>
        <v>Complete</v>
      </c>
      <c r="N1898" t="str">
        <f>IF(M1898="Incomplete","Not checked",IF(ROUND(I1898*J1898,2)=ROUND(L1898,2),"Valid","Mismatch"))</f>
        <v>Valid</v>
      </c>
      <c r="O1898">
        <f t="shared" si="59"/>
        <v>1385</v>
      </c>
    </row>
    <row r="1899" spans="1:15">
      <c r="A1899">
        <v>89</v>
      </c>
      <c r="B1899" t="str">
        <f t="shared" si="58"/>
        <v>2023-12</v>
      </c>
      <c r="C1899" s="1">
        <v>45290</v>
      </c>
      <c r="D1899" s="5">
        <v>0.88541666666666663</v>
      </c>
      <c r="E1899">
        <v>117</v>
      </c>
      <c r="F1899" t="s">
        <v>14</v>
      </c>
      <c r="G1899">
        <v>55</v>
      </c>
      <c r="H1899" t="s">
        <v>15</v>
      </c>
      <c r="I1899">
        <v>4</v>
      </c>
      <c r="J1899" s="6">
        <v>500</v>
      </c>
      <c r="K1899">
        <v>590</v>
      </c>
      <c r="L1899">
        <v>2000</v>
      </c>
      <c r="M1899" t="str">
        <f>IF(OR(I1899="",J1899="",L1899=""),"Incomplete","Complete")</f>
        <v>Complete</v>
      </c>
      <c r="N1899" t="str">
        <f>IF(M1899="Incomplete","Not checked",IF(ROUND(I1899*J1899,2)=ROUND(L1899,2),"Valid","Mismatch"))</f>
        <v>Valid</v>
      </c>
      <c r="O1899">
        <f t="shared" si="59"/>
        <v>1410</v>
      </c>
    </row>
    <row r="1900" spans="1:15">
      <c r="A1900">
        <v>707</v>
      </c>
      <c r="B1900" t="str">
        <f t="shared" si="58"/>
        <v>2023-10</v>
      </c>
      <c r="C1900" s="1">
        <v>45222</v>
      </c>
      <c r="D1900" s="5">
        <v>0.8569444444444444</v>
      </c>
      <c r="E1900">
        <v>117</v>
      </c>
      <c r="F1900" t="s">
        <v>14</v>
      </c>
      <c r="G1900">
        <v>26</v>
      </c>
      <c r="H1900" t="s">
        <v>12</v>
      </c>
      <c r="I1900">
        <v>1</v>
      </c>
      <c r="J1900" s="6">
        <v>500</v>
      </c>
      <c r="K1900">
        <v>580</v>
      </c>
      <c r="L1900">
        <v>500</v>
      </c>
      <c r="M1900" t="str">
        <f>IF(OR(I1900="",J1900="",L1900=""),"Incomplete","Complete")</f>
        <v>Complete</v>
      </c>
      <c r="N1900" t="str">
        <f>IF(M1900="Incomplete","Not checked",IF(ROUND(I1900*J1900,2)=ROUND(L1900,2),"Valid","Mismatch"))</f>
        <v>Valid</v>
      </c>
      <c r="O1900">
        <f t="shared" si="59"/>
        <v>-80</v>
      </c>
    </row>
    <row r="1901" spans="1:15">
      <c r="A1901">
        <v>1089</v>
      </c>
      <c r="B1901" t="str">
        <f t="shared" si="58"/>
        <v>2023-10</v>
      </c>
      <c r="C1901" s="1">
        <v>45220</v>
      </c>
      <c r="D1901" s="5">
        <v>0.78055555555555556</v>
      </c>
      <c r="E1901">
        <v>108</v>
      </c>
      <c r="F1901" t="s">
        <v>14</v>
      </c>
      <c r="G1901">
        <v>55</v>
      </c>
      <c r="H1901" t="s">
        <v>15</v>
      </c>
      <c r="I1901">
        <v>4</v>
      </c>
      <c r="J1901" s="6">
        <v>500</v>
      </c>
      <c r="K1901">
        <v>555</v>
      </c>
      <c r="L1901">
        <v>2000</v>
      </c>
      <c r="M1901" t="str">
        <f>IF(OR(I1901="",J1901="",L1901=""),"Incomplete","Complete")</f>
        <v>Complete</v>
      </c>
      <c r="N1901" t="str">
        <f>IF(M1901="Incomplete","Not checked",IF(ROUND(I1901*J1901,2)=ROUND(L1901,2),"Valid","Mismatch"))</f>
        <v>Valid</v>
      </c>
      <c r="O1901">
        <f t="shared" si="59"/>
        <v>1445</v>
      </c>
    </row>
    <row r="1902" spans="1:15">
      <c r="A1902">
        <v>1707</v>
      </c>
      <c r="B1902" t="str">
        <f t="shared" si="58"/>
        <v>2023-09</v>
      </c>
      <c r="C1902" s="1">
        <v>45186</v>
      </c>
      <c r="D1902" s="5">
        <v>0.77430555555555558</v>
      </c>
      <c r="E1902">
        <v>144</v>
      </c>
      <c r="F1902" t="s">
        <v>14</v>
      </c>
      <c r="G1902">
        <v>26</v>
      </c>
      <c r="H1902" t="s">
        <v>12</v>
      </c>
      <c r="I1902">
        <v>1</v>
      </c>
      <c r="J1902" s="6">
        <v>500</v>
      </c>
      <c r="K1902">
        <v>535</v>
      </c>
      <c r="L1902">
        <v>500</v>
      </c>
      <c r="M1902" t="str">
        <f>IF(OR(I1902="",J1902="",L1902=""),"Incomplete","Complete")</f>
        <v>Complete</v>
      </c>
      <c r="N1902" t="str">
        <f>IF(M1902="Incomplete","Not checked",IF(ROUND(I1902*J1902,2)=ROUND(L1902,2),"Valid","Mismatch"))</f>
        <v>Valid</v>
      </c>
      <c r="O1902">
        <f t="shared" si="59"/>
        <v>-35</v>
      </c>
    </row>
    <row r="1903" spans="1:15">
      <c r="A1903">
        <v>735</v>
      </c>
      <c r="B1903" t="str">
        <f t="shared" si="58"/>
        <v>2022-11</v>
      </c>
      <c r="C1903" s="1">
        <v>44891</v>
      </c>
      <c r="D1903" s="5">
        <v>0.90138888888888891</v>
      </c>
      <c r="E1903">
        <v>153</v>
      </c>
      <c r="F1903" t="s">
        <v>14</v>
      </c>
      <c r="G1903">
        <v>64</v>
      </c>
      <c r="H1903" t="s">
        <v>12</v>
      </c>
      <c r="I1903">
        <v>4</v>
      </c>
      <c r="J1903" s="6">
        <v>500</v>
      </c>
      <c r="K1903">
        <v>515</v>
      </c>
      <c r="L1903">
        <v>2000</v>
      </c>
      <c r="M1903" t="str">
        <f>IF(OR(I1903="",J1903="",L1903=""),"Incomplete","Complete")</f>
        <v>Complete</v>
      </c>
      <c r="N1903" t="str">
        <f>IF(M1903="Incomplete","Not checked",IF(ROUND(I1903*J1903,2)=ROUND(L1903,2),"Valid","Mismatch"))</f>
        <v>Valid</v>
      </c>
      <c r="O1903">
        <f t="shared" si="59"/>
        <v>1485</v>
      </c>
    </row>
    <row r="1904" spans="1:15">
      <c r="A1904">
        <v>1735</v>
      </c>
      <c r="B1904" t="str">
        <f t="shared" si="58"/>
        <v>2023-09</v>
      </c>
      <c r="C1904" s="1">
        <v>45174</v>
      </c>
      <c r="D1904" s="5">
        <v>0.72638888888888886</v>
      </c>
      <c r="E1904">
        <v>86</v>
      </c>
      <c r="F1904" t="s">
        <v>14</v>
      </c>
      <c r="G1904">
        <v>64</v>
      </c>
      <c r="H1904" t="s">
        <v>12</v>
      </c>
      <c r="I1904">
        <v>4</v>
      </c>
      <c r="J1904" s="6">
        <v>500</v>
      </c>
      <c r="K1904">
        <v>505</v>
      </c>
      <c r="L1904">
        <v>2000</v>
      </c>
      <c r="M1904" t="str">
        <f>IF(OR(I1904="",J1904="",L1904=""),"Incomplete","Complete")</f>
        <v>Complete</v>
      </c>
      <c r="N1904" t="str">
        <f>IF(M1904="Incomplete","Not checked",IF(ROUND(I1904*J1904,2)=ROUND(L1904,2),"Valid","Mismatch"))</f>
        <v>Valid</v>
      </c>
      <c r="O1904">
        <f t="shared" si="59"/>
        <v>1495</v>
      </c>
    </row>
    <row r="1905" spans="1:15">
      <c r="A1905">
        <v>319</v>
      </c>
      <c r="B1905" t="str">
        <f t="shared" si="58"/>
        <v>2022-11</v>
      </c>
      <c r="C1905" s="1">
        <v>44872</v>
      </c>
      <c r="D1905" s="5">
        <v>0.78472222222222221</v>
      </c>
      <c r="E1905">
        <v>145</v>
      </c>
      <c r="F1905" t="s">
        <v>11</v>
      </c>
      <c r="G1905">
        <v>31</v>
      </c>
      <c r="H1905" t="s">
        <v>12</v>
      </c>
      <c r="I1905">
        <v>1</v>
      </c>
      <c r="J1905" s="6">
        <v>500</v>
      </c>
      <c r="K1905">
        <v>500</v>
      </c>
      <c r="L1905">
        <v>500</v>
      </c>
      <c r="M1905" t="str">
        <f>IF(OR(I1905="",J1905="",L1905=""),"Incomplete","Complete")</f>
        <v>Complete</v>
      </c>
      <c r="N1905" t="str">
        <f>IF(M1905="Incomplete","Not checked",IF(ROUND(I1905*J1905,2)=ROUND(L1905,2),"Valid","Mismatch"))</f>
        <v>Valid</v>
      </c>
      <c r="O1905">
        <f t="shared" si="59"/>
        <v>0</v>
      </c>
    </row>
    <row r="1906" spans="1:15">
      <c r="A1906">
        <v>1319</v>
      </c>
      <c r="B1906" t="str">
        <f t="shared" si="58"/>
        <v>2023-11</v>
      </c>
      <c r="C1906" s="1">
        <v>45255</v>
      </c>
      <c r="D1906" s="5">
        <v>0.72013888888888888</v>
      </c>
      <c r="E1906">
        <v>76</v>
      </c>
      <c r="F1906" t="s">
        <v>11</v>
      </c>
      <c r="G1906">
        <v>31</v>
      </c>
      <c r="H1906" t="s">
        <v>12</v>
      </c>
      <c r="I1906">
        <v>1</v>
      </c>
      <c r="J1906" s="6">
        <v>500</v>
      </c>
      <c r="K1906">
        <v>585</v>
      </c>
      <c r="L1906">
        <v>500</v>
      </c>
      <c r="M1906" t="str">
        <f>IF(OR(I1906="",J1906="",L1906=""),"Incomplete","Complete")</f>
        <v>Complete</v>
      </c>
      <c r="N1906" t="str">
        <f>IF(M1906="Incomplete","Not checked",IF(ROUND(I1906*J1906,2)=ROUND(L1906,2),"Valid","Mismatch"))</f>
        <v>Valid</v>
      </c>
      <c r="O1906">
        <f t="shared" si="59"/>
        <v>-85</v>
      </c>
    </row>
    <row r="1907" spans="1:15">
      <c r="A1907">
        <v>385</v>
      </c>
      <c r="B1907" t="str">
        <f t="shared" si="58"/>
        <v>2022-11</v>
      </c>
      <c r="C1907" s="1">
        <v>44885</v>
      </c>
      <c r="D1907" s="5">
        <v>0.79583333333333328</v>
      </c>
      <c r="E1907">
        <v>127</v>
      </c>
      <c r="F1907" t="s">
        <v>11</v>
      </c>
      <c r="G1907">
        <v>50</v>
      </c>
      <c r="H1907" t="s">
        <v>15</v>
      </c>
      <c r="I1907">
        <v>3</v>
      </c>
      <c r="J1907" s="6">
        <v>500</v>
      </c>
      <c r="K1907">
        <v>525</v>
      </c>
      <c r="L1907">
        <v>1500</v>
      </c>
      <c r="M1907" t="str">
        <f>IF(OR(I1907="",J1907="",L1907=""),"Incomplete","Complete")</f>
        <v>Complete</v>
      </c>
      <c r="N1907" t="str">
        <f>IF(M1907="Incomplete","Not checked",IF(ROUND(I1907*J1907,2)=ROUND(L1907,2),"Valid","Mismatch"))</f>
        <v>Valid</v>
      </c>
      <c r="O1907">
        <f t="shared" si="59"/>
        <v>975</v>
      </c>
    </row>
    <row r="1908" spans="1:15">
      <c r="A1908">
        <v>1385</v>
      </c>
      <c r="B1908" t="str">
        <f t="shared" si="58"/>
        <v>2023-11</v>
      </c>
      <c r="C1908" s="1">
        <v>45237</v>
      </c>
      <c r="D1908" s="5">
        <v>0.80694444444444446</v>
      </c>
      <c r="E1908">
        <v>55</v>
      </c>
      <c r="F1908" t="s">
        <v>11</v>
      </c>
      <c r="G1908">
        <v>50</v>
      </c>
      <c r="H1908" t="s">
        <v>15</v>
      </c>
      <c r="I1908">
        <v>3</v>
      </c>
      <c r="J1908" s="6">
        <v>500</v>
      </c>
      <c r="K1908">
        <v>505</v>
      </c>
      <c r="L1908">
        <v>1500</v>
      </c>
      <c r="M1908" t="str">
        <f>IF(OR(I1908="",J1908="",L1908=""),"Incomplete","Complete")</f>
        <v>Complete</v>
      </c>
      <c r="N1908" t="str">
        <f>IF(M1908="Incomplete","Not checked",IF(ROUND(I1908*J1908,2)=ROUND(L1908,2),"Valid","Mismatch"))</f>
        <v>Valid</v>
      </c>
      <c r="O1908">
        <f t="shared" si="59"/>
        <v>995</v>
      </c>
    </row>
    <row r="1909" spans="1:15">
      <c r="A1909">
        <v>26</v>
      </c>
      <c r="B1909" t="str">
        <f t="shared" si="58"/>
        <v>2023-10</v>
      </c>
      <c r="C1909" s="1">
        <v>45213</v>
      </c>
      <c r="D1909" s="5">
        <v>0.74583333333333335</v>
      </c>
      <c r="E1909">
        <v>51</v>
      </c>
      <c r="F1909" t="s">
        <v>14</v>
      </c>
      <c r="G1909">
        <v>28</v>
      </c>
      <c r="H1909" t="s">
        <v>15</v>
      </c>
      <c r="I1909">
        <v>2</v>
      </c>
      <c r="J1909" s="6">
        <v>500</v>
      </c>
      <c r="K1909">
        <v>600</v>
      </c>
      <c r="L1909">
        <v>1000</v>
      </c>
      <c r="M1909" t="str">
        <f>IF(OR(I1909="",J1909="",L1909=""),"Incomplete","Complete")</f>
        <v>Complete</v>
      </c>
      <c r="N1909" t="str">
        <f>IF(M1909="Incomplete","Not checked",IF(ROUND(I1909*J1909,2)=ROUND(L1909,2),"Valid","Mismatch"))</f>
        <v>Valid</v>
      </c>
      <c r="O1909">
        <f t="shared" si="59"/>
        <v>400</v>
      </c>
    </row>
    <row r="1910" spans="1:15">
      <c r="A1910">
        <v>1026</v>
      </c>
      <c r="B1910" t="str">
        <f t="shared" si="58"/>
        <v>2022-11</v>
      </c>
      <c r="C1910" s="1">
        <v>44889</v>
      </c>
      <c r="D1910" s="5">
        <v>0.79861111111111116</v>
      </c>
      <c r="E1910">
        <v>60</v>
      </c>
      <c r="F1910" t="s">
        <v>14</v>
      </c>
      <c r="G1910">
        <v>28</v>
      </c>
      <c r="H1910" t="s">
        <v>15</v>
      </c>
      <c r="I1910">
        <v>2</v>
      </c>
      <c r="J1910" s="6">
        <v>500</v>
      </c>
      <c r="K1910">
        <v>520</v>
      </c>
      <c r="L1910">
        <v>1000</v>
      </c>
      <c r="M1910" t="str">
        <f>IF(OR(I1910="",J1910="",L1910=""),"Incomplete","Complete")</f>
        <v>Complete</v>
      </c>
      <c r="N1910" t="str">
        <f>IF(M1910="Incomplete","Not checked",IF(ROUND(I1910*J1910,2)=ROUND(L1910,2),"Valid","Mismatch"))</f>
        <v>Valid</v>
      </c>
      <c r="O1910">
        <f t="shared" si="59"/>
        <v>480</v>
      </c>
    </row>
    <row r="1911" spans="1:15">
      <c r="A1911">
        <v>634</v>
      </c>
      <c r="B1911" t="str">
        <f t="shared" si="58"/>
        <v>2022-10</v>
      </c>
      <c r="C1911" s="1">
        <v>44844</v>
      </c>
      <c r="D1911" s="5">
        <v>0.80902777777777779</v>
      </c>
      <c r="E1911">
        <v>68</v>
      </c>
      <c r="F1911" t="s">
        <v>11</v>
      </c>
      <c r="G1911">
        <v>60</v>
      </c>
      <c r="H1911" t="s">
        <v>15</v>
      </c>
      <c r="I1911">
        <v>4</v>
      </c>
      <c r="J1911" s="6">
        <v>500</v>
      </c>
      <c r="K1911">
        <v>535</v>
      </c>
      <c r="L1911">
        <v>2000</v>
      </c>
      <c r="M1911" t="str">
        <f>IF(OR(I1911="",J1911="",L1911=""),"Incomplete","Complete")</f>
        <v>Complete</v>
      </c>
      <c r="N1911" t="str">
        <f>IF(M1911="Incomplete","Not checked",IF(ROUND(I1911*J1911,2)=ROUND(L1911,2),"Valid","Mismatch"))</f>
        <v>Valid</v>
      </c>
      <c r="O1911">
        <f t="shared" si="59"/>
        <v>1465</v>
      </c>
    </row>
    <row r="1912" spans="1:15">
      <c r="A1912">
        <v>1634</v>
      </c>
      <c r="B1912" t="str">
        <f t="shared" si="58"/>
        <v>2023-11</v>
      </c>
      <c r="C1912" s="1">
        <v>45233</v>
      </c>
      <c r="D1912" s="5">
        <v>0.72083333333333333</v>
      </c>
      <c r="E1912">
        <v>90</v>
      </c>
      <c r="F1912" t="s">
        <v>11</v>
      </c>
      <c r="G1912">
        <v>60</v>
      </c>
      <c r="H1912" t="s">
        <v>15</v>
      </c>
      <c r="I1912">
        <v>4</v>
      </c>
      <c r="J1912" s="6">
        <v>500</v>
      </c>
      <c r="K1912">
        <v>520</v>
      </c>
      <c r="L1912">
        <v>2000</v>
      </c>
      <c r="M1912" t="str">
        <f>IF(OR(I1912="",J1912="",L1912=""),"Incomplete","Complete")</f>
        <v>Complete</v>
      </c>
      <c r="N1912" t="str">
        <f>IF(M1912="Incomplete","Not checked",IF(ROUND(I1912*J1912,2)=ROUND(L1912,2),"Valid","Mismatch"))</f>
        <v>Valid</v>
      </c>
      <c r="O1912">
        <f t="shared" si="59"/>
        <v>1480</v>
      </c>
    </row>
    <row r="1913" spans="1:15">
      <c r="A1913">
        <v>393</v>
      </c>
      <c r="B1913" t="str">
        <f t="shared" si="58"/>
        <v>2022-10</v>
      </c>
      <c r="C1913" s="1">
        <v>44853</v>
      </c>
      <c r="D1913" s="5">
        <v>0.78611111111111109</v>
      </c>
      <c r="E1913">
        <v>85</v>
      </c>
      <c r="F1913" t="s">
        <v>14</v>
      </c>
      <c r="G1913">
        <v>22</v>
      </c>
      <c r="H1913" t="s">
        <v>13</v>
      </c>
      <c r="I1913">
        <v>2</v>
      </c>
      <c r="J1913" s="6">
        <v>500</v>
      </c>
      <c r="K1913">
        <v>595</v>
      </c>
      <c r="L1913">
        <v>1000</v>
      </c>
      <c r="M1913" t="str">
        <f>IF(OR(I1913="",J1913="",L1913=""),"Incomplete","Complete")</f>
        <v>Complete</v>
      </c>
      <c r="N1913" t="str">
        <f>IF(M1913="Incomplete","Not checked",IF(ROUND(I1913*J1913,2)=ROUND(L1913,2),"Valid","Mismatch"))</f>
        <v>Valid</v>
      </c>
      <c r="O1913">
        <f t="shared" si="59"/>
        <v>405</v>
      </c>
    </row>
    <row r="1914" spans="1:15">
      <c r="A1914">
        <v>914</v>
      </c>
      <c r="B1914" t="str">
        <f t="shared" si="58"/>
        <v>2022-09</v>
      </c>
      <c r="C1914" s="1">
        <v>44811</v>
      </c>
      <c r="D1914" s="5">
        <v>0.93402777777777779</v>
      </c>
      <c r="E1914">
        <v>83</v>
      </c>
      <c r="F1914" t="s">
        <v>14</v>
      </c>
      <c r="G1914">
        <v>59</v>
      </c>
      <c r="H1914" t="s">
        <v>15</v>
      </c>
      <c r="I1914">
        <v>1</v>
      </c>
      <c r="J1914" s="6">
        <v>500</v>
      </c>
      <c r="K1914">
        <v>510</v>
      </c>
      <c r="L1914">
        <v>500</v>
      </c>
      <c r="M1914" t="str">
        <f>IF(OR(I1914="",J1914="",L1914=""),"Incomplete","Complete")</f>
        <v>Complete</v>
      </c>
      <c r="N1914" t="str">
        <f>IF(M1914="Incomplete","Not checked",IF(ROUND(I1914*J1914,2)=ROUND(L1914,2),"Valid","Mismatch"))</f>
        <v>Valid</v>
      </c>
      <c r="O1914">
        <f t="shared" si="59"/>
        <v>-10</v>
      </c>
    </row>
    <row r="1915" spans="1:15">
      <c r="A1915">
        <v>1393</v>
      </c>
      <c r="B1915" t="str">
        <f t="shared" si="58"/>
        <v>2022-10</v>
      </c>
      <c r="C1915" s="1">
        <v>44842</v>
      </c>
      <c r="D1915" s="5">
        <v>0.72499999999999998</v>
      </c>
      <c r="E1915">
        <v>56</v>
      </c>
      <c r="F1915" t="s">
        <v>14</v>
      </c>
      <c r="G1915">
        <v>22</v>
      </c>
      <c r="H1915" t="s">
        <v>13</v>
      </c>
      <c r="I1915">
        <v>2</v>
      </c>
      <c r="J1915" s="6">
        <v>500</v>
      </c>
      <c r="K1915">
        <v>580</v>
      </c>
      <c r="L1915">
        <v>1000</v>
      </c>
      <c r="M1915" t="str">
        <f>IF(OR(I1915="",J1915="",L1915=""),"Incomplete","Complete")</f>
        <v>Complete</v>
      </c>
      <c r="N1915" t="str">
        <f>IF(M1915="Incomplete","Not checked",IF(ROUND(I1915*J1915,2)=ROUND(L1915,2),"Valid","Mismatch"))</f>
        <v>Valid</v>
      </c>
      <c r="O1915">
        <f t="shared" si="59"/>
        <v>420</v>
      </c>
    </row>
    <row r="1916" spans="1:15">
      <c r="A1916">
        <v>1914</v>
      </c>
      <c r="B1916" t="str">
        <f t="shared" si="58"/>
        <v>2023-11</v>
      </c>
      <c r="C1916" s="1">
        <v>45235</v>
      </c>
      <c r="D1916" s="5">
        <v>0.74236111111111114</v>
      </c>
      <c r="E1916">
        <v>70</v>
      </c>
      <c r="F1916" t="s">
        <v>14</v>
      </c>
      <c r="G1916">
        <v>59</v>
      </c>
      <c r="H1916" t="s">
        <v>15</v>
      </c>
      <c r="I1916">
        <v>1</v>
      </c>
      <c r="J1916" s="6">
        <v>500</v>
      </c>
      <c r="K1916">
        <v>510</v>
      </c>
      <c r="L1916">
        <v>500</v>
      </c>
      <c r="M1916" t="str">
        <f>IF(OR(I1916="",J1916="",L1916=""),"Incomplete","Complete")</f>
        <v>Complete</v>
      </c>
      <c r="N1916" t="str">
        <f>IF(M1916="Incomplete","Not checked",IF(ROUND(I1916*J1916,2)=ROUND(L1916,2),"Valid","Mismatch"))</f>
        <v>Valid</v>
      </c>
      <c r="O1916">
        <f t="shared" si="59"/>
        <v>-10</v>
      </c>
    </row>
    <row r="1917" spans="1:15">
      <c r="A1917">
        <v>97</v>
      </c>
      <c r="B1917" t="str">
        <f t="shared" si="58"/>
        <v>2022-11</v>
      </c>
      <c r="C1917" s="1">
        <v>44891</v>
      </c>
      <c r="D1917" s="5">
        <v>0.76180555555555551</v>
      </c>
      <c r="E1917">
        <v>112</v>
      </c>
      <c r="F1917" t="s">
        <v>14</v>
      </c>
      <c r="G1917">
        <v>51</v>
      </c>
      <c r="H1917" t="s">
        <v>13</v>
      </c>
      <c r="I1917">
        <v>2</v>
      </c>
      <c r="J1917" s="6">
        <v>500</v>
      </c>
      <c r="K1917">
        <v>555</v>
      </c>
      <c r="L1917">
        <v>1000</v>
      </c>
      <c r="M1917" t="str">
        <f>IF(OR(I1917="",J1917="",L1917=""),"Incomplete","Complete")</f>
        <v>Complete</v>
      </c>
      <c r="N1917" t="str">
        <f>IF(M1917="Incomplete","Not checked",IF(ROUND(I1917*J1917,2)=ROUND(L1917,2),"Valid","Mismatch"))</f>
        <v>Valid</v>
      </c>
      <c r="O1917">
        <f t="shared" si="59"/>
        <v>445</v>
      </c>
    </row>
    <row r="1918" spans="1:15">
      <c r="A1918">
        <v>1097</v>
      </c>
      <c r="B1918" t="str">
        <f t="shared" si="58"/>
        <v>2022-12</v>
      </c>
      <c r="C1918" s="1">
        <v>44921</v>
      </c>
      <c r="D1918" s="5">
        <v>0.87013888888888891</v>
      </c>
      <c r="E1918">
        <v>86</v>
      </c>
      <c r="F1918" t="s">
        <v>14</v>
      </c>
      <c r="G1918">
        <v>51</v>
      </c>
      <c r="H1918" t="s">
        <v>13</v>
      </c>
      <c r="I1918">
        <v>2</v>
      </c>
      <c r="J1918" s="6">
        <v>500</v>
      </c>
      <c r="K1918">
        <v>485</v>
      </c>
      <c r="L1918">
        <v>1000</v>
      </c>
      <c r="M1918" t="str">
        <f>IF(OR(I1918="",J1918="",L1918=""),"Incomplete","Complete")</f>
        <v>Complete</v>
      </c>
      <c r="N1918" t="str">
        <f>IF(M1918="Incomplete","Not checked",IF(ROUND(I1918*J1918,2)=ROUND(L1918,2),"Valid","Mismatch"))</f>
        <v>Valid</v>
      </c>
      <c r="O1918">
        <f t="shared" si="59"/>
        <v>515</v>
      </c>
    </row>
    <row r="1919" spans="1:15">
      <c r="A1919">
        <v>711</v>
      </c>
      <c r="B1919" t="str">
        <f t="shared" si="58"/>
        <v>2023-09</v>
      </c>
      <c r="C1919" s="1">
        <v>45192</v>
      </c>
      <c r="D1919" s="5">
        <v>0.93472222222222223</v>
      </c>
      <c r="E1919">
        <v>103</v>
      </c>
      <c r="F1919" t="s">
        <v>11</v>
      </c>
      <c r="G1919">
        <v>26</v>
      </c>
      <c r="H1919" t="s">
        <v>15</v>
      </c>
      <c r="I1919">
        <v>3</v>
      </c>
      <c r="J1919" s="6">
        <v>500</v>
      </c>
      <c r="K1919">
        <v>575</v>
      </c>
      <c r="L1919">
        <v>1500</v>
      </c>
      <c r="M1919" t="str">
        <f>IF(OR(I1919="",J1919="",L1919=""),"Incomplete","Complete")</f>
        <v>Complete</v>
      </c>
      <c r="N1919" t="str">
        <f>IF(M1919="Incomplete","Not checked",IF(ROUND(I1919*J1919,2)=ROUND(L1919,2),"Valid","Mismatch"))</f>
        <v>Valid</v>
      </c>
      <c r="O1919">
        <f t="shared" si="59"/>
        <v>925</v>
      </c>
    </row>
    <row r="1920" spans="1:15">
      <c r="A1920">
        <v>1711</v>
      </c>
      <c r="B1920" t="str">
        <f t="shared" si="58"/>
        <v>2023-09</v>
      </c>
      <c r="C1920" s="1">
        <v>45191</v>
      </c>
      <c r="D1920" s="5">
        <v>0.85624999999999996</v>
      </c>
      <c r="E1920">
        <v>113</v>
      </c>
      <c r="F1920" t="s">
        <v>11</v>
      </c>
      <c r="G1920">
        <v>26</v>
      </c>
      <c r="H1920" t="s">
        <v>15</v>
      </c>
      <c r="I1920">
        <v>3</v>
      </c>
      <c r="J1920" s="6">
        <v>500</v>
      </c>
      <c r="K1920">
        <v>570</v>
      </c>
      <c r="L1920">
        <v>1500</v>
      </c>
      <c r="M1920" t="str">
        <f>IF(OR(I1920="",J1920="",L1920=""),"Incomplete","Complete")</f>
        <v>Complete</v>
      </c>
      <c r="N1920" t="str">
        <f>IF(M1920="Incomplete","Not checked",IF(ROUND(I1920*J1920,2)=ROUND(L1920,2),"Valid","Mismatch"))</f>
        <v>Valid</v>
      </c>
      <c r="O1920">
        <f t="shared" si="59"/>
        <v>930</v>
      </c>
    </row>
    <row r="1921" spans="1:15">
      <c r="A1921">
        <v>109</v>
      </c>
      <c r="B1921" t="str">
        <f t="shared" si="58"/>
        <v>2023-09</v>
      </c>
      <c r="C1921" s="1">
        <v>45175</v>
      </c>
      <c r="D1921" s="5">
        <v>0.83125000000000004</v>
      </c>
      <c r="E1921">
        <v>94</v>
      </c>
      <c r="F1921" t="s">
        <v>14</v>
      </c>
      <c r="G1921">
        <v>34</v>
      </c>
      <c r="H1921" t="s">
        <v>15</v>
      </c>
      <c r="I1921">
        <v>4</v>
      </c>
      <c r="J1921" s="6">
        <v>500</v>
      </c>
      <c r="K1921">
        <v>560</v>
      </c>
      <c r="L1921">
        <v>2000</v>
      </c>
      <c r="M1921" t="str">
        <f>IF(OR(I1921="",J1921="",L1921=""),"Incomplete","Complete")</f>
        <v>Complete</v>
      </c>
      <c r="N1921" t="str">
        <f>IF(M1921="Incomplete","Not checked",IF(ROUND(I1921*J1921,2)=ROUND(L1921,2),"Valid","Mismatch"))</f>
        <v>Valid</v>
      </c>
      <c r="O1921">
        <f t="shared" si="59"/>
        <v>1440</v>
      </c>
    </row>
    <row r="1922" spans="1:15">
      <c r="A1922">
        <v>1109</v>
      </c>
      <c r="B1922" t="str">
        <f t="shared" ref="B1922:B1985" si="60">TEXT(C1922,"yyyy-mm")</f>
        <v>2023-12</v>
      </c>
      <c r="C1922" s="1">
        <v>45273</v>
      </c>
      <c r="D1922" s="5">
        <v>0.92569444444444449</v>
      </c>
      <c r="E1922">
        <v>114</v>
      </c>
      <c r="F1922" t="s">
        <v>14</v>
      </c>
      <c r="G1922">
        <v>34</v>
      </c>
      <c r="H1922" t="s">
        <v>15</v>
      </c>
      <c r="I1922">
        <v>4</v>
      </c>
      <c r="J1922" s="6">
        <v>500</v>
      </c>
      <c r="K1922">
        <v>590</v>
      </c>
      <c r="L1922">
        <v>2000</v>
      </c>
      <c r="M1922" t="str">
        <f>IF(OR(I1922="",J1922="",L1922=""),"Incomplete","Complete")</f>
        <v>Complete</v>
      </c>
      <c r="N1922" t="str">
        <f>IF(M1922="Incomplete","Not checked",IF(ROUND(I1922*J1922,2)=ROUND(L1922,2),"Valid","Mismatch"))</f>
        <v>Valid</v>
      </c>
      <c r="O1922">
        <f t="shared" ref="O1922:O1985" si="61">IF(M1922="Incomplete","",L1922-K1922)</f>
        <v>1410</v>
      </c>
    </row>
    <row r="1923" spans="1:15">
      <c r="A1923">
        <v>600</v>
      </c>
      <c r="B1923" t="str">
        <f t="shared" si="60"/>
        <v>2023-10</v>
      </c>
      <c r="C1923" s="1">
        <v>45208</v>
      </c>
      <c r="D1923" s="5">
        <v>0.77708333333333335</v>
      </c>
      <c r="E1923">
        <v>64</v>
      </c>
      <c r="F1923" t="s">
        <v>14</v>
      </c>
      <c r="G1923">
        <v>59</v>
      </c>
      <c r="H1923" t="s">
        <v>13</v>
      </c>
      <c r="I1923">
        <v>2</v>
      </c>
      <c r="J1923" s="6">
        <v>500</v>
      </c>
      <c r="K1923">
        <v>525</v>
      </c>
      <c r="L1923">
        <v>1000</v>
      </c>
      <c r="M1923" t="str">
        <f>IF(OR(I1923="",J1923="",L1923=""),"Incomplete","Complete")</f>
        <v>Complete</v>
      </c>
      <c r="N1923" t="str">
        <f>IF(M1923="Incomplete","Not checked",IF(ROUND(I1923*J1923,2)=ROUND(L1923,2),"Valid","Mismatch"))</f>
        <v>Valid</v>
      </c>
      <c r="O1923">
        <f t="shared" si="61"/>
        <v>475</v>
      </c>
    </row>
    <row r="1924" spans="1:15">
      <c r="A1924">
        <v>1600</v>
      </c>
      <c r="B1924" t="str">
        <f t="shared" si="60"/>
        <v>2022-12</v>
      </c>
      <c r="C1924" s="1">
        <v>44913</v>
      </c>
      <c r="D1924" s="5">
        <v>0.73888888888888893</v>
      </c>
      <c r="E1924">
        <v>67</v>
      </c>
      <c r="F1924" t="s">
        <v>14</v>
      </c>
      <c r="G1924">
        <v>59</v>
      </c>
      <c r="H1924" t="s">
        <v>13</v>
      </c>
      <c r="I1924">
        <v>2</v>
      </c>
      <c r="J1924" s="6">
        <v>500</v>
      </c>
      <c r="K1924">
        <v>575</v>
      </c>
      <c r="L1924">
        <v>1000</v>
      </c>
      <c r="M1924" t="str">
        <f>IF(OR(I1924="",J1924="",L1924=""),"Incomplete","Complete")</f>
        <v>Complete</v>
      </c>
      <c r="N1924" t="str">
        <f>IF(M1924="Incomplete","Not checked",IF(ROUND(I1924*J1924,2)=ROUND(L1924,2),"Valid","Mismatch"))</f>
        <v>Valid</v>
      </c>
      <c r="O1924">
        <f t="shared" si="61"/>
        <v>425</v>
      </c>
    </row>
    <row r="1925" spans="1:15">
      <c r="A1925">
        <v>937</v>
      </c>
      <c r="B1925" t="str">
        <f t="shared" si="60"/>
        <v>2022-10</v>
      </c>
      <c r="C1925" s="1">
        <v>44852</v>
      </c>
      <c r="D1925" s="5">
        <v>0.83125000000000004</v>
      </c>
      <c r="E1925">
        <v>50</v>
      </c>
      <c r="F1925" t="s">
        <v>14</v>
      </c>
      <c r="G1925">
        <v>62</v>
      </c>
      <c r="H1925" t="s">
        <v>13</v>
      </c>
      <c r="I1925">
        <v>1</v>
      </c>
      <c r="J1925" s="6">
        <v>500</v>
      </c>
      <c r="K1925">
        <v>510</v>
      </c>
      <c r="L1925">
        <v>500</v>
      </c>
      <c r="M1925" t="str">
        <f>IF(OR(I1925="",J1925="",L1925=""),"Incomplete","Complete")</f>
        <v>Complete</v>
      </c>
      <c r="N1925" t="str">
        <f>IF(M1925="Incomplete","Not checked",IF(ROUND(I1925*J1925,2)=ROUND(L1925,2),"Valid","Mismatch"))</f>
        <v>Valid</v>
      </c>
      <c r="O1925">
        <f t="shared" si="61"/>
        <v>-10</v>
      </c>
    </row>
    <row r="1926" spans="1:15">
      <c r="A1926">
        <v>1937</v>
      </c>
      <c r="B1926" t="str">
        <f t="shared" si="60"/>
        <v>2022-09</v>
      </c>
      <c r="C1926" s="1">
        <v>44811</v>
      </c>
      <c r="D1926" s="5">
        <v>0.74791666666666667</v>
      </c>
      <c r="E1926">
        <v>52</v>
      </c>
      <c r="F1926" t="s">
        <v>14</v>
      </c>
      <c r="G1926">
        <v>62</v>
      </c>
      <c r="H1926" t="s">
        <v>13</v>
      </c>
      <c r="I1926">
        <v>1</v>
      </c>
      <c r="J1926" s="6">
        <v>500</v>
      </c>
      <c r="K1926">
        <v>620</v>
      </c>
      <c r="L1926">
        <v>500</v>
      </c>
      <c r="M1926" t="str">
        <f>IF(OR(I1926="",J1926="",L1926=""),"Incomplete","Complete")</f>
        <v>Complete</v>
      </c>
      <c r="N1926" t="str">
        <f>IF(M1926="Incomplete","Not checked",IF(ROUND(I1926*J1926,2)=ROUND(L1926,2),"Valid","Mismatch"))</f>
        <v>Valid</v>
      </c>
      <c r="O1926">
        <f t="shared" si="61"/>
        <v>-120</v>
      </c>
    </row>
    <row r="1927" spans="1:15">
      <c r="A1927">
        <v>342</v>
      </c>
      <c r="B1927" t="str">
        <f t="shared" si="60"/>
        <v>2023-11</v>
      </c>
      <c r="C1927" s="1">
        <v>45235</v>
      </c>
      <c r="D1927" s="5">
        <v>0.72499999999999998</v>
      </c>
      <c r="E1927">
        <v>85</v>
      </c>
      <c r="F1927" t="s">
        <v>14</v>
      </c>
      <c r="G1927">
        <v>43</v>
      </c>
      <c r="H1927" t="s">
        <v>12</v>
      </c>
      <c r="I1927">
        <v>4</v>
      </c>
      <c r="J1927" s="6">
        <v>500</v>
      </c>
      <c r="K1927">
        <v>500</v>
      </c>
      <c r="L1927">
        <v>2000</v>
      </c>
      <c r="M1927" t="str">
        <f>IF(OR(I1927="",J1927="",L1927=""),"Incomplete","Complete")</f>
        <v>Complete</v>
      </c>
      <c r="N1927" t="str">
        <f>IF(M1927="Incomplete","Not checked",IF(ROUND(I1927*J1927,2)=ROUND(L1927,2),"Valid","Mismatch"))</f>
        <v>Valid</v>
      </c>
      <c r="O1927">
        <f t="shared" si="61"/>
        <v>1500</v>
      </c>
    </row>
    <row r="1928" spans="1:15">
      <c r="A1928">
        <v>1342</v>
      </c>
      <c r="B1928" t="str">
        <f t="shared" si="60"/>
        <v>2022-09</v>
      </c>
      <c r="C1928" s="1">
        <v>44822</v>
      </c>
      <c r="D1928" s="5">
        <v>0.95833333333333337</v>
      </c>
      <c r="E1928">
        <v>114</v>
      </c>
      <c r="F1928" t="s">
        <v>14</v>
      </c>
      <c r="G1928">
        <v>43</v>
      </c>
      <c r="H1928" t="s">
        <v>12</v>
      </c>
      <c r="I1928">
        <v>4</v>
      </c>
      <c r="J1928" s="6">
        <v>500</v>
      </c>
      <c r="K1928">
        <v>485</v>
      </c>
      <c r="L1928">
        <v>2000</v>
      </c>
      <c r="M1928" t="str">
        <f>IF(OR(I1928="",J1928="",L1928=""),"Incomplete","Complete")</f>
        <v>Complete</v>
      </c>
      <c r="N1928" t="str">
        <f>IF(M1928="Incomplete","Not checked",IF(ROUND(I1928*J1928,2)=ROUND(L1928,2),"Valid","Mismatch"))</f>
        <v>Valid</v>
      </c>
      <c r="O1928">
        <f t="shared" si="61"/>
        <v>1515</v>
      </c>
    </row>
    <row r="1929" spans="1:15">
      <c r="A1929">
        <v>503</v>
      </c>
      <c r="B1929" t="str">
        <f t="shared" si="60"/>
        <v>2023-10</v>
      </c>
      <c r="C1929" s="1">
        <v>45207</v>
      </c>
      <c r="D1929" s="5">
        <v>0.83750000000000002</v>
      </c>
      <c r="E1929">
        <v>63</v>
      </c>
      <c r="F1929" t="s">
        <v>11</v>
      </c>
      <c r="G1929">
        <v>45</v>
      </c>
      <c r="H1929" t="s">
        <v>13</v>
      </c>
      <c r="I1929">
        <v>4</v>
      </c>
      <c r="J1929" s="6">
        <v>500</v>
      </c>
      <c r="K1929">
        <v>570</v>
      </c>
      <c r="L1929">
        <v>2000</v>
      </c>
      <c r="M1929" t="str">
        <f>IF(OR(I1929="",J1929="",L1929=""),"Incomplete","Complete")</f>
        <v>Complete</v>
      </c>
      <c r="N1929" t="str">
        <f>IF(M1929="Incomplete","Not checked",IF(ROUND(I1929*J1929,2)=ROUND(L1929,2),"Valid","Mismatch"))</f>
        <v>Valid</v>
      </c>
      <c r="O1929">
        <f t="shared" si="61"/>
        <v>1430</v>
      </c>
    </row>
    <row r="1930" spans="1:15">
      <c r="A1930">
        <v>869</v>
      </c>
      <c r="B1930" t="str">
        <f t="shared" si="60"/>
        <v>2022-09</v>
      </c>
      <c r="C1930" s="1">
        <v>44812</v>
      </c>
      <c r="D1930" s="5">
        <v>0.92777777777777781</v>
      </c>
      <c r="E1930">
        <v>51</v>
      </c>
      <c r="F1930" t="s">
        <v>11</v>
      </c>
      <c r="G1930">
        <v>37</v>
      </c>
      <c r="H1930" t="s">
        <v>13</v>
      </c>
      <c r="I1930">
        <v>3</v>
      </c>
      <c r="J1930" s="6">
        <v>500</v>
      </c>
      <c r="K1930">
        <v>485</v>
      </c>
      <c r="L1930">
        <v>1500</v>
      </c>
      <c r="M1930" t="str">
        <f>IF(OR(I1930="",J1930="",L1930=""),"Incomplete","Complete")</f>
        <v>Complete</v>
      </c>
      <c r="N1930" t="str">
        <f>IF(M1930="Incomplete","Not checked",IF(ROUND(I1930*J1930,2)=ROUND(L1930,2),"Valid","Mismatch"))</f>
        <v>Valid</v>
      </c>
      <c r="O1930">
        <f t="shared" si="61"/>
        <v>1015</v>
      </c>
    </row>
    <row r="1931" spans="1:15">
      <c r="A1931">
        <v>1503</v>
      </c>
      <c r="B1931" t="str">
        <f t="shared" si="60"/>
        <v>2022-10</v>
      </c>
      <c r="C1931" s="1">
        <v>44851</v>
      </c>
      <c r="D1931" s="5">
        <v>0.76944444444444449</v>
      </c>
      <c r="E1931">
        <v>67</v>
      </c>
      <c r="F1931" t="s">
        <v>11</v>
      </c>
      <c r="G1931">
        <v>45</v>
      </c>
      <c r="H1931" t="s">
        <v>13</v>
      </c>
      <c r="I1931">
        <v>4</v>
      </c>
      <c r="J1931" s="6">
        <v>500</v>
      </c>
      <c r="K1931">
        <v>605</v>
      </c>
      <c r="L1931">
        <v>2000</v>
      </c>
      <c r="M1931" t="str">
        <f>IF(OR(I1931="",J1931="",L1931=""),"Incomplete","Complete")</f>
        <v>Complete</v>
      </c>
      <c r="N1931" t="str">
        <f>IF(M1931="Incomplete","Not checked",IF(ROUND(I1931*J1931,2)=ROUND(L1931,2),"Valid","Mismatch"))</f>
        <v>Valid</v>
      </c>
      <c r="O1931">
        <f t="shared" si="61"/>
        <v>1395</v>
      </c>
    </row>
    <row r="1932" spans="1:15">
      <c r="A1932">
        <v>1869</v>
      </c>
      <c r="B1932" t="str">
        <f t="shared" si="60"/>
        <v>2022-10</v>
      </c>
      <c r="C1932" s="1">
        <v>44857</v>
      </c>
      <c r="D1932" s="5">
        <v>0.82708333333333328</v>
      </c>
      <c r="E1932">
        <v>113</v>
      </c>
      <c r="F1932" t="s">
        <v>11</v>
      </c>
      <c r="G1932">
        <v>37</v>
      </c>
      <c r="H1932" t="s">
        <v>13</v>
      </c>
      <c r="I1932">
        <v>3</v>
      </c>
      <c r="J1932" s="6">
        <v>500</v>
      </c>
      <c r="K1932">
        <v>605</v>
      </c>
      <c r="L1932">
        <v>1500</v>
      </c>
      <c r="M1932" t="str">
        <f>IF(OR(I1932="",J1932="",L1932=""),"Incomplete","Complete")</f>
        <v>Complete</v>
      </c>
      <c r="N1932" t="str">
        <f>IF(M1932="Incomplete","Not checked",IF(ROUND(I1932*J1932,2)=ROUND(L1932,2),"Valid","Mismatch"))</f>
        <v>Valid</v>
      </c>
      <c r="O1932">
        <f t="shared" si="61"/>
        <v>895</v>
      </c>
    </row>
    <row r="1933" spans="1:15">
      <c r="A1933">
        <v>124</v>
      </c>
      <c r="B1933" t="str">
        <f t="shared" si="60"/>
        <v>2022-12</v>
      </c>
      <c r="C1933" s="1">
        <v>44919</v>
      </c>
      <c r="D1933" s="5">
        <v>0.88680555555555551</v>
      </c>
      <c r="E1933">
        <v>83</v>
      </c>
      <c r="F1933" t="s">
        <v>11</v>
      </c>
      <c r="G1933">
        <v>33</v>
      </c>
      <c r="H1933" t="s">
        <v>12</v>
      </c>
      <c r="I1933">
        <v>4</v>
      </c>
      <c r="J1933" s="6">
        <v>500</v>
      </c>
      <c r="K1933">
        <v>515</v>
      </c>
      <c r="L1933">
        <v>2000</v>
      </c>
      <c r="M1933" t="str">
        <f>IF(OR(I1933="",J1933="",L1933=""),"Incomplete","Complete")</f>
        <v>Complete</v>
      </c>
      <c r="N1933" t="str">
        <f>IF(M1933="Incomplete","Not checked",IF(ROUND(I1933*J1933,2)=ROUND(L1933,2),"Valid","Mismatch"))</f>
        <v>Valid</v>
      </c>
      <c r="O1933">
        <f t="shared" si="61"/>
        <v>1485</v>
      </c>
    </row>
    <row r="1934" spans="1:15">
      <c r="A1934">
        <v>677</v>
      </c>
      <c r="B1934" t="str">
        <f t="shared" si="60"/>
        <v>2022-12</v>
      </c>
      <c r="C1934" s="1">
        <v>44912</v>
      </c>
      <c r="D1934" s="5">
        <v>0.88402777777777775</v>
      </c>
      <c r="E1934">
        <v>65</v>
      </c>
      <c r="F1934" t="s">
        <v>14</v>
      </c>
      <c r="G1934">
        <v>19</v>
      </c>
      <c r="H1934" t="s">
        <v>13</v>
      </c>
      <c r="I1934">
        <v>3</v>
      </c>
      <c r="J1934" s="6">
        <v>500</v>
      </c>
      <c r="K1934">
        <v>555</v>
      </c>
      <c r="L1934">
        <v>1500</v>
      </c>
      <c r="M1934" t="str">
        <f>IF(OR(I1934="",J1934="",L1934=""),"Incomplete","Complete")</f>
        <v>Complete</v>
      </c>
      <c r="N1934" t="str">
        <f>IF(M1934="Incomplete","Not checked",IF(ROUND(I1934*J1934,2)=ROUND(L1934,2),"Valid","Mismatch"))</f>
        <v>Valid</v>
      </c>
      <c r="O1934">
        <f t="shared" si="61"/>
        <v>945</v>
      </c>
    </row>
    <row r="1935" spans="1:15">
      <c r="A1935">
        <v>1124</v>
      </c>
      <c r="B1935" t="str">
        <f t="shared" si="60"/>
        <v>2023-10</v>
      </c>
      <c r="C1935" s="1">
        <v>45205</v>
      </c>
      <c r="D1935" s="5">
        <v>0.83611111111111114</v>
      </c>
      <c r="E1935">
        <v>83</v>
      </c>
      <c r="F1935" t="s">
        <v>11</v>
      </c>
      <c r="G1935">
        <v>33</v>
      </c>
      <c r="H1935" t="s">
        <v>12</v>
      </c>
      <c r="I1935">
        <v>4</v>
      </c>
      <c r="J1935" s="6">
        <v>500</v>
      </c>
      <c r="K1935">
        <v>515</v>
      </c>
      <c r="L1935">
        <v>2000</v>
      </c>
      <c r="M1935" t="str">
        <f>IF(OR(I1935="",J1935="",L1935=""),"Incomplete","Complete")</f>
        <v>Complete</v>
      </c>
      <c r="N1935" t="str">
        <f>IF(M1935="Incomplete","Not checked",IF(ROUND(I1935*J1935,2)=ROUND(L1935,2),"Valid","Mismatch"))</f>
        <v>Valid</v>
      </c>
      <c r="O1935">
        <f t="shared" si="61"/>
        <v>1485</v>
      </c>
    </row>
    <row r="1936" spans="1:15">
      <c r="A1936">
        <v>1677</v>
      </c>
      <c r="B1936" t="str">
        <f t="shared" si="60"/>
        <v>2022-10</v>
      </c>
      <c r="C1936" s="1">
        <v>44836</v>
      </c>
      <c r="D1936" s="5">
        <v>0.86875000000000002</v>
      </c>
      <c r="E1936">
        <v>84</v>
      </c>
      <c r="F1936" t="s">
        <v>14</v>
      </c>
      <c r="G1936">
        <v>19</v>
      </c>
      <c r="H1936" t="s">
        <v>13</v>
      </c>
      <c r="I1936">
        <v>3</v>
      </c>
      <c r="J1936" s="6">
        <v>500</v>
      </c>
      <c r="K1936">
        <v>490</v>
      </c>
      <c r="L1936">
        <v>1500</v>
      </c>
      <c r="M1936" t="str">
        <f>IF(OR(I1936="",J1936="",L1936=""),"Incomplete","Complete")</f>
        <v>Complete</v>
      </c>
      <c r="N1936" t="str">
        <f>IF(M1936="Incomplete","Not checked",IF(ROUND(I1936*J1936,2)=ROUND(L1936,2),"Valid","Mismatch"))</f>
        <v>Valid</v>
      </c>
      <c r="O1936">
        <f t="shared" si="61"/>
        <v>1010</v>
      </c>
    </row>
    <row r="1937" spans="1:15">
      <c r="A1937">
        <v>710</v>
      </c>
      <c r="B1937" t="str">
        <f t="shared" si="60"/>
        <v>2022-09</v>
      </c>
      <c r="C1937" s="1">
        <v>44807</v>
      </c>
      <c r="D1937" s="5">
        <v>0.88263888888888886</v>
      </c>
      <c r="E1937">
        <v>71</v>
      </c>
      <c r="F1937" t="s">
        <v>14</v>
      </c>
      <c r="G1937">
        <v>26</v>
      </c>
      <c r="H1937" t="s">
        <v>15</v>
      </c>
      <c r="I1937">
        <v>3</v>
      </c>
      <c r="J1937" s="6">
        <v>500</v>
      </c>
      <c r="K1937">
        <v>495</v>
      </c>
      <c r="L1937">
        <v>1500</v>
      </c>
      <c r="M1937" t="str">
        <f>IF(OR(I1937="",J1937="",L1937=""),"Incomplete","Complete")</f>
        <v>Complete</v>
      </c>
      <c r="N1937" t="str">
        <f>IF(M1937="Incomplete","Not checked",IF(ROUND(I1937*J1937,2)=ROUND(L1937,2),"Valid","Mismatch"))</f>
        <v>Valid</v>
      </c>
      <c r="O1937">
        <f t="shared" si="61"/>
        <v>1005</v>
      </c>
    </row>
    <row r="1938" spans="1:15">
      <c r="A1938">
        <v>1710</v>
      </c>
      <c r="B1938" t="str">
        <f t="shared" si="60"/>
        <v>2022-10</v>
      </c>
      <c r="C1938" s="1">
        <v>44857</v>
      </c>
      <c r="D1938" s="5">
        <v>0.84305555555555556</v>
      </c>
      <c r="E1938">
        <v>104</v>
      </c>
      <c r="F1938" t="s">
        <v>14</v>
      </c>
      <c r="G1938">
        <v>26</v>
      </c>
      <c r="H1938" t="s">
        <v>15</v>
      </c>
      <c r="I1938">
        <v>3</v>
      </c>
      <c r="J1938" s="6">
        <v>500</v>
      </c>
      <c r="K1938">
        <v>610</v>
      </c>
      <c r="L1938">
        <v>1500</v>
      </c>
      <c r="M1938" t="str">
        <f>IF(OR(I1938="",J1938="",L1938=""),"Incomplete","Complete")</f>
        <v>Complete</v>
      </c>
      <c r="N1938" t="str">
        <f>IF(M1938="Incomplete","Not checked",IF(ROUND(I1938*J1938,2)=ROUND(L1938,2),"Valid","Mismatch"))</f>
        <v>Valid</v>
      </c>
      <c r="O1938">
        <f t="shared" si="61"/>
        <v>890</v>
      </c>
    </row>
    <row r="1939" spans="1:15">
      <c r="A1939">
        <v>507</v>
      </c>
      <c r="B1939" t="str">
        <f t="shared" si="60"/>
        <v>2022-12</v>
      </c>
      <c r="C1939" s="1">
        <v>44906</v>
      </c>
      <c r="D1939" s="5">
        <v>0.90277777777777779</v>
      </c>
      <c r="E1939">
        <v>52</v>
      </c>
      <c r="F1939" t="s">
        <v>14</v>
      </c>
      <c r="G1939">
        <v>37</v>
      </c>
      <c r="H1939" t="s">
        <v>15</v>
      </c>
      <c r="I1939">
        <v>3</v>
      </c>
      <c r="J1939" s="6">
        <v>500</v>
      </c>
      <c r="K1939">
        <v>485</v>
      </c>
      <c r="L1939">
        <v>1500</v>
      </c>
      <c r="M1939" t="str">
        <f>IF(OR(I1939="",J1939="",L1939=""),"Incomplete","Complete")</f>
        <v>Complete</v>
      </c>
      <c r="N1939" t="str">
        <f>IF(M1939="Incomplete","Not checked",IF(ROUND(I1939*J1939,2)=ROUND(L1939,2),"Valid","Mismatch"))</f>
        <v>Valid</v>
      </c>
      <c r="O1939">
        <f t="shared" si="61"/>
        <v>1015</v>
      </c>
    </row>
    <row r="1940" spans="1:15">
      <c r="A1940">
        <v>1507</v>
      </c>
      <c r="B1940" t="str">
        <f t="shared" si="60"/>
        <v>2022-12</v>
      </c>
      <c r="C1940" s="1">
        <v>44922</v>
      </c>
      <c r="D1940" s="5">
        <v>0.92638888888888893</v>
      </c>
      <c r="E1940">
        <v>95</v>
      </c>
      <c r="F1940" t="s">
        <v>14</v>
      </c>
      <c r="G1940">
        <v>37</v>
      </c>
      <c r="H1940" t="s">
        <v>15</v>
      </c>
      <c r="I1940">
        <v>3</v>
      </c>
      <c r="J1940" s="6">
        <v>500</v>
      </c>
      <c r="K1940">
        <v>520</v>
      </c>
      <c r="L1940">
        <v>1500</v>
      </c>
      <c r="M1940" t="str">
        <f>IF(OR(I1940="",J1940="",L1940=""),"Incomplete","Complete")</f>
        <v>Complete</v>
      </c>
      <c r="N1940" t="str">
        <f>IF(M1940="Incomplete","Not checked",IF(ROUND(I1940*J1940,2)=ROUND(L1940,2),"Valid","Mismatch"))</f>
        <v>Valid</v>
      </c>
      <c r="O1940">
        <f t="shared" si="61"/>
        <v>980</v>
      </c>
    </row>
    <row r="1941" spans="1:15">
      <c r="A1941">
        <v>784</v>
      </c>
      <c r="B1941" t="str">
        <f t="shared" si="60"/>
        <v>2023-10</v>
      </c>
      <c r="C1941" s="1">
        <v>45217</v>
      </c>
      <c r="D1941" s="5">
        <v>0.94722222222222219</v>
      </c>
      <c r="E1941">
        <v>71</v>
      </c>
      <c r="F1941" t="s">
        <v>14</v>
      </c>
      <c r="G1941">
        <v>34</v>
      </c>
      <c r="H1941" t="s">
        <v>15</v>
      </c>
      <c r="I1941">
        <v>1</v>
      </c>
      <c r="J1941" s="6">
        <v>500</v>
      </c>
      <c r="K1941">
        <v>610</v>
      </c>
      <c r="L1941">
        <v>500</v>
      </c>
      <c r="M1941" t="str">
        <f>IF(OR(I1941="",J1941="",L1941=""),"Incomplete","Complete")</f>
        <v>Complete</v>
      </c>
      <c r="N1941" t="str">
        <f>IF(M1941="Incomplete","Not checked",IF(ROUND(I1941*J1941,2)=ROUND(L1941,2),"Valid","Mismatch"))</f>
        <v>Valid</v>
      </c>
      <c r="O1941">
        <f t="shared" si="61"/>
        <v>-110</v>
      </c>
    </row>
    <row r="1942" spans="1:15">
      <c r="A1942">
        <v>1784</v>
      </c>
      <c r="B1942" t="str">
        <f t="shared" si="60"/>
        <v>2023-12</v>
      </c>
      <c r="C1942" s="1">
        <v>45288</v>
      </c>
      <c r="D1942" s="5">
        <v>0.87361111111111112</v>
      </c>
      <c r="E1942">
        <v>100</v>
      </c>
      <c r="F1942" t="s">
        <v>14</v>
      </c>
      <c r="G1942">
        <v>34</v>
      </c>
      <c r="H1942" t="s">
        <v>15</v>
      </c>
      <c r="I1942">
        <v>1</v>
      </c>
      <c r="J1942" s="6">
        <v>500</v>
      </c>
      <c r="K1942">
        <v>500</v>
      </c>
      <c r="L1942">
        <v>500</v>
      </c>
      <c r="M1942" t="str">
        <f>IF(OR(I1942="",J1942="",L1942=""),"Incomplete","Complete")</f>
        <v>Complete</v>
      </c>
      <c r="N1942" t="str">
        <f>IF(M1942="Incomplete","Not checked",IF(ROUND(I1942*J1942,2)=ROUND(L1942,2),"Valid","Mismatch"))</f>
        <v>Valid</v>
      </c>
      <c r="O1942">
        <f t="shared" si="61"/>
        <v>0</v>
      </c>
    </row>
    <row r="1943" spans="1:15">
      <c r="A1943">
        <v>47</v>
      </c>
      <c r="B1943" t="str">
        <f t="shared" si="60"/>
        <v>2022-10</v>
      </c>
      <c r="C1943" s="1">
        <v>44856</v>
      </c>
      <c r="D1943" s="5">
        <v>0.72361111111111109</v>
      </c>
      <c r="E1943">
        <v>96</v>
      </c>
      <c r="F1943" t="s">
        <v>14</v>
      </c>
      <c r="G1943">
        <v>40</v>
      </c>
      <c r="H1943" t="s">
        <v>13</v>
      </c>
      <c r="I1943">
        <v>3</v>
      </c>
      <c r="J1943" s="6">
        <v>500</v>
      </c>
      <c r="K1943">
        <v>600</v>
      </c>
      <c r="L1943">
        <v>1500</v>
      </c>
      <c r="M1943" t="str">
        <f>IF(OR(I1943="",J1943="",L1943=""),"Incomplete","Complete")</f>
        <v>Complete</v>
      </c>
      <c r="N1943" t="str">
        <f>IF(M1943="Incomplete","Not checked",IF(ROUND(I1943*J1943,2)=ROUND(L1943,2),"Valid","Mismatch"))</f>
        <v>Valid</v>
      </c>
      <c r="O1943">
        <f t="shared" si="61"/>
        <v>900</v>
      </c>
    </row>
    <row r="1944" spans="1:15">
      <c r="A1944">
        <v>1047</v>
      </c>
      <c r="B1944" t="str">
        <f t="shared" si="60"/>
        <v>2022-12</v>
      </c>
      <c r="C1944" s="1">
        <v>44899</v>
      </c>
      <c r="D1944" s="5">
        <v>0.91180555555555554</v>
      </c>
      <c r="E1944">
        <v>84</v>
      </c>
      <c r="F1944" t="s">
        <v>14</v>
      </c>
      <c r="G1944">
        <v>40</v>
      </c>
      <c r="H1944" t="s">
        <v>13</v>
      </c>
      <c r="I1944">
        <v>3</v>
      </c>
      <c r="J1944" s="6">
        <v>500</v>
      </c>
      <c r="K1944">
        <v>490</v>
      </c>
      <c r="L1944">
        <v>1500</v>
      </c>
      <c r="M1944" t="str">
        <f>IF(OR(I1944="",J1944="",L1944=""),"Incomplete","Complete")</f>
        <v>Complete</v>
      </c>
      <c r="N1944" t="str">
        <f>IF(M1944="Incomplete","Not checked",IF(ROUND(I1944*J1944,2)=ROUND(L1944,2),"Valid","Mismatch"))</f>
        <v>Valid</v>
      </c>
      <c r="O1944">
        <f t="shared" si="61"/>
        <v>1010</v>
      </c>
    </row>
    <row r="1945" spans="1:15">
      <c r="A1945">
        <v>761</v>
      </c>
      <c r="B1945" t="str">
        <f t="shared" si="60"/>
        <v>2022-11</v>
      </c>
      <c r="C1945" s="1">
        <v>44879</v>
      </c>
      <c r="D1945" s="5">
        <v>0.92777777777777781</v>
      </c>
      <c r="E1945">
        <v>64</v>
      </c>
      <c r="F1945" t="s">
        <v>14</v>
      </c>
      <c r="G1945">
        <v>33</v>
      </c>
      <c r="H1945" t="s">
        <v>12</v>
      </c>
      <c r="I1945">
        <v>1</v>
      </c>
      <c r="J1945" s="6">
        <v>500</v>
      </c>
      <c r="K1945">
        <v>275</v>
      </c>
      <c r="L1945">
        <v>500</v>
      </c>
      <c r="M1945" t="str">
        <f>IF(OR(I1945="",J1945="",L1945=""),"Incomplete","Complete")</f>
        <v>Complete</v>
      </c>
      <c r="N1945" t="str">
        <f>IF(M1945="Incomplete","Not checked",IF(ROUND(I1945*J1945,2)=ROUND(L1945,2),"Valid","Mismatch"))</f>
        <v>Valid</v>
      </c>
      <c r="O1945">
        <f t="shared" si="61"/>
        <v>225</v>
      </c>
    </row>
    <row r="1946" spans="1:15">
      <c r="A1946">
        <v>1761</v>
      </c>
      <c r="B1946" t="str">
        <f t="shared" si="60"/>
        <v>2023-12</v>
      </c>
      <c r="C1946" s="1">
        <v>45269</v>
      </c>
      <c r="D1946" s="5">
        <v>0.78194444444444444</v>
      </c>
      <c r="E1946">
        <v>72</v>
      </c>
      <c r="F1946" t="s">
        <v>14</v>
      </c>
      <c r="G1946">
        <v>33</v>
      </c>
      <c r="H1946" t="s">
        <v>12</v>
      </c>
      <c r="I1946">
        <v>1</v>
      </c>
      <c r="J1946" s="6">
        <v>500</v>
      </c>
      <c r="K1946">
        <v>200</v>
      </c>
      <c r="L1946">
        <v>500</v>
      </c>
      <c r="M1946" t="str">
        <f>IF(OR(I1946="",J1946="",L1946=""),"Incomplete","Complete")</f>
        <v>Complete</v>
      </c>
      <c r="N1946" t="str">
        <f>IF(M1946="Incomplete","Not checked",IF(ROUND(I1946*J1946,2)=ROUND(L1946,2),"Valid","Mismatch"))</f>
        <v>Valid</v>
      </c>
      <c r="O1946">
        <f t="shared" si="61"/>
        <v>300</v>
      </c>
    </row>
    <row r="1947" spans="1:15">
      <c r="A1947">
        <v>595</v>
      </c>
      <c r="B1947" t="str">
        <f t="shared" si="60"/>
        <v>2022-10</v>
      </c>
      <c r="C1947" s="1">
        <v>44849</v>
      </c>
      <c r="D1947" s="5">
        <v>0.89930555555555558</v>
      </c>
      <c r="E1947">
        <v>65</v>
      </c>
      <c r="F1947" t="s">
        <v>14</v>
      </c>
      <c r="G1947">
        <v>18</v>
      </c>
      <c r="H1947" t="s">
        <v>12</v>
      </c>
      <c r="I1947">
        <v>4</v>
      </c>
      <c r="J1947" s="6">
        <v>500</v>
      </c>
      <c r="K1947">
        <v>210</v>
      </c>
      <c r="L1947">
        <v>2000</v>
      </c>
      <c r="M1947" t="str">
        <f>IF(OR(I1947="",J1947="",L1947=""),"Incomplete","Complete")</f>
        <v>Complete</v>
      </c>
      <c r="N1947" t="str">
        <f>IF(M1947="Incomplete","Not checked",IF(ROUND(I1947*J1947,2)=ROUND(L1947,2),"Valid","Mismatch"))</f>
        <v>Valid</v>
      </c>
      <c r="O1947">
        <f t="shared" si="61"/>
        <v>1790</v>
      </c>
    </row>
    <row r="1948" spans="1:15">
      <c r="A1948">
        <v>1595</v>
      </c>
      <c r="B1948" t="str">
        <f t="shared" si="60"/>
        <v>2023-10</v>
      </c>
      <c r="C1948" s="1">
        <v>45203</v>
      </c>
      <c r="D1948" s="5">
        <v>0.73888888888888893</v>
      </c>
      <c r="E1948">
        <v>115</v>
      </c>
      <c r="F1948" t="s">
        <v>14</v>
      </c>
      <c r="G1948">
        <v>18</v>
      </c>
      <c r="H1948" t="s">
        <v>12</v>
      </c>
      <c r="I1948">
        <v>4</v>
      </c>
      <c r="J1948" s="6">
        <v>500</v>
      </c>
      <c r="K1948">
        <v>255</v>
      </c>
      <c r="L1948">
        <v>2000</v>
      </c>
      <c r="M1948" t="str">
        <f>IF(OR(I1948="",J1948="",L1948=""),"Incomplete","Complete")</f>
        <v>Complete</v>
      </c>
      <c r="N1948" t="str">
        <f>IF(M1948="Incomplete","Not checked",IF(ROUND(I1948*J1948,2)=ROUND(L1948,2),"Valid","Mismatch"))</f>
        <v>Valid</v>
      </c>
      <c r="O1948">
        <f t="shared" si="61"/>
        <v>1745</v>
      </c>
    </row>
    <row r="1949" spans="1:15">
      <c r="A1949">
        <v>369</v>
      </c>
      <c r="B1949" t="str">
        <f t="shared" si="60"/>
        <v>2023-12</v>
      </c>
      <c r="C1949" s="1">
        <v>45273</v>
      </c>
      <c r="D1949" s="5">
        <v>0.8208333333333333</v>
      </c>
      <c r="E1949">
        <v>111</v>
      </c>
      <c r="F1949" t="s">
        <v>11</v>
      </c>
      <c r="G1949">
        <v>23</v>
      </c>
      <c r="H1949" t="s">
        <v>15</v>
      </c>
      <c r="I1949">
        <v>3</v>
      </c>
      <c r="J1949" s="6">
        <v>500</v>
      </c>
      <c r="K1949">
        <v>215</v>
      </c>
      <c r="L1949">
        <v>1500</v>
      </c>
      <c r="M1949" t="str">
        <f>IF(OR(I1949="",J1949="",L1949=""),"Incomplete","Complete")</f>
        <v>Complete</v>
      </c>
      <c r="N1949" t="str">
        <f>IF(M1949="Incomplete","Not checked",IF(ROUND(I1949*J1949,2)=ROUND(L1949,2),"Valid","Mismatch"))</f>
        <v>Valid</v>
      </c>
      <c r="O1949">
        <f t="shared" si="61"/>
        <v>1285</v>
      </c>
    </row>
    <row r="1950" spans="1:15">
      <c r="A1950">
        <v>1369</v>
      </c>
      <c r="B1950" t="str">
        <f t="shared" si="60"/>
        <v>2022-10</v>
      </c>
      <c r="C1950" s="1">
        <v>44844</v>
      </c>
      <c r="D1950" s="5">
        <v>0.88472222222222219</v>
      </c>
      <c r="E1950">
        <v>64</v>
      </c>
      <c r="F1950" t="s">
        <v>11</v>
      </c>
      <c r="G1950">
        <v>23</v>
      </c>
      <c r="H1950" t="s">
        <v>15</v>
      </c>
      <c r="I1950">
        <v>3</v>
      </c>
      <c r="J1950" s="6">
        <v>500</v>
      </c>
      <c r="K1950">
        <v>180</v>
      </c>
      <c r="L1950">
        <v>1500</v>
      </c>
      <c r="M1950" t="str">
        <f>IF(OR(I1950="",J1950="",L1950=""),"Incomplete","Complete")</f>
        <v>Complete</v>
      </c>
      <c r="N1950" t="str">
        <f>IF(M1950="Incomplete","Not checked",IF(ROUND(I1950*J1950,2)=ROUND(L1950,2),"Valid","Mismatch"))</f>
        <v>Valid</v>
      </c>
      <c r="O1950">
        <f t="shared" si="61"/>
        <v>1320</v>
      </c>
    </row>
    <row r="1951" spans="1:15">
      <c r="A1951">
        <v>533</v>
      </c>
      <c r="B1951" t="str">
        <f t="shared" si="60"/>
        <v>2022-11</v>
      </c>
      <c r="C1951" s="1">
        <v>44878</v>
      </c>
      <c r="D1951" s="5">
        <v>0.72152777777777777</v>
      </c>
      <c r="E1951">
        <v>92</v>
      </c>
      <c r="F1951" t="s">
        <v>11</v>
      </c>
      <c r="G1951">
        <v>19</v>
      </c>
      <c r="H1951" t="s">
        <v>15</v>
      </c>
      <c r="I1951">
        <v>3</v>
      </c>
      <c r="J1951" s="6">
        <v>500</v>
      </c>
      <c r="K1951">
        <v>155</v>
      </c>
      <c r="L1951">
        <v>1500</v>
      </c>
      <c r="M1951" t="str">
        <f>IF(OR(I1951="",J1951="",L1951=""),"Incomplete","Complete")</f>
        <v>Complete</v>
      </c>
      <c r="N1951" t="str">
        <f>IF(M1951="Incomplete","Not checked",IF(ROUND(I1951*J1951,2)=ROUND(L1951,2),"Valid","Mismatch"))</f>
        <v>Valid</v>
      </c>
      <c r="O1951">
        <f t="shared" si="61"/>
        <v>1345</v>
      </c>
    </row>
    <row r="1952" spans="1:15">
      <c r="A1952">
        <v>1533</v>
      </c>
      <c r="B1952" t="str">
        <f t="shared" si="60"/>
        <v>2022-10</v>
      </c>
      <c r="C1952" s="1">
        <v>44863</v>
      </c>
      <c r="D1952" s="5">
        <v>0.81597222222222221</v>
      </c>
      <c r="E1952">
        <v>67</v>
      </c>
      <c r="F1952" t="s">
        <v>11</v>
      </c>
      <c r="G1952">
        <v>19</v>
      </c>
      <c r="H1952" t="s">
        <v>15</v>
      </c>
      <c r="I1952">
        <v>3</v>
      </c>
      <c r="J1952" s="6">
        <v>500</v>
      </c>
      <c r="K1952">
        <v>255</v>
      </c>
      <c r="L1952">
        <v>1500</v>
      </c>
      <c r="M1952" t="str">
        <f>IF(OR(I1952="",J1952="",L1952=""),"Incomplete","Complete")</f>
        <v>Complete</v>
      </c>
      <c r="N1952" t="str">
        <f>IF(M1952="Incomplete","Not checked",IF(ROUND(I1952*J1952,2)=ROUND(L1952,2),"Valid","Mismatch"))</f>
        <v>Valid</v>
      </c>
      <c r="O1952">
        <f t="shared" si="61"/>
        <v>1245</v>
      </c>
    </row>
    <row r="1953" spans="1:15">
      <c r="A1953">
        <v>169</v>
      </c>
      <c r="B1953" t="str">
        <f t="shared" si="60"/>
        <v>2022-11</v>
      </c>
      <c r="C1953" s="1">
        <v>44893</v>
      </c>
      <c r="D1953" s="5">
        <v>0.78263888888888888</v>
      </c>
      <c r="E1953">
        <v>73</v>
      </c>
      <c r="F1953" t="s">
        <v>11</v>
      </c>
      <c r="G1953">
        <v>18</v>
      </c>
      <c r="H1953" t="s">
        <v>13</v>
      </c>
      <c r="I1953">
        <v>3</v>
      </c>
      <c r="J1953" s="6">
        <v>500</v>
      </c>
      <c r="K1953">
        <v>145</v>
      </c>
      <c r="L1953">
        <v>1500</v>
      </c>
      <c r="M1953" t="str">
        <f>IF(OR(I1953="",J1953="",L1953=""),"Incomplete","Complete")</f>
        <v>Complete</v>
      </c>
      <c r="N1953" t="str">
        <f>IF(M1953="Incomplete","Not checked",IF(ROUND(I1953*J1953,2)=ROUND(L1953,2),"Valid","Mismatch"))</f>
        <v>Valid</v>
      </c>
      <c r="O1953">
        <f t="shared" si="61"/>
        <v>1355</v>
      </c>
    </row>
    <row r="1954" spans="1:15">
      <c r="A1954">
        <v>1169</v>
      </c>
      <c r="B1954" t="str">
        <f t="shared" si="60"/>
        <v>2022-09</v>
      </c>
      <c r="C1954" s="1">
        <v>44829</v>
      </c>
      <c r="D1954" s="5">
        <v>0.71666666666666667</v>
      </c>
      <c r="E1954">
        <v>101</v>
      </c>
      <c r="F1954" t="s">
        <v>11</v>
      </c>
      <c r="G1954">
        <v>18</v>
      </c>
      <c r="H1954" t="s">
        <v>13</v>
      </c>
      <c r="I1954">
        <v>3</v>
      </c>
      <c r="J1954" s="6">
        <v>500</v>
      </c>
      <c r="K1954">
        <v>255</v>
      </c>
      <c r="L1954">
        <v>1500</v>
      </c>
      <c r="M1954" t="str">
        <f>IF(OR(I1954="",J1954="",L1954=""),"Incomplete","Complete")</f>
        <v>Complete</v>
      </c>
      <c r="N1954" t="str">
        <f>IF(M1954="Incomplete","Not checked",IF(ROUND(I1954*J1954,2)=ROUND(L1954,2),"Valid","Mismatch"))</f>
        <v>Valid</v>
      </c>
      <c r="O1954">
        <f t="shared" si="61"/>
        <v>1245</v>
      </c>
    </row>
    <row r="1955" spans="1:15">
      <c r="A1955">
        <v>137</v>
      </c>
      <c r="B1955" t="str">
        <f t="shared" si="60"/>
        <v>2022-09</v>
      </c>
      <c r="C1955" s="1">
        <v>44814</v>
      </c>
      <c r="D1955" s="5">
        <v>0.86250000000000004</v>
      </c>
      <c r="E1955">
        <v>66</v>
      </c>
      <c r="F1955" t="s">
        <v>11</v>
      </c>
      <c r="G1955">
        <v>46</v>
      </c>
      <c r="H1955" t="s">
        <v>13</v>
      </c>
      <c r="I1955">
        <v>2</v>
      </c>
      <c r="J1955" s="6">
        <v>500</v>
      </c>
      <c r="K1955">
        <v>125</v>
      </c>
      <c r="L1955">
        <v>1000</v>
      </c>
      <c r="M1955" t="str">
        <f>IF(OR(I1955="",J1955="",L1955=""),"Incomplete","Complete")</f>
        <v>Complete</v>
      </c>
      <c r="N1955" t="str">
        <f>IF(M1955="Incomplete","Not checked",IF(ROUND(I1955*J1955,2)=ROUND(L1955,2),"Valid","Mismatch"))</f>
        <v>Valid</v>
      </c>
      <c r="O1955">
        <f t="shared" si="61"/>
        <v>875</v>
      </c>
    </row>
    <row r="1956" spans="1:15">
      <c r="A1956">
        <v>1137</v>
      </c>
      <c r="B1956" t="str">
        <f t="shared" si="60"/>
        <v>2022-11</v>
      </c>
      <c r="C1956" s="1">
        <v>44870</v>
      </c>
      <c r="D1956" s="5">
        <v>0.94027777777777777</v>
      </c>
      <c r="E1956">
        <v>104</v>
      </c>
      <c r="F1956" t="s">
        <v>11</v>
      </c>
      <c r="G1956">
        <v>46</v>
      </c>
      <c r="H1956" t="s">
        <v>13</v>
      </c>
      <c r="I1956">
        <v>2</v>
      </c>
      <c r="J1956" s="6">
        <v>500</v>
      </c>
      <c r="K1956">
        <v>145</v>
      </c>
      <c r="L1956">
        <v>1000</v>
      </c>
      <c r="M1956" t="str">
        <f>IF(OR(I1956="",J1956="",L1956=""),"Incomplete","Complete")</f>
        <v>Complete</v>
      </c>
      <c r="N1956" t="str">
        <f>IF(M1956="Incomplete","Not checked",IF(ROUND(I1956*J1956,2)=ROUND(L1956,2),"Valid","Mismatch"))</f>
        <v>Valid</v>
      </c>
      <c r="O1956">
        <f t="shared" si="61"/>
        <v>855</v>
      </c>
    </row>
    <row r="1957" spans="1:15">
      <c r="A1957">
        <v>74</v>
      </c>
      <c r="B1957" t="str">
        <f t="shared" si="60"/>
        <v>2023-10</v>
      </c>
      <c r="C1957" s="1">
        <v>45204</v>
      </c>
      <c r="D1957" s="5">
        <v>0.82638888888888884</v>
      </c>
      <c r="E1957">
        <v>56</v>
      </c>
      <c r="F1957" t="s">
        <v>14</v>
      </c>
      <c r="G1957">
        <v>18</v>
      </c>
      <c r="H1957" t="s">
        <v>13</v>
      </c>
      <c r="I1957">
        <v>4</v>
      </c>
      <c r="J1957" s="6">
        <v>500</v>
      </c>
      <c r="K1957">
        <v>205</v>
      </c>
      <c r="L1957">
        <v>2000</v>
      </c>
      <c r="M1957" t="str">
        <f>IF(OR(I1957="",J1957="",L1957=""),"Incomplete","Complete")</f>
        <v>Complete</v>
      </c>
      <c r="N1957" t="str">
        <f>IF(M1957="Incomplete","Not checked",IF(ROUND(I1957*J1957,2)=ROUND(L1957,2),"Valid","Mismatch"))</f>
        <v>Valid</v>
      </c>
      <c r="O1957">
        <f t="shared" si="61"/>
        <v>1795</v>
      </c>
    </row>
    <row r="1958" spans="1:15">
      <c r="A1958">
        <v>1074</v>
      </c>
      <c r="B1958" t="str">
        <f t="shared" si="60"/>
        <v>2022-10</v>
      </c>
      <c r="C1958" s="1">
        <v>44838</v>
      </c>
      <c r="D1958" s="5">
        <v>0.84583333333333333</v>
      </c>
      <c r="E1958">
        <v>67</v>
      </c>
      <c r="F1958" t="s">
        <v>14</v>
      </c>
      <c r="G1958">
        <v>18</v>
      </c>
      <c r="H1958" t="s">
        <v>13</v>
      </c>
      <c r="I1958">
        <v>4</v>
      </c>
      <c r="J1958" s="6">
        <v>500</v>
      </c>
      <c r="K1958">
        <v>230</v>
      </c>
      <c r="L1958">
        <v>2000</v>
      </c>
      <c r="M1958" t="str">
        <f>IF(OR(I1958="",J1958="",L1958=""),"Incomplete","Complete")</f>
        <v>Complete</v>
      </c>
      <c r="N1958" t="str">
        <f>IF(M1958="Incomplete","Not checked",IF(ROUND(I1958*J1958,2)=ROUND(L1958,2),"Valid","Mismatch"))</f>
        <v>Valid</v>
      </c>
      <c r="O1958">
        <f t="shared" si="61"/>
        <v>1770</v>
      </c>
    </row>
    <row r="1959" spans="1:15">
      <c r="A1959">
        <v>115</v>
      </c>
      <c r="B1959" t="str">
        <f t="shared" si="60"/>
        <v>2022-09</v>
      </c>
      <c r="C1959" s="1">
        <v>44806</v>
      </c>
      <c r="D1959" s="5">
        <v>0.80625000000000002</v>
      </c>
      <c r="E1959">
        <v>67</v>
      </c>
      <c r="F1959" t="s">
        <v>11</v>
      </c>
      <c r="G1959">
        <v>51</v>
      </c>
      <c r="H1959" t="s">
        <v>12</v>
      </c>
      <c r="I1959">
        <v>3</v>
      </c>
      <c r="J1959" s="6">
        <v>500</v>
      </c>
      <c r="K1959">
        <v>255</v>
      </c>
      <c r="L1959">
        <v>1500</v>
      </c>
      <c r="M1959" t="str">
        <f>IF(OR(I1959="",J1959="",L1959=""),"Incomplete","Complete")</f>
        <v>Complete</v>
      </c>
      <c r="N1959" t="str">
        <f>IF(M1959="Incomplete","Not checked",IF(ROUND(I1959*J1959,2)=ROUND(L1959,2),"Valid","Mismatch"))</f>
        <v>Valid</v>
      </c>
      <c r="O1959">
        <f t="shared" si="61"/>
        <v>1245</v>
      </c>
    </row>
    <row r="1960" spans="1:15">
      <c r="A1960">
        <v>1115</v>
      </c>
      <c r="B1960" t="str">
        <f t="shared" si="60"/>
        <v>2023-09</v>
      </c>
      <c r="C1960" s="1">
        <v>45190</v>
      </c>
      <c r="D1960" s="5">
        <v>0.7368055555555556</v>
      </c>
      <c r="E1960">
        <v>99</v>
      </c>
      <c r="F1960" t="s">
        <v>11</v>
      </c>
      <c r="G1960">
        <v>51</v>
      </c>
      <c r="H1960" t="s">
        <v>12</v>
      </c>
      <c r="I1960">
        <v>3</v>
      </c>
      <c r="J1960" s="6">
        <v>500</v>
      </c>
      <c r="K1960">
        <v>180</v>
      </c>
      <c r="L1960">
        <v>1500</v>
      </c>
      <c r="M1960" t="str">
        <f>IF(OR(I1960="",J1960="",L1960=""),"Incomplete","Complete")</f>
        <v>Complete</v>
      </c>
      <c r="N1960" t="str">
        <f>IF(M1960="Incomplete","Not checked",IF(ROUND(I1960*J1960,2)=ROUND(L1960,2),"Valid","Mismatch"))</f>
        <v>Valid</v>
      </c>
      <c r="O1960">
        <f t="shared" si="61"/>
        <v>1320</v>
      </c>
    </row>
    <row r="1961" spans="1:15">
      <c r="A1961">
        <v>215</v>
      </c>
      <c r="B1961" t="str">
        <f t="shared" si="60"/>
        <v>2022-10</v>
      </c>
      <c r="C1961" s="1">
        <v>44837</v>
      </c>
      <c r="D1961" s="5">
        <v>0.88888888888888884</v>
      </c>
      <c r="E1961">
        <v>101</v>
      </c>
      <c r="F1961" t="s">
        <v>11</v>
      </c>
      <c r="G1961">
        <v>58</v>
      </c>
      <c r="H1961" t="s">
        <v>12</v>
      </c>
      <c r="I1961">
        <v>3</v>
      </c>
      <c r="J1961" s="6">
        <v>500</v>
      </c>
      <c r="K1961">
        <v>145</v>
      </c>
      <c r="L1961">
        <v>1500</v>
      </c>
      <c r="M1961" t="str">
        <f>IF(OR(I1961="",J1961="",L1961=""),"Incomplete","Complete")</f>
        <v>Complete</v>
      </c>
      <c r="N1961" t="str">
        <f>IF(M1961="Incomplete","Not checked",IF(ROUND(I1961*J1961,2)=ROUND(L1961,2),"Valid","Mismatch"))</f>
        <v>Valid</v>
      </c>
      <c r="O1961">
        <f t="shared" si="61"/>
        <v>1355</v>
      </c>
    </row>
    <row r="1962" spans="1:15">
      <c r="A1962">
        <v>1215</v>
      </c>
      <c r="B1962" t="str">
        <f t="shared" si="60"/>
        <v>2022-11</v>
      </c>
      <c r="C1962" s="1">
        <v>44884</v>
      </c>
      <c r="D1962" s="5">
        <v>0.86388888888888893</v>
      </c>
      <c r="E1962">
        <v>107</v>
      </c>
      <c r="F1962" t="s">
        <v>11</v>
      </c>
      <c r="G1962">
        <v>58</v>
      </c>
      <c r="H1962" t="s">
        <v>12</v>
      </c>
      <c r="I1962">
        <v>3</v>
      </c>
      <c r="J1962" s="6">
        <v>500</v>
      </c>
      <c r="K1962">
        <v>130</v>
      </c>
      <c r="L1962">
        <v>1500</v>
      </c>
      <c r="M1962" t="str">
        <f>IF(OR(I1962="",J1962="",L1962=""),"Incomplete","Complete")</f>
        <v>Complete</v>
      </c>
      <c r="N1962" t="str">
        <f>IF(M1962="Incomplete","Not checked",IF(ROUND(I1962*J1962,2)=ROUND(L1962,2),"Valid","Mismatch"))</f>
        <v>Valid</v>
      </c>
      <c r="O1962">
        <f t="shared" si="61"/>
        <v>1370</v>
      </c>
    </row>
    <row r="1963" spans="1:15">
      <c r="A1963">
        <v>112</v>
      </c>
      <c r="B1963" t="str">
        <f t="shared" si="60"/>
        <v>2023-12</v>
      </c>
      <c r="C1963" s="1">
        <v>45285</v>
      </c>
      <c r="D1963" s="5">
        <v>0.78055555555555556</v>
      </c>
      <c r="E1963">
        <v>57</v>
      </c>
      <c r="F1963" t="s">
        <v>11</v>
      </c>
      <c r="G1963">
        <v>37</v>
      </c>
      <c r="H1963" t="s">
        <v>12</v>
      </c>
      <c r="I1963">
        <v>3</v>
      </c>
      <c r="J1963" s="6">
        <v>500</v>
      </c>
      <c r="K1963">
        <v>165</v>
      </c>
      <c r="L1963">
        <v>1500</v>
      </c>
      <c r="M1963" t="str">
        <f>IF(OR(I1963="",J1963="",L1963=""),"Incomplete","Complete")</f>
        <v>Complete</v>
      </c>
      <c r="N1963" t="str">
        <f>IF(M1963="Incomplete","Not checked",IF(ROUND(I1963*J1963,2)=ROUND(L1963,2),"Valid","Mismatch"))</f>
        <v>Valid</v>
      </c>
      <c r="O1963">
        <f t="shared" si="61"/>
        <v>1335</v>
      </c>
    </row>
    <row r="1964" spans="1:15">
      <c r="A1964">
        <v>608</v>
      </c>
      <c r="B1964" t="str">
        <f t="shared" si="60"/>
        <v>2022-12</v>
      </c>
      <c r="C1964" s="1">
        <v>44902</v>
      </c>
      <c r="D1964" s="5">
        <v>0.92986111111111114</v>
      </c>
      <c r="E1964">
        <v>112</v>
      </c>
      <c r="F1964" t="s">
        <v>14</v>
      </c>
      <c r="G1964">
        <v>55</v>
      </c>
      <c r="H1964" t="s">
        <v>15</v>
      </c>
      <c r="I1964">
        <v>3</v>
      </c>
      <c r="J1964" s="6">
        <v>500</v>
      </c>
      <c r="K1964">
        <v>200</v>
      </c>
      <c r="L1964">
        <v>1500</v>
      </c>
      <c r="M1964" t="str">
        <f>IF(OR(I1964="",J1964="",L1964=""),"Incomplete","Complete")</f>
        <v>Complete</v>
      </c>
      <c r="N1964" t="str">
        <f>IF(M1964="Incomplete","Not checked",IF(ROUND(I1964*J1964,2)=ROUND(L1964,2),"Valid","Mismatch"))</f>
        <v>Valid</v>
      </c>
      <c r="O1964">
        <f t="shared" si="61"/>
        <v>1300</v>
      </c>
    </row>
    <row r="1965" spans="1:15">
      <c r="A1965">
        <v>1112</v>
      </c>
      <c r="B1965" t="str">
        <f t="shared" si="60"/>
        <v>2022-12</v>
      </c>
      <c r="C1965" s="1">
        <v>44917</v>
      </c>
      <c r="D1965" s="5">
        <v>0.71597222222222223</v>
      </c>
      <c r="E1965">
        <v>94</v>
      </c>
      <c r="F1965" t="s">
        <v>11</v>
      </c>
      <c r="G1965">
        <v>37</v>
      </c>
      <c r="H1965" t="s">
        <v>12</v>
      </c>
      <c r="I1965">
        <v>3</v>
      </c>
      <c r="J1965" s="6">
        <v>500</v>
      </c>
      <c r="K1965">
        <v>180</v>
      </c>
      <c r="L1965">
        <v>1500</v>
      </c>
      <c r="M1965" t="str">
        <f>IF(OR(I1965="",J1965="",L1965=""),"Incomplete","Complete")</f>
        <v>Complete</v>
      </c>
      <c r="N1965" t="str">
        <f>IF(M1965="Incomplete","Not checked",IF(ROUND(I1965*J1965,2)=ROUND(L1965,2),"Valid","Mismatch"))</f>
        <v>Valid</v>
      </c>
      <c r="O1965">
        <f t="shared" si="61"/>
        <v>1320</v>
      </c>
    </row>
    <row r="1966" spans="1:15">
      <c r="A1966">
        <v>1608</v>
      </c>
      <c r="B1966" t="str">
        <f t="shared" si="60"/>
        <v>2023-09</v>
      </c>
      <c r="C1966" s="1">
        <v>45195</v>
      </c>
      <c r="D1966" s="5">
        <v>0.87569444444444444</v>
      </c>
      <c r="E1966">
        <v>87</v>
      </c>
      <c r="F1966" t="s">
        <v>14</v>
      </c>
      <c r="G1966">
        <v>55</v>
      </c>
      <c r="H1966" t="s">
        <v>15</v>
      </c>
      <c r="I1966">
        <v>3</v>
      </c>
      <c r="J1966" s="6">
        <v>500</v>
      </c>
      <c r="K1966">
        <v>265</v>
      </c>
      <c r="L1966">
        <v>1500</v>
      </c>
      <c r="M1966" t="str">
        <f>IF(OR(I1966="",J1966="",L1966=""),"Incomplete","Complete")</f>
        <v>Complete</v>
      </c>
      <c r="N1966" t="str">
        <f>IF(M1966="Incomplete","Not checked",IF(ROUND(I1966*J1966,2)=ROUND(L1966,2),"Valid","Mismatch"))</f>
        <v>Valid</v>
      </c>
      <c r="O1966">
        <f t="shared" si="61"/>
        <v>1235</v>
      </c>
    </row>
    <row r="1967" spans="1:15">
      <c r="A1967">
        <v>199</v>
      </c>
      <c r="B1967" t="str">
        <f t="shared" si="60"/>
        <v>2023-10</v>
      </c>
      <c r="C1967" s="1">
        <v>45225</v>
      </c>
      <c r="D1967" s="5">
        <v>0.89861111111111114</v>
      </c>
      <c r="E1967">
        <v>53</v>
      </c>
      <c r="F1967" t="s">
        <v>11</v>
      </c>
      <c r="G1967">
        <v>45</v>
      </c>
      <c r="H1967" t="s">
        <v>13</v>
      </c>
      <c r="I1967">
        <v>3</v>
      </c>
      <c r="J1967" s="6">
        <v>500</v>
      </c>
      <c r="K1967">
        <v>135</v>
      </c>
      <c r="L1967">
        <v>1500</v>
      </c>
      <c r="M1967" t="str">
        <f>IF(OR(I1967="",J1967="",L1967=""),"Incomplete","Complete")</f>
        <v>Complete</v>
      </c>
      <c r="N1967" t="str">
        <f>IF(M1967="Incomplete","Not checked",IF(ROUND(I1967*J1967,2)=ROUND(L1967,2),"Valid","Mismatch"))</f>
        <v>Valid</v>
      </c>
      <c r="O1967">
        <f t="shared" si="61"/>
        <v>1365</v>
      </c>
    </row>
    <row r="1968" spans="1:15">
      <c r="A1968">
        <v>1199</v>
      </c>
      <c r="B1968" t="str">
        <f t="shared" si="60"/>
        <v>2023-12</v>
      </c>
      <c r="C1968" s="1">
        <v>45276</v>
      </c>
      <c r="D1968" s="5">
        <v>0.74027777777777781</v>
      </c>
      <c r="E1968">
        <v>110</v>
      </c>
      <c r="F1968" t="s">
        <v>11</v>
      </c>
      <c r="G1968">
        <v>45</v>
      </c>
      <c r="H1968" t="s">
        <v>13</v>
      </c>
      <c r="I1968">
        <v>3</v>
      </c>
      <c r="J1968" s="6">
        <v>500</v>
      </c>
      <c r="K1968">
        <v>190</v>
      </c>
      <c r="L1968">
        <v>1500</v>
      </c>
      <c r="M1968" t="str">
        <f>IF(OR(I1968="",J1968="",L1968=""),"Incomplete","Complete")</f>
        <v>Complete</v>
      </c>
      <c r="N1968" t="str">
        <f>IF(M1968="Incomplete","Not checked",IF(ROUND(I1968*J1968,2)=ROUND(L1968,2),"Valid","Mismatch"))</f>
        <v>Valid</v>
      </c>
      <c r="O1968">
        <f t="shared" si="61"/>
        <v>1310</v>
      </c>
    </row>
    <row r="1969" spans="1:15">
      <c r="A1969">
        <v>65</v>
      </c>
      <c r="B1969" t="str">
        <f t="shared" si="60"/>
        <v>2022-12</v>
      </c>
      <c r="C1969" s="1">
        <v>44906</v>
      </c>
      <c r="D1969" s="5">
        <v>0.8354166666666667</v>
      </c>
      <c r="E1969">
        <v>84</v>
      </c>
      <c r="F1969" t="s">
        <v>11</v>
      </c>
      <c r="G1969">
        <v>51</v>
      </c>
      <c r="H1969" t="s">
        <v>15</v>
      </c>
      <c r="I1969">
        <v>4</v>
      </c>
      <c r="J1969" s="6">
        <v>500</v>
      </c>
      <c r="K1969">
        <v>160</v>
      </c>
      <c r="L1969">
        <v>2000</v>
      </c>
      <c r="M1969" t="str">
        <f>IF(OR(I1969="",J1969="",L1969=""),"Incomplete","Complete")</f>
        <v>Complete</v>
      </c>
      <c r="N1969" t="str">
        <f>IF(M1969="Incomplete","Not checked",IF(ROUND(I1969*J1969,2)=ROUND(L1969,2),"Valid","Mismatch"))</f>
        <v>Valid</v>
      </c>
      <c r="O1969">
        <f t="shared" si="61"/>
        <v>1840</v>
      </c>
    </row>
    <row r="1970" spans="1:15">
      <c r="A1970">
        <v>1065</v>
      </c>
      <c r="B1970" t="str">
        <f t="shared" si="60"/>
        <v>2023-10</v>
      </c>
      <c r="C1970" s="1">
        <v>45223</v>
      </c>
      <c r="D1970" s="5">
        <v>0.63611111111111107</v>
      </c>
      <c r="E1970">
        <v>76</v>
      </c>
      <c r="F1970" t="s">
        <v>11</v>
      </c>
      <c r="G1970">
        <v>51</v>
      </c>
      <c r="H1970" t="s">
        <v>15</v>
      </c>
      <c r="I1970">
        <v>4</v>
      </c>
      <c r="J1970" s="6">
        <v>500</v>
      </c>
      <c r="K1970">
        <v>175</v>
      </c>
      <c r="L1970">
        <v>2000</v>
      </c>
      <c r="M1970" t="str">
        <f>IF(OR(I1970="",J1970="",L1970=""),"Incomplete","Complete")</f>
        <v>Complete</v>
      </c>
      <c r="N1970" t="str">
        <f>IF(M1970="Incomplete","Not checked",IF(ROUND(I1970*J1970,2)=ROUND(L1970,2),"Valid","Mismatch"))</f>
        <v>Valid</v>
      </c>
      <c r="O1970">
        <f t="shared" si="61"/>
        <v>1825</v>
      </c>
    </row>
    <row r="1971" spans="1:15">
      <c r="A1971">
        <v>395</v>
      </c>
      <c r="B1971" t="str">
        <f t="shared" si="60"/>
        <v>2022-12</v>
      </c>
      <c r="C1971" s="1">
        <v>44896</v>
      </c>
      <c r="D1971" s="5">
        <v>0.625</v>
      </c>
      <c r="E1971">
        <v>76</v>
      </c>
      <c r="F1971" t="s">
        <v>11</v>
      </c>
      <c r="G1971">
        <v>50</v>
      </c>
      <c r="H1971" t="s">
        <v>15</v>
      </c>
      <c r="I1971">
        <v>2</v>
      </c>
      <c r="J1971" s="6">
        <v>500</v>
      </c>
      <c r="K1971">
        <v>175</v>
      </c>
      <c r="L1971">
        <v>1000</v>
      </c>
      <c r="M1971" t="str">
        <f>IF(OR(I1971="",J1971="",L1971=""),"Incomplete","Complete")</f>
        <v>Complete</v>
      </c>
      <c r="N1971" t="str">
        <f>IF(M1971="Incomplete","Not checked",IF(ROUND(I1971*J1971,2)=ROUND(L1971,2),"Valid","Mismatch"))</f>
        <v>Valid</v>
      </c>
      <c r="O1971">
        <f t="shared" si="61"/>
        <v>825</v>
      </c>
    </row>
    <row r="1972" spans="1:15">
      <c r="A1972">
        <v>580</v>
      </c>
      <c r="B1972" t="str">
        <f t="shared" si="60"/>
        <v>2022-11</v>
      </c>
      <c r="C1972" s="1">
        <v>44879</v>
      </c>
      <c r="D1972" s="5">
        <v>0.61388888888888893</v>
      </c>
      <c r="E1972">
        <v>104</v>
      </c>
      <c r="F1972" t="s">
        <v>14</v>
      </c>
      <c r="G1972">
        <v>31</v>
      </c>
      <c r="H1972" t="s">
        <v>12</v>
      </c>
      <c r="I1972">
        <v>3</v>
      </c>
      <c r="J1972" s="6">
        <v>500</v>
      </c>
      <c r="K1972">
        <v>200</v>
      </c>
      <c r="L1972">
        <v>1500</v>
      </c>
      <c r="M1972" t="str">
        <f>IF(OR(I1972="",J1972="",L1972=""),"Incomplete","Complete")</f>
        <v>Complete</v>
      </c>
      <c r="N1972" t="str">
        <f>IF(M1972="Incomplete","Not checked",IF(ROUND(I1972*J1972,2)=ROUND(L1972,2),"Valid","Mismatch"))</f>
        <v>Valid</v>
      </c>
      <c r="O1972">
        <f t="shared" si="61"/>
        <v>1300</v>
      </c>
    </row>
    <row r="1973" spans="1:15">
      <c r="A1973">
        <v>1395</v>
      </c>
      <c r="B1973" t="str">
        <f t="shared" si="60"/>
        <v>2023-09</v>
      </c>
      <c r="C1973" s="1">
        <v>45179</v>
      </c>
      <c r="D1973" s="5">
        <v>0.59583333333333333</v>
      </c>
      <c r="E1973">
        <v>91</v>
      </c>
      <c r="F1973" t="s">
        <v>11</v>
      </c>
      <c r="G1973">
        <v>50</v>
      </c>
      <c r="H1973" t="s">
        <v>15</v>
      </c>
      <c r="I1973">
        <v>2</v>
      </c>
      <c r="J1973" s="6">
        <v>500</v>
      </c>
      <c r="K1973">
        <v>130</v>
      </c>
      <c r="L1973">
        <v>1000</v>
      </c>
      <c r="M1973" t="str">
        <f>IF(OR(I1973="",J1973="",L1973=""),"Incomplete","Complete")</f>
        <v>Complete</v>
      </c>
      <c r="N1973" t="str">
        <f>IF(M1973="Incomplete","Not checked",IF(ROUND(I1973*J1973,2)=ROUND(L1973,2),"Valid","Mismatch"))</f>
        <v>Valid</v>
      </c>
      <c r="O1973">
        <f t="shared" si="61"/>
        <v>870</v>
      </c>
    </row>
    <row r="1974" spans="1:15">
      <c r="A1974">
        <v>1580</v>
      </c>
      <c r="B1974" t="str">
        <f t="shared" si="60"/>
        <v>2023-09</v>
      </c>
      <c r="C1974" s="1">
        <v>45190</v>
      </c>
      <c r="D1974" s="5">
        <v>0.65763888888888888</v>
      </c>
      <c r="E1974">
        <v>105</v>
      </c>
      <c r="F1974" t="s">
        <v>14</v>
      </c>
      <c r="G1974">
        <v>31</v>
      </c>
      <c r="H1974" t="s">
        <v>12</v>
      </c>
      <c r="I1974">
        <v>3</v>
      </c>
      <c r="J1974" s="6">
        <v>500</v>
      </c>
      <c r="K1974">
        <v>250</v>
      </c>
      <c r="L1974">
        <v>1500</v>
      </c>
      <c r="M1974" t="str">
        <f>IF(OR(I1974="",J1974="",L1974=""),"Incomplete","Complete")</f>
        <v>Complete</v>
      </c>
      <c r="N1974" t="str">
        <f>IF(M1974="Incomplete","Not checked",IF(ROUND(I1974*J1974,2)=ROUND(L1974,2),"Valid","Mismatch"))</f>
        <v>Valid</v>
      </c>
      <c r="O1974">
        <f t="shared" si="61"/>
        <v>1250</v>
      </c>
    </row>
    <row r="1975" spans="1:15">
      <c r="A1975">
        <v>531</v>
      </c>
      <c r="B1975" t="str">
        <f t="shared" si="60"/>
        <v>2022-10</v>
      </c>
      <c r="C1975" s="1">
        <v>44842</v>
      </c>
      <c r="D1975" s="5">
        <v>0.52083333333333337</v>
      </c>
      <c r="E1975">
        <v>105</v>
      </c>
      <c r="F1975" t="s">
        <v>11</v>
      </c>
      <c r="G1975">
        <v>31</v>
      </c>
      <c r="H1975" t="s">
        <v>15</v>
      </c>
      <c r="I1975">
        <v>1</v>
      </c>
      <c r="J1975" s="6">
        <v>500</v>
      </c>
      <c r="K1975">
        <v>275</v>
      </c>
      <c r="L1975">
        <v>500</v>
      </c>
      <c r="M1975" t="str">
        <f>IF(OR(I1975="",J1975="",L1975=""),"Incomplete","Complete")</f>
        <v>Complete</v>
      </c>
      <c r="N1975" t="str">
        <f>IF(M1975="Incomplete","Not checked",IF(ROUND(I1975*J1975,2)=ROUND(L1975,2),"Valid","Mismatch"))</f>
        <v>Valid</v>
      </c>
      <c r="O1975">
        <f t="shared" si="61"/>
        <v>225</v>
      </c>
    </row>
    <row r="1976" spans="1:15">
      <c r="A1976">
        <v>1531</v>
      </c>
      <c r="B1976" t="str">
        <f t="shared" si="60"/>
        <v>2022-09</v>
      </c>
      <c r="C1976" s="1">
        <v>44826</v>
      </c>
      <c r="D1976" s="5">
        <v>0.55486111111111114</v>
      </c>
      <c r="E1976">
        <v>56</v>
      </c>
      <c r="F1976" t="s">
        <v>11</v>
      </c>
      <c r="G1976">
        <v>31</v>
      </c>
      <c r="H1976" t="s">
        <v>15</v>
      </c>
      <c r="I1976">
        <v>1</v>
      </c>
      <c r="J1976" s="6">
        <v>500</v>
      </c>
      <c r="K1976">
        <v>250</v>
      </c>
      <c r="L1976">
        <v>500</v>
      </c>
      <c r="M1976" t="str">
        <f>IF(OR(I1976="",J1976="",L1976=""),"Incomplete","Complete")</f>
        <v>Complete</v>
      </c>
      <c r="N1976" t="str">
        <f>IF(M1976="Incomplete","Not checked",IF(ROUND(I1976*J1976,2)=ROUND(L1976,2),"Valid","Mismatch"))</f>
        <v>Valid</v>
      </c>
      <c r="O1976">
        <f t="shared" si="61"/>
        <v>250</v>
      </c>
    </row>
    <row r="1977" spans="1:15">
      <c r="A1977">
        <v>453</v>
      </c>
      <c r="B1977" t="str">
        <f t="shared" si="60"/>
        <v>2022-10</v>
      </c>
      <c r="C1977" s="1">
        <v>44848</v>
      </c>
      <c r="D1977" s="5">
        <v>0.61458333333333337</v>
      </c>
      <c r="E1977">
        <v>90</v>
      </c>
      <c r="F1977" t="s">
        <v>14</v>
      </c>
      <c r="G1977">
        <v>26</v>
      </c>
      <c r="H1977" t="s">
        <v>12</v>
      </c>
      <c r="I1977">
        <v>2</v>
      </c>
      <c r="J1977" s="6">
        <v>500</v>
      </c>
      <c r="K1977">
        <v>265</v>
      </c>
      <c r="L1977">
        <v>1000</v>
      </c>
      <c r="M1977" t="str">
        <f>IF(OR(I1977="",J1977="",L1977=""),"Incomplete","Complete")</f>
        <v>Complete</v>
      </c>
      <c r="N1977" t="str">
        <f>IF(M1977="Incomplete","Not checked",IF(ROUND(I1977*J1977,2)=ROUND(L1977,2),"Valid","Mismatch"))</f>
        <v>Valid</v>
      </c>
      <c r="O1977">
        <f t="shared" si="61"/>
        <v>735</v>
      </c>
    </row>
    <row r="1978" spans="1:15">
      <c r="A1978">
        <v>1453</v>
      </c>
      <c r="B1978" t="str">
        <f t="shared" si="60"/>
        <v>2023-10</v>
      </c>
      <c r="C1978" s="1">
        <v>45213</v>
      </c>
      <c r="D1978" s="5">
        <v>0.55833333333333335</v>
      </c>
      <c r="E1978">
        <v>113</v>
      </c>
      <c r="F1978" t="s">
        <v>14</v>
      </c>
      <c r="G1978">
        <v>26</v>
      </c>
      <c r="H1978" t="s">
        <v>12</v>
      </c>
      <c r="I1978">
        <v>2</v>
      </c>
      <c r="J1978" s="6">
        <v>500</v>
      </c>
      <c r="K1978">
        <v>205</v>
      </c>
      <c r="L1978">
        <v>1000</v>
      </c>
      <c r="M1978" t="str">
        <f>IF(OR(I1978="",J1978="",L1978=""),"Incomplete","Complete")</f>
        <v>Complete</v>
      </c>
      <c r="N1978" t="str">
        <f>IF(M1978="Incomplete","Not checked",IF(ROUND(I1978*J1978,2)=ROUND(L1978,2),"Valid","Mismatch"))</f>
        <v>Valid</v>
      </c>
      <c r="O1978">
        <f t="shared" si="61"/>
        <v>795</v>
      </c>
    </row>
    <row r="1979" spans="1:15">
      <c r="A1979">
        <v>355</v>
      </c>
      <c r="B1979" t="str">
        <f t="shared" si="60"/>
        <v>2022-09</v>
      </c>
      <c r="C1979" s="1">
        <v>44827</v>
      </c>
      <c r="D1979" s="5">
        <v>0.5708333333333333</v>
      </c>
      <c r="E1979">
        <v>96</v>
      </c>
      <c r="F1979" t="s">
        <v>14</v>
      </c>
      <c r="G1979">
        <v>55</v>
      </c>
      <c r="H1979" t="s">
        <v>15</v>
      </c>
      <c r="I1979">
        <v>1</v>
      </c>
      <c r="J1979" s="6">
        <v>500</v>
      </c>
      <c r="K1979">
        <v>260</v>
      </c>
      <c r="L1979">
        <v>500</v>
      </c>
      <c r="M1979" t="str">
        <f>IF(OR(I1979="",J1979="",L1979=""),"Incomplete","Complete")</f>
        <v>Complete</v>
      </c>
      <c r="N1979" t="str">
        <f>IF(M1979="Incomplete","Not checked",IF(ROUND(I1979*J1979,2)=ROUND(L1979,2),"Valid","Mismatch"))</f>
        <v>Valid</v>
      </c>
      <c r="O1979">
        <f t="shared" si="61"/>
        <v>240</v>
      </c>
    </row>
    <row r="1980" spans="1:15">
      <c r="A1980">
        <v>700</v>
      </c>
      <c r="B1980" t="str">
        <f t="shared" si="60"/>
        <v>2022-09</v>
      </c>
      <c r="C1980" s="1">
        <v>44805</v>
      </c>
      <c r="D1980" s="5">
        <v>0.62986111111111109</v>
      </c>
      <c r="E1980">
        <v>61</v>
      </c>
      <c r="F1980" t="s">
        <v>11</v>
      </c>
      <c r="G1980">
        <v>36</v>
      </c>
      <c r="H1980" t="s">
        <v>15</v>
      </c>
      <c r="I1980">
        <v>4</v>
      </c>
      <c r="J1980" s="6">
        <v>500</v>
      </c>
      <c r="K1980">
        <v>250</v>
      </c>
      <c r="L1980">
        <v>2000</v>
      </c>
      <c r="M1980" t="str">
        <f>IF(OR(I1980="",J1980="",L1980=""),"Incomplete","Complete")</f>
        <v>Complete</v>
      </c>
      <c r="N1980" t="str">
        <f>IF(M1980="Incomplete","Not checked",IF(ROUND(I1980*J1980,2)=ROUND(L1980,2),"Valid","Mismatch"))</f>
        <v>Valid</v>
      </c>
      <c r="O1980">
        <f t="shared" si="61"/>
        <v>1750</v>
      </c>
    </row>
    <row r="1981" spans="1:15">
      <c r="A1981">
        <v>1355</v>
      </c>
      <c r="B1981" t="str">
        <f t="shared" si="60"/>
        <v>2023-09</v>
      </c>
      <c r="C1981" s="1">
        <v>45186</v>
      </c>
      <c r="D1981" s="5">
        <v>0.55486111111111114</v>
      </c>
      <c r="E1981">
        <v>107</v>
      </c>
      <c r="F1981" t="s">
        <v>14</v>
      </c>
      <c r="G1981">
        <v>55</v>
      </c>
      <c r="H1981" t="s">
        <v>15</v>
      </c>
      <c r="I1981">
        <v>1</v>
      </c>
      <c r="J1981" s="6">
        <v>500</v>
      </c>
      <c r="K1981">
        <v>155</v>
      </c>
      <c r="L1981">
        <v>500</v>
      </c>
      <c r="M1981" t="str">
        <f>IF(OR(I1981="",J1981="",L1981=""),"Incomplete","Complete")</f>
        <v>Complete</v>
      </c>
      <c r="N1981" t="str">
        <f>IF(M1981="Incomplete","Not checked",IF(ROUND(I1981*J1981,2)=ROUND(L1981,2),"Valid","Mismatch"))</f>
        <v>Valid</v>
      </c>
      <c r="O1981">
        <f t="shared" si="61"/>
        <v>345</v>
      </c>
    </row>
    <row r="1982" spans="1:15">
      <c r="A1982">
        <v>1700</v>
      </c>
      <c r="B1982" t="str">
        <f t="shared" si="60"/>
        <v>2023-09</v>
      </c>
      <c r="C1982" s="1">
        <v>45196</v>
      </c>
      <c r="D1982" s="5">
        <v>0.67361111111111116</v>
      </c>
      <c r="E1982">
        <v>87</v>
      </c>
      <c r="F1982" t="s">
        <v>11</v>
      </c>
      <c r="G1982">
        <v>36</v>
      </c>
      <c r="H1982" t="s">
        <v>15</v>
      </c>
      <c r="I1982">
        <v>4</v>
      </c>
      <c r="J1982" s="6">
        <v>500</v>
      </c>
      <c r="K1982">
        <v>210</v>
      </c>
      <c r="L1982">
        <v>2000</v>
      </c>
      <c r="M1982" t="str">
        <f>IF(OR(I1982="",J1982="",L1982=""),"Incomplete","Complete")</f>
        <v>Complete</v>
      </c>
      <c r="N1982" t="str">
        <f>IF(M1982="Incomplete","Not checked",IF(ROUND(I1982*J1982,2)=ROUND(L1982,2),"Valid","Mismatch"))</f>
        <v>Valid</v>
      </c>
      <c r="O1982">
        <f t="shared" si="61"/>
        <v>1790</v>
      </c>
    </row>
    <row r="1983" spans="1:15">
      <c r="A1983">
        <v>139</v>
      </c>
      <c r="B1983" t="str">
        <f t="shared" si="60"/>
        <v>2023-09</v>
      </c>
      <c r="C1983" s="1">
        <v>45184</v>
      </c>
      <c r="D1983" s="5">
        <v>0.5854166666666667</v>
      </c>
      <c r="E1983">
        <v>113</v>
      </c>
      <c r="F1983" t="s">
        <v>11</v>
      </c>
      <c r="G1983">
        <v>36</v>
      </c>
      <c r="H1983" t="s">
        <v>13</v>
      </c>
      <c r="I1983">
        <v>4</v>
      </c>
      <c r="J1983" s="6">
        <v>500</v>
      </c>
      <c r="K1983">
        <v>230</v>
      </c>
      <c r="L1983">
        <v>2000</v>
      </c>
      <c r="M1983" t="str">
        <f>IF(OR(I1983="",J1983="",L1983=""),"Incomplete","Complete")</f>
        <v>Complete</v>
      </c>
      <c r="N1983" t="str">
        <f>IF(M1983="Incomplete","Not checked",IF(ROUND(I1983*J1983,2)=ROUND(L1983,2),"Valid","Mismatch"))</f>
        <v>Valid</v>
      </c>
      <c r="O1983">
        <f t="shared" si="61"/>
        <v>1770</v>
      </c>
    </row>
    <row r="1984" spans="1:15">
      <c r="A1984">
        <v>1139</v>
      </c>
      <c r="B1984" t="str">
        <f t="shared" si="60"/>
        <v>2023-12</v>
      </c>
      <c r="C1984" s="1">
        <v>45281</v>
      </c>
      <c r="D1984" s="5">
        <v>0.59930555555555554</v>
      </c>
      <c r="E1984">
        <v>87</v>
      </c>
      <c r="F1984" t="s">
        <v>11</v>
      </c>
      <c r="G1984">
        <v>36</v>
      </c>
      <c r="H1984" t="s">
        <v>13</v>
      </c>
      <c r="I1984">
        <v>4</v>
      </c>
      <c r="J1984" s="6">
        <v>500</v>
      </c>
      <c r="K1984">
        <v>230</v>
      </c>
      <c r="L1984">
        <v>2000</v>
      </c>
      <c r="M1984" t="str">
        <f>IF(OR(I1984="",J1984="",L1984=""),"Incomplete","Complete")</f>
        <v>Complete</v>
      </c>
      <c r="N1984" t="str">
        <f>IF(M1984="Incomplete","Not checked",IF(ROUND(I1984*J1984,2)=ROUND(L1984,2),"Valid","Mismatch"))</f>
        <v>Valid</v>
      </c>
      <c r="O1984">
        <f t="shared" si="61"/>
        <v>1770</v>
      </c>
    </row>
    <row r="1985" spans="1:15">
      <c r="A1985">
        <v>153</v>
      </c>
      <c r="B1985" t="str">
        <f t="shared" si="60"/>
        <v>2023-11</v>
      </c>
      <c r="C1985" s="1">
        <v>45249</v>
      </c>
      <c r="D1985" s="5">
        <v>0.66111111111111109</v>
      </c>
      <c r="E1985">
        <v>62</v>
      </c>
      <c r="F1985" t="s">
        <v>11</v>
      </c>
      <c r="G1985">
        <v>63</v>
      </c>
      <c r="H1985" t="s">
        <v>15</v>
      </c>
      <c r="I1985">
        <v>2</v>
      </c>
      <c r="J1985" s="6">
        <v>500</v>
      </c>
      <c r="K1985">
        <v>195</v>
      </c>
      <c r="L1985">
        <v>1000</v>
      </c>
      <c r="M1985" t="str">
        <f>IF(OR(I1985="",J1985="",L1985=""),"Incomplete","Complete")</f>
        <v>Complete</v>
      </c>
      <c r="N1985" t="str">
        <f>IF(M1985="Incomplete","Not checked",IF(ROUND(I1985*J1985,2)=ROUND(L1985,2),"Valid","Mismatch"))</f>
        <v>Valid</v>
      </c>
      <c r="O1985">
        <f t="shared" si="61"/>
        <v>805</v>
      </c>
    </row>
    <row r="1986" spans="1:15">
      <c r="A1986">
        <v>1153</v>
      </c>
      <c r="B1986" t="str">
        <f t="shared" ref="B1986:B2049" si="62">TEXT(C1986,"yyyy-mm")</f>
        <v>2022-09</v>
      </c>
      <c r="C1986" s="1">
        <v>44828</v>
      </c>
      <c r="D1986" s="5">
        <v>0.52083333333333337</v>
      </c>
      <c r="E1986">
        <v>91</v>
      </c>
      <c r="F1986" t="s">
        <v>11</v>
      </c>
      <c r="G1986">
        <v>63</v>
      </c>
      <c r="H1986" t="s">
        <v>15</v>
      </c>
      <c r="I1986">
        <v>2</v>
      </c>
      <c r="J1986" s="6">
        <v>500</v>
      </c>
      <c r="K1986">
        <v>265</v>
      </c>
      <c r="L1986">
        <v>1000</v>
      </c>
      <c r="M1986" t="str">
        <f>IF(OR(I1986="",J1986="",L1986=""),"Incomplete","Complete")</f>
        <v>Complete</v>
      </c>
      <c r="N1986" t="str">
        <f>IF(M1986="Incomplete","Not checked",IF(ROUND(I1986*J1986,2)=ROUND(L1986,2),"Valid","Mismatch"))</f>
        <v>Valid</v>
      </c>
      <c r="O1986">
        <f t="shared" ref="O1986:O2001" si="63">IF(M1986="Incomplete","",L1986-K1986)</f>
        <v>735</v>
      </c>
    </row>
    <row r="1987" spans="1:15">
      <c r="A1987">
        <v>994</v>
      </c>
      <c r="B1987" t="str">
        <f t="shared" si="62"/>
        <v>2022-12</v>
      </c>
      <c r="C1987" s="1">
        <v>44919</v>
      </c>
      <c r="D1987" s="5">
        <v>0.69305555555555554</v>
      </c>
      <c r="E1987">
        <v>73</v>
      </c>
      <c r="F1987" t="s">
        <v>14</v>
      </c>
      <c r="G1987">
        <v>51</v>
      </c>
      <c r="H1987" t="s">
        <v>13</v>
      </c>
      <c r="I1987">
        <v>2</v>
      </c>
      <c r="J1987" s="6">
        <v>500</v>
      </c>
      <c r="K1987">
        <v>125</v>
      </c>
      <c r="L1987">
        <v>1000</v>
      </c>
      <c r="M1987" t="str">
        <f>IF(OR(I1987="",J1987="",L1987=""),"Incomplete","Complete")</f>
        <v>Complete</v>
      </c>
      <c r="N1987" t="str">
        <f>IF(M1987="Incomplete","Not checked",IF(ROUND(I1987*J1987,2)=ROUND(L1987,2),"Valid","Mismatch"))</f>
        <v>Valid</v>
      </c>
      <c r="O1987">
        <f t="shared" si="63"/>
        <v>875</v>
      </c>
    </row>
    <row r="1988" spans="1:15">
      <c r="A1988">
        <v>1994</v>
      </c>
      <c r="B1988" t="str">
        <f t="shared" si="62"/>
        <v>2022-11</v>
      </c>
      <c r="C1988" s="1">
        <v>44885</v>
      </c>
      <c r="D1988" s="5">
        <v>0.56041666666666667</v>
      </c>
      <c r="E1988">
        <v>86</v>
      </c>
      <c r="F1988" t="s">
        <v>14</v>
      </c>
      <c r="G1988">
        <v>51</v>
      </c>
      <c r="H1988" t="s">
        <v>13</v>
      </c>
      <c r="I1988">
        <v>2</v>
      </c>
      <c r="J1988" s="6">
        <v>500</v>
      </c>
      <c r="K1988">
        <v>250</v>
      </c>
      <c r="L1988">
        <v>1000</v>
      </c>
      <c r="M1988" t="str">
        <f>IF(OR(I1988="",J1988="",L1988=""),"Incomplete","Complete")</f>
        <v>Complete</v>
      </c>
      <c r="N1988" t="str">
        <f>IF(M1988="Incomplete","Not checked",IF(ROUND(I1988*J1988,2)=ROUND(L1988,2),"Valid","Mismatch"))</f>
        <v>Valid</v>
      </c>
      <c r="O1988">
        <f t="shared" si="63"/>
        <v>750</v>
      </c>
    </row>
    <row r="1989" spans="1:15">
      <c r="A1989">
        <v>662</v>
      </c>
      <c r="B1989" t="str">
        <f t="shared" si="62"/>
        <v>2022-12</v>
      </c>
      <c r="C1989" s="1">
        <v>44898</v>
      </c>
      <c r="D1989" s="5">
        <v>0.52777777777777779</v>
      </c>
      <c r="E1989">
        <v>100</v>
      </c>
      <c r="F1989" t="s">
        <v>11</v>
      </c>
      <c r="G1989">
        <v>48</v>
      </c>
      <c r="H1989" t="s">
        <v>13</v>
      </c>
      <c r="I1989">
        <v>2</v>
      </c>
      <c r="J1989" s="6">
        <v>500</v>
      </c>
      <c r="K1989">
        <v>145</v>
      </c>
      <c r="L1989">
        <v>1000</v>
      </c>
      <c r="M1989" t="str">
        <f>IF(OR(I1989="",J1989="",L1989=""),"Incomplete","Complete")</f>
        <v>Complete</v>
      </c>
      <c r="N1989" t="str">
        <f>IF(M1989="Incomplete","Not checked",IF(ROUND(I1989*J1989,2)=ROUND(L1989,2),"Valid","Mismatch"))</f>
        <v>Valid</v>
      </c>
      <c r="O1989">
        <f t="shared" si="63"/>
        <v>855</v>
      </c>
    </row>
    <row r="1990" spans="1:15">
      <c r="A1990">
        <v>1662</v>
      </c>
      <c r="B1990" t="str">
        <f t="shared" si="62"/>
        <v>2023-12</v>
      </c>
      <c r="C1990" s="1">
        <v>45280</v>
      </c>
      <c r="D1990" s="5">
        <v>0.52638888888888891</v>
      </c>
      <c r="E1990">
        <v>106</v>
      </c>
      <c r="F1990" t="s">
        <v>11</v>
      </c>
      <c r="G1990">
        <v>48</v>
      </c>
      <c r="H1990" t="s">
        <v>13</v>
      </c>
      <c r="I1990">
        <v>2</v>
      </c>
      <c r="J1990" s="6">
        <v>500</v>
      </c>
      <c r="K1990">
        <v>240</v>
      </c>
      <c r="L1990">
        <v>1000</v>
      </c>
      <c r="M1990" t="str">
        <f>IF(OR(I1990="",J1990="",L1990=""),"Incomplete","Complete")</f>
        <v>Complete</v>
      </c>
      <c r="N1990" t="str">
        <f>IF(M1990="Incomplete","Not checked",IF(ROUND(I1990*J1990,2)=ROUND(L1990,2),"Valid","Mismatch"))</f>
        <v>Valid</v>
      </c>
      <c r="O1990">
        <f t="shared" si="63"/>
        <v>760</v>
      </c>
    </row>
    <row r="1991" spans="1:15">
      <c r="A1991">
        <v>781</v>
      </c>
      <c r="B1991" t="str">
        <f t="shared" si="62"/>
        <v>2022-10</v>
      </c>
      <c r="C1991" s="1">
        <v>44853</v>
      </c>
      <c r="D1991" s="5">
        <v>0.70277777777777772</v>
      </c>
      <c r="E1991">
        <v>106</v>
      </c>
      <c r="F1991" t="s">
        <v>11</v>
      </c>
      <c r="G1991">
        <v>35</v>
      </c>
      <c r="H1991" t="s">
        <v>13</v>
      </c>
      <c r="I1991">
        <v>1</v>
      </c>
      <c r="J1991" s="6">
        <v>500</v>
      </c>
      <c r="K1991">
        <v>225</v>
      </c>
      <c r="L1991">
        <v>500</v>
      </c>
      <c r="M1991" t="str">
        <f>IF(OR(I1991="",J1991="",L1991=""),"Incomplete","Complete")</f>
        <v>Complete</v>
      </c>
      <c r="N1991" t="str">
        <f>IF(M1991="Incomplete","Not checked",IF(ROUND(I1991*J1991,2)=ROUND(L1991,2),"Valid","Mismatch"))</f>
        <v>Valid</v>
      </c>
      <c r="O1991">
        <f t="shared" si="63"/>
        <v>275</v>
      </c>
    </row>
    <row r="1992" spans="1:15">
      <c r="A1992">
        <v>1781</v>
      </c>
      <c r="B1992" t="str">
        <f t="shared" si="62"/>
        <v>2022-10</v>
      </c>
      <c r="C1992" s="1">
        <v>44847</v>
      </c>
      <c r="D1992" s="5">
        <v>0.51527777777777772</v>
      </c>
      <c r="E1992">
        <v>55</v>
      </c>
      <c r="F1992" t="s">
        <v>11</v>
      </c>
      <c r="G1992">
        <v>35</v>
      </c>
      <c r="H1992" t="s">
        <v>13</v>
      </c>
      <c r="I1992">
        <v>1</v>
      </c>
      <c r="J1992" s="6">
        <v>500</v>
      </c>
      <c r="K1992">
        <v>225</v>
      </c>
      <c r="L1992">
        <v>500</v>
      </c>
      <c r="M1992" t="str">
        <f>IF(OR(I1992="",J1992="",L1992=""),"Incomplete","Complete")</f>
        <v>Complete</v>
      </c>
      <c r="N1992" t="str">
        <f>IF(M1992="Incomplete","Not checked",IF(ROUND(I1992*J1992,2)=ROUND(L1992,2),"Valid","Mismatch"))</f>
        <v>Valid</v>
      </c>
      <c r="O1992">
        <f t="shared" si="63"/>
        <v>275</v>
      </c>
    </row>
    <row r="1993" spans="1:15">
      <c r="A1993">
        <v>664</v>
      </c>
      <c r="B1993" t="str">
        <f t="shared" si="62"/>
        <v>2022-09</v>
      </c>
      <c r="C1993" s="1">
        <v>44807</v>
      </c>
      <c r="D1993" s="5">
        <v>0.70277777777777772</v>
      </c>
      <c r="E1993">
        <v>109</v>
      </c>
      <c r="F1993" t="s">
        <v>14</v>
      </c>
      <c r="G1993">
        <v>44</v>
      </c>
      <c r="H1993" t="s">
        <v>12</v>
      </c>
      <c r="I1993">
        <v>4</v>
      </c>
      <c r="J1993" s="6">
        <v>500</v>
      </c>
      <c r="K1993">
        <v>170</v>
      </c>
      <c r="L1993">
        <v>2000</v>
      </c>
      <c r="M1993" t="str">
        <f>IF(OR(I1993="",J1993="",L1993=""),"Incomplete","Complete")</f>
        <v>Complete</v>
      </c>
      <c r="N1993" t="str">
        <f>IF(M1993="Incomplete","Not checked",IF(ROUND(I1993*J1993,2)=ROUND(L1993,2),"Valid","Mismatch"))</f>
        <v>Valid</v>
      </c>
      <c r="O1993">
        <f t="shared" si="63"/>
        <v>1830</v>
      </c>
    </row>
    <row r="1994" spans="1:15">
      <c r="A1994">
        <v>1664</v>
      </c>
      <c r="B1994" t="str">
        <f t="shared" si="62"/>
        <v>2023-12</v>
      </c>
      <c r="C1994" s="1">
        <v>45272</v>
      </c>
      <c r="D1994" s="5">
        <v>0.69722222222222219</v>
      </c>
      <c r="E1994">
        <v>99</v>
      </c>
      <c r="F1994" t="s">
        <v>14</v>
      </c>
      <c r="G1994">
        <v>44</v>
      </c>
      <c r="H1994" t="s">
        <v>12</v>
      </c>
      <c r="I1994">
        <v>4</v>
      </c>
      <c r="J1994" s="6">
        <v>500</v>
      </c>
      <c r="K1994">
        <v>245</v>
      </c>
      <c r="L1994">
        <v>2000</v>
      </c>
      <c r="M1994" t="str">
        <f>IF(OR(I1994="",J1994="",L1994=""),"Incomplete","Complete")</f>
        <v>Complete</v>
      </c>
      <c r="N1994" t="str">
        <f>IF(M1994="Incomplete","Not checked",IF(ROUND(I1994*J1994,2)=ROUND(L1994,2),"Valid","Mismatch"))</f>
        <v>Valid</v>
      </c>
      <c r="O1994">
        <f t="shared" si="63"/>
        <v>1755</v>
      </c>
    </row>
    <row r="1995" spans="1:15">
      <c r="A1995">
        <v>805</v>
      </c>
      <c r="B1995" t="str">
        <f t="shared" si="62"/>
        <v>2022-09</v>
      </c>
      <c r="C1995" s="1">
        <v>44807</v>
      </c>
      <c r="D1995" s="5">
        <v>0.57986111111111116</v>
      </c>
      <c r="E1995">
        <v>59</v>
      </c>
      <c r="F1995" t="s">
        <v>14</v>
      </c>
      <c r="G1995">
        <v>30</v>
      </c>
      <c r="H1995" t="s">
        <v>13</v>
      </c>
      <c r="I1995">
        <v>3</v>
      </c>
      <c r="J1995" s="6">
        <v>500</v>
      </c>
      <c r="K1995">
        <v>155</v>
      </c>
      <c r="L1995">
        <v>1500</v>
      </c>
      <c r="M1995" t="str">
        <f>IF(OR(I1995="",J1995="",L1995=""),"Incomplete","Complete")</f>
        <v>Complete</v>
      </c>
      <c r="N1995" t="str">
        <f>IF(M1995="Incomplete","Not checked",IF(ROUND(I1995*J1995,2)=ROUND(L1995,2),"Valid","Mismatch"))</f>
        <v>Valid</v>
      </c>
      <c r="O1995">
        <f t="shared" si="63"/>
        <v>1345</v>
      </c>
    </row>
    <row r="1996" spans="1:15">
      <c r="A1996">
        <v>1805</v>
      </c>
      <c r="B1996" t="str">
        <f t="shared" si="62"/>
        <v>2023-10</v>
      </c>
      <c r="C1996" s="1">
        <v>45209</v>
      </c>
      <c r="D1996" s="5">
        <v>0.56597222222222221</v>
      </c>
      <c r="E1996">
        <v>79</v>
      </c>
      <c r="F1996" t="s">
        <v>14</v>
      </c>
      <c r="G1996">
        <v>30</v>
      </c>
      <c r="H1996" t="s">
        <v>13</v>
      </c>
      <c r="I1996">
        <v>3</v>
      </c>
      <c r="J1996" s="6">
        <v>500</v>
      </c>
      <c r="K1996">
        <v>225</v>
      </c>
      <c r="L1996">
        <v>1500</v>
      </c>
      <c r="M1996" t="str">
        <f>IF(OR(I1996="",J1996="",L1996=""),"Incomplete","Complete")</f>
        <v>Complete</v>
      </c>
      <c r="N1996" t="str">
        <f>IF(M1996="Incomplete","Not checked",IF(ROUND(I1996*J1996,2)=ROUND(L1996,2),"Valid","Mismatch"))</f>
        <v>Valid</v>
      </c>
      <c r="O1996">
        <f t="shared" si="63"/>
        <v>1275</v>
      </c>
    </row>
    <row r="1997" spans="1:15">
      <c r="A1997">
        <v>211</v>
      </c>
      <c r="B1997" t="str">
        <f t="shared" si="62"/>
        <v>2022-09</v>
      </c>
      <c r="C1997" s="1">
        <v>44816</v>
      </c>
      <c r="D1997" s="5">
        <v>0.58472222222222225</v>
      </c>
      <c r="E1997">
        <v>54</v>
      </c>
      <c r="F1997" t="s">
        <v>11</v>
      </c>
      <c r="G1997">
        <v>42</v>
      </c>
      <c r="H1997" t="s">
        <v>13</v>
      </c>
      <c r="I1997">
        <v>3</v>
      </c>
      <c r="J1997" s="6">
        <v>500</v>
      </c>
      <c r="K1997">
        <v>235</v>
      </c>
      <c r="L1997">
        <v>1500</v>
      </c>
      <c r="M1997" t="str">
        <f>IF(OR(I1997="",J1997="",L1997=""),"Incomplete","Complete")</f>
        <v>Complete</v>
      </c>
      <c r="N1997" t="str">
        <f>IF(M1997="Incomplete","Not checked",IF(ROUND(I1997*J1997,2)=ROUND(L1997,2),"Valid","Mismatch"))</f>
        <v>Valid</v>
      </c>
      <c r="O1997">
        <f t="shared" si="63"/>
        <v>1265</v>
      </c>
    </row>
    <row r="1998" spans="1:15">
      <c r="A1998">
        <v>1211</v>
      </c>
      <c r="B1998" t="str">
        <f t="shared" si="62"/>
        <v>2023-11</v>
      </c>
      <c r="C1998" s="1">
        <v>45252</v>
      </c>
      <c r="D1998" s="5">
        <v>0.62430555555555556</v>
      </c>
      <c r="E1998">
        <v>82</v>
      </c>
      <c r="F1998" t="s">
        <v>11</v>
      </c>
      <c r="G1998">
        <v>42</v>
      </c>
      <c r="H1998" t="s">
        <v>13</v>
      </c>
      <c r="I1998">
        <v>3</v>
      </c>
      <c r="J1998" s="6">
        <v>500</v>
      </c>
      <c r="K1998">
        <v>235</v>
      </c>
      <c r="L1998">
        <v>1500</v>
      </c>
      <c r="M1998" t="str">
        <f>IF(OR(I1998="",J1998="",L1998=""),"Incomplete","Complete")</f>
        <v>Complete</v>
      </c>
      <c r="N1998" t="str">
        <f>IF(M1998="Incomplete","Not checked",IF(ROUND(I1998*J1998,2)=ROUND(L1998,2),"Valid","Mismatch"))</f>
        <v>Valid</v>
      </c>
      <c r="O1998">
        <f t="shared" si="63"/>
        <v>1265</v>
      </c>
    </row>
    <row r="1999" spans="1:15">
      <c r="A1999">
        <v>679</v>
      </c>
      <c r="B1999" t="str">
        <f t="shared" si="62"/>
        <v>2022-08</v>
      </c>
      <c r="C1999" s="1">
        <v>44799</v>
      </c>
      <c r="D1999" s="5">
        <v>0.37430555555555556</v>
      </c>
      <c r="E1999">
        <v>64</v>
      </c>
      <c r="F1999" t="s">
        <v>14</v>
      </c>
      <c r="G1999">
        <v>18</v>
      </c>
      <c r="H1999" t="s">
        <v>13</v>
      </c>
      <c r="M1999" t="str">
        <f>IF(OR(I1999="",J1999="",L1999=""),"Incomplete","Complete")</f>
        <v>Incomplete</v>
      </c>
      <c r="N1999" t="str">
        <f>IF(M1999="Incomplete","Not checked",IF(ROUND(I1999*J1999,2)=ROUND(L1999,2),"Valid","Mismatch"))</f>
        <v>Not checked</v>
      </c>
      <c r="O1999" t="str">
        <f t="shared" si="63"/>
        <v/>
      </c>
    </row>
    <row r="2000" spans="1:15">
      <c r="A2000">
        <v>746</v>
      </c>
      <c r="B2000" t="str">
        <f t="shared" si="62"/>
        <v>2022-07</v>
      </c>
      <c r="C2000" s="1">
        <v>44747</v>
      </c>
      <c r="D2000" s="5">
        <v>0.48125000000000001</v>
      </c>
      <c r="E2000">
        <v>42</v>
      </c>
      <c r="F2000" t="s">
        <v>14</v>
      </c>
      <c r="G2000">
        <v>33</v>
      </c>
      <c r="H2000" t="s">
        <v>12</v>
      </c>
      <c r="M2000" t="str">
        <f>IF(OR(I2000="",J2000="",L2000=""),"Incomplete","Complete")</f>
        <v>Incomplete</v>
      </c>
      <c r="N2000" t="str">
        <f>IF(M2000="Incomplete","Not checked",IF(ROUND(I2000*J2000,2)=ROUND(L2000,2),"Valid","Mismatch"))</f>
        <v>Not checked</v>
      </c>
      <c r="O2000" t="str">
        <f t="shared" si="63"/>
        <v/>
      </c>
    </row>
    <row r="2001" spans="1:15">
      <c r="A2001">
        <v>1225</v>
      </c>
      <c r="B2001" t="str">
        <f t="shared" si="62"/>
        <v>2022-02</v>
      </c>
      <c r="C2001" s="1">
        <v>44594</v>
      </c>
      <c r="D2001" s="5">
        <v>0.41041666666666665</v>
      </c>
      <c r="E2001">
        <v>137</v>
      </c>
      <c r="F2001" t="s">
        <v>14</v>
      </c>
      <c r="G2001">
        <v>57</v>
      </c>
      <c r="H2001" t="s">
        <v>13</v>
      </c>
      <c r="M2001" t="str">
        <f>IF(OR(I2001="",J2001="",L2001=""),"Incomplete","Complete")</f>
        <v>Incomplete</v>
      </c>
      <c r="N2001" t="str">
        <f>IF(M2001="Incomplete","Not checked",IF(ROUND(I2001*J2001,2)=ROUND(L2001,2),"Valid","Mismatch"))</f>
        <v>Not checked</v>
      </c>
      <c r="O2001" t="str">
        <f t="shared" si="63"/>
        <v/>
      </c>
    </row>
  </sheetData>
  <conditionalFormatting sqref="A2:B2001">
    <cfRule type="duplicateValues" dxfId="7"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E5536-97BB-44CE-AB29-28422D0CBE5D}">
  <dimension ref="A1:D24"/>
  <sheetViews>
    <sheetView topLeftCell="B1" workbookViewId="0">
      <selection activeCell="D8" sqref="D8"/>
    </sheetView>
  </sheetViews>
  <sheetFormatPr defaultColWidth="46.85546875" defaultRowHeight="15"/>
  <sheetData>
    <row r="1" spans="1:4">
      <c r="A1" s="3" t="s">
        <v>20</v>
      </c>
      <c r="B1" s="3" t="s">
        <v>21</v>
      </c>
      <c r="C1" s="3" t="s">
        <v>22</v>
      </c>
      <c r="D1" t="s">
        <v>23</v>
      </c>
    </row>
    <row r="2" spans="1:4">
      <c r="A2" t="s">
        <v>24</v>
      </c>
      <c r="B2">
        <v>0</v>
      </c>
      <c r="C2" t="s">
        <v>25</v>
      </c>
      <c r="D2" t="s">
        <v>26</v>
      </c>
    </row>
    <row r="3" spans="1:4">
      <c r="A3" t="s">
        <v>27</v>
      </c>
      <c r="B3">
        <v>0</v>
      </c>
      <c r="C3" t="s">
        <v>25</v>
      </c>
      <c r="D3" t="s">
        <v>28</v>
      </c>
    </row>
    <row r="4" spans="1:4">
      <c r="A4" t="s">
        <v>29</v>
      </c>
      <c r="B4">
        <v>0</v>
      </c>
      <c r="C4" t="s">
        <v>25</v>
      </c>
      <c r="D4" t="s">
        <v>30</v>
      </c>
    </row>
    <row r="5" spans="1:4">
      <c r="A5" t="s">
        <v>31</v>
      </c>
      <c r="B5" s="1">
        <f>MIN('Cleaned Data'!C:C)</f>
        <v>44562</v>
      </c>
      <c r="C5" t="s">
        <v>25</v>
      </c>
      <c r="D5" t="s">
        <v>32</v>
      </c>
    </row>
    <row r="6" spans="1:4">
      <c r="A6" t="s">
        <v>33</v>
      </c>
      <c r="B6" s="1">
        <f>MAX('Cleaned Data'!C:C)</f>
        <v>45291</v>
      </c>
      <c r="C6" t="s">
        <v>25</v>
      </c>
      <c r="D6" t="s">
        <v>34</v>
      </c>
    </row>
    <row r="7" spans="1:4">
      <c r="A7" t="s">
        <v>35</v>
      </c>
      <c r="B7">
        <f>COUNT('Cleaned Data'!C:C)</f>
        <v>2000</v>
      </c>
      <c r="D7" t="s">
        <v>36</v>
      </c>
    </row>
    <row r="8" spans="1:4">
      <c r="A8" t="s">
        <v>37</v>
      </c>
      <c r="B8">
        <f>COUNTA('Cleaned Data'!A:A)-1</f>
        <v>2000</v>
      </c>
      <c r="D8" t="s">
        <v>38</v>
      </c>
    </row>
    <row r="9" spans="1:4">
      <c r="A9" t="s">
        <v>39</v>
      </c>
      <c r="B9">
        <f>COUNT('Cleaned Data'!D:D)</f>
        <v>2000</v>
      </c>
    </row>
    <row r="10" spans="1:4">
      <c r="A10" t="s">
        <v>40</v>
      </c>
      <c r="B10">
        <v>0</v>
      </c>
    </row>
    <row r="11" spans="1:4">
      <c r="A11" t="s">
        <v>41</v>
      </c>
      <c r="B11">
        <v>0</v>
      </c>
    </row>
    <row r="12" spans="1:4">
      <c r="A12" t="s">
        <v>42</v>
      </c>
      <c r="B12">
        <v>10</v>
      </c>
      <c r="C12" t="s">
        <v>43</v>
      </c>
    </row>
    <row r="13" spans="1:4">
      <c r="A13" t="s">
        <v>44</v>
      </c>
      <c r="B13">
        <f>MIN('Cleaned Data'!G:G)</f>
        <v>18</v>
      </c>
    </row>
    <row r="14" spans="1:4">
      <c r="A14" t="s">
        <v>45</v>
      </c>
      <c r="B14">
        <f>MAX('Cleaned Data'!G:G)</f>
        <v>64</v>
      </c>
    </row>
    <row r="15" spans="1:4">
      <c r="A15" t="s">
        <v>46</v>
      </c>
      <c r="B15">
        <f>COUNT('Cleaned Data'!G:G)</f>
        <v>1990</v>
      </c>
    </row>
    <row r="16" spans="1:4">
      <c r="A16" t="s">
        <v>47</v>
      </c>
      <c r="B16">
        <v>0</v>
      </c>
    </row>
    <row r="17" spans="1:3">
      <c r="A17" t="s">
        <v>48</v>
      </c>
      <c r="B17">
        <v>3</v>
      </c>
      <c r="C17" t="s">
        <v>49</v>
      </c>
    </row>
    <row r="18" spans="1:3">
      <c r="A18" t="s">
        <v>50</v>
      </c>
      <c r="B18">
        <f>MIN('Cleaned Data'!I:I)</f>
        <v>1</v>
      </c>
    </row>
    <row r="19" spans="1:3">
      <c r="A19" t="s">
        <v>51</v>
      </c>
      <c r="B19">
        <f>MAX('Cleaned Data'!I:I)</f>
        <v>4</v>
      </c>
    </row>
    <row r="20" spans="1:3">
      <c r="A20" t="s">
        <v>52</v>
      </c>
      <c r="B20" s="4" t="s">
        <v>53</v>
      </c>
      <c r="C20" t="s">
        <v>54</v>
      </c>
    </row>
    <row r="21" spans="1:3">
      <c r="A21" t="s">
        <v>55</v>
      </c>
      <c r="B21">
        <f>MIN('Cleaned Data'!J:J)</f>
        <v>25</v>
      </c>
    </row>
    <row r="22" spans="1:3">
      <c r="A22" t="s">
        <v>56</v>
      </c>
      <c r="B22">
        <f>MAX('Cleaned Data'!J:J)</f>
        <v>500</v>
      </c>
    </row>
    <row r="23" spans="1:3">
      <c r="A23" t="s">
        <v>57</v>
      </c>
      <c r="B23" t="s">
        <v>58</v>
      </c>
      <c r="C23" t="s">
        <v>59</v>
      </c>
    </row>
    <row r="24" spans="1:3">
      <c r="A24" t="s">
        <v>60</v>
      </c>
      <c r="B24" t="s">
        <v>61</v>
      </c>
      <c r="C24"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A2415-E46E-4874-B82E-72BDFA3887C1}">
  <dimension ref="A1:C7"/>
  <sheetViews>
    <sheetView workbookViewId="0">
      <selection activeCell="B13" sqref="B13"/>
    </sheetView>
  </sheetViews>
  <sheetFormatPr defaultRowHeight="15"/>
  <cols>
    <col min="1" max="1" width="17.140625" bestFit="1" customWidth="1"/>
    <col min="2" max="2" width="16.85546875" bestFit="1" customWidth="1"/>
    <col min="3" max="3" width="12.85546875" bestFit="1" customWidth="1"/>
  </cols>
  <sheetData>
    <row r="1" spans="1:3">
      <c r="A1" s="7" t="s">
        <v>17</v>
      </c>
      <c r="B1" t="s">
        <v>63</v>
      </c>
    </row>
    <row r="3" spans="1:3">
      <c r="A3" s="7" t="s">
        <v>6</v>
      </c>
      <c r="B3" t="s">
        <v>64</v>
      </c>
      <c r="C3" t="s">
        <v>65</v>
      </c>
    </row>
    <row r="4" spans="1:3">
      <c r="A4" t="s">
        <v>13</v>
      </c>
      <c r="B4" s="8">
        <v>286840</v>
      </c>
      <c r="C4" s="8">
        <v>228630.15</v>
      </c>
    </row>
    <row r="5" spans="1:3">
      <c r="A5" t="s">
        <v>12</v>
      </c>
      <c r="B5" s="8">
        <v>311070</v>
      </c>
      <c r="C5" s="8">
        <v>246679.5</v>
      </c>
    </row>
    <row r="6" spans="1:3">
      <c r="A6" t="s">
        <v>15</v>
      </c>
      <c r="B6" s="8">
        <v>313810</v>
      </c>
      <c r="C6" s="8">
        <v>246647.65</v>
      </c>
    </row>
    <row r="7" spans="1:3">
      <c r="A7" t="s">
        <v>66</v>
      </c>
      <c r="B7" s="8">
        <v>911720</v>
      </c>
      <c r="C7" s="8">
        <v>721957.3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00B8-A593-40A6-9B2F-375FE5F13AD6}">
  <dimension ref="A1:M12"/>
  <sheetViews>
    <sheetView showGridLines="0" workbookViewId="0">
      <selection activeCell="J16" sqref="J16"/>
    </sheetView>
  </sheetViews>
  <sheetFormatPr defaultRowHeight="15"/>
  <sheetData>
    <row r="1" spans="1:13" ht="23.25">
      <c r="A1" s="22" t="s">
        <v>67</v>
      </c>
      <c r="B1" s="22"/>
      <c r="C1" s="22"/>
      <c r="D1" s="22"/>
      <c r="E1" s="22"/>
      <c r="F1" s="22"/>
      <c r="G1" s="22"/>
      <c r="H1" s="22"/>
    </row>
    <row r="2" spans="1:13">
      <c r="J2" s="20" t="s">
        <v>68</v>
      </c>
      <c r="K2" s="20"/>
      <c r="L2" s="20"/>
      <c r="M2" s="20"/>
    </row>
    <row r="3" spans="1:13" ht="15" customHeight="1">
      <c r="A3" s="20" t="s">
        <v>69</v>
      </c>
      <c r="B3" s="20"/>
      <c r="C3" s="20" t="s">
        <v>70</v>
      </c>
      <c r="D3" s="20"/>
      <c r="E3" s="20" t="s">
        <v>71</v>
      </c>
      <c r="F3" s="20"/>
      <c r="G3" s="20" t="s">
        <v>72</v>
      </c>
      <c r="H3" s="20"/>
      <c r="J3" s="27" t="s">
        <v>73</v>
      </c>
      <c r="K3" s="28"/>
      <c r="L3" s="28"/>
      <c r="M3" s="29"/>
    </row>
    <row r="4" spans="1:13">
      <c r="A4" s="9">
        <f>SUMIFS('Cleaned Data'!L:L,'Cleaned Data'!M:M,"Complete")</f>
        <v>911720</v>
      </c>
      <c r="B4" s="9"/>
      <c r="C4" s="9">
        <f>SUMIFS('Cleaned Data'!O:O,'Cleaned Data'!M:M,"Complete")</f>
        <v>721957.3</v>
      </c>
      <c r="D4" s="9"/>
      <c r="E4" s="9">
        <f>COUNTIF('Cleaned Data'!M:M,"Complete")</f>
        <v>1997</v>
      </c>
      <c r="F4" s="9"/>
      <c r="G4" s="21">
        <f>C4/A4</f>
        <v>0.79186296231299091</v>
      </c>
      <c r="H4" s="21"/>
      <c r="J4" s="30"/>
      <c r="K4" s="31"/>
      <c r="L4" s="31"/>
      <c r="M4" s="32"/>
    </row>
    <row r="5" spans="1:13" ht="15" customHeight="1">
      <c r="J5" s="30" t="s">
        <v>74</v>
      </c>
      <c r="K5" s="31"/>
      <c r="L5" s="31"/>
      <c r="M5" s="32"/>
    </row>
    <row r="6" spans="1:13">
      <c r="J6" s="30"/>
      <c r="K6" s="31"/>
      <c r="L6" s="31"/>
      <c r="M6" s="32"/>
    </row>
    <row r="7" spans="1:13" ht="15" customHeight="1">
      <c r="J7" s="30" t="s">
        <v>75</v>
      </c>
      <c r="K7" s="31"/>
      <c r="L7" s="31"/>
      <c r="M7" s="32"/>
    </row>
    <row r="8" spans="1:13">
      <c r="J8" s="30"/>
      <c r="K8" s="31"/>
      <c r="L8" s="31"/>
      <c r="M8" s="32"/>
    </row>
    <row r="9" spans="1:13">
      <c r="J9" s="30"/>
      <c r="K9" s="31"/>
      <c r="L9" s="31"/>
      <c r="M9" s="32"/>
    </row>
    <row r="10" spans="1:13">
      <c r="J10" s="23"/>
      <c r="K10" s="24"/>
      <c r="L10" s="24"/>
      <c r="M10" s="25"/>
    </row>
    <row r="11" spans="1:13">
      <c r="J11" s="26"/>
      <c r="K11" s="26"/>
      <c r="L11" s="26"/>
      <c r="M11" s="26"/>
    </row>
    <row r="12" spans="1:13">
      <c r="J12" s="26"/>
      <c r="K12" s="26"/>
      <c r="L12" s="26"/>
      <c r="M12" s="26"/>
    </row>
  </sheetData>
  <mergeCells count="13">
    <mergeCell ref="J5:M6"/>
    <mergeCell ref="J7:M9"/>
    <mergeCell ref="G3:H3"/>
    <mergeCell ref="G4:H4"/>
    <mergeCell ref="A1:H1"/>
    <mergeCell ref="J2:M2"/>
    <mergeCell ref="J3:M4"/>
    <mergeCell ref="A3:B3"/>
    <mergeCell ref="A4:B4"/>
    <mergeCell ref="C3:D3"/>
    <mergeCell ref="C4:D4"/>
    <mergeCell ref="E3:F3"/>
    <mergeCell ref="E4:F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832C-62FB-4225-B46A-6D88C1489E27}">
  <dimension ref="A1:B10"/>
  <sheetViews>
    <sheetView workbookViewId="0">
      <selection activeCell="B3" sqref="B3"/>
    </sheetView>
  </sheetViews>
  <sheetFormatPr defaultRowHeight="15"/>
  <cols>
    <col min="2" max="2" width="10.42578125" bestFit="1" customWidth="1"/>
  </cols>
  <sheetData>
    <row r="1" spans="1:2" ht="15.75">
      <c r="A1" s="10" t="s">
        <v>76</v>
      </c>
      <c r="B1" s="10"/>
    </row>
    <row r="2" spans="1:2">
      <c r="A2" s="11" t="s">
        <v>77</v>
      </c>
      <c r="B2" s="12">
        <v>99999</v>
      </c>
    </row>
    <row r="4" spans="1:2">
      <c r="A4" s="13" t="s">
        <v>78</v>
      </c>
      <c r="B4" s="14" t="str">
        <f>_xlfn.XLOOKUP($B$2,'Cleaned Data'!A:A,'Cleaned Data'!B:B,"Not found")</f>
        <v>Not found</v>
      </c>
    </row>
    <row r="5" spans="1:2">
      <c r="A5" s="15" t="s">
        <v>79</v>
      </c>
      <c r="B5" s="16" t="str">
        <f>_xlfn.XLOOKUP($B$2,'Cleaned Data'!A:A,'Cleaned Data'!C:C,"Not found")</f>
        <v>Not found</v>
      </c>
    </row>
    <row r="6" spans="1:2">
      <c r="A6" s="15"/>
      <c r="B6" s="17"/>
    </row>
    <row r="7" spans="1:2">
      <c r="A7" s="15" t="s">
        <v>80</v>
      </c>
      <c r="B7" s="17" t="str">
        <f>_xlfn.XLOOKUP($B$2,'Cleaned Data'!A:A,'Cleaned Data'!E:E,"Not found")</f>
        <v>Not found</v>
      </c>
    </row>
    <row r="8" spans="1:2">
      <c r="A8" s="15" t="s">
        <v>81</v>
      </c>
      <c r="B8" s="17" t="str">
        <f>_xlfn.XLOOKUP($B$2,'Cleaned Data'!A:A,'Cleaned Data'!H:H,"Not found")</f>
        <v>Not found</v>
      </c>
    </row>
    <row r="9" spans="1:2">
      <c r="A9" s="15" t="s">
        <v>82</v>
      </c>
      <c r="B9" s="17" t="str">
        <f>_xlfn.XLOOKUP($B$2,'Cleaned Data'!A:A,'Cleaned Data'!L:L,"Not found")</f>
        <v>Not found</v>
      </c>
    </row>
    <row r="10" spans="1:2">
      <c r="A10" s="18" t="s">
        <v>19</v>
      </c>
      <c r="B10" s="19" t="str">
        <f>_xlfn.XLOOKUP($B$2,'Cleaned Data'!A:A,'Cleaned Data'!O:O,"Not found")</f>
        <v>Not found</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F3E6B-691B-4F55-AAA5-1CB281128F13}">
  <dimension ref="A1:H9"/>
  <sheetViews>
    <sheetView showGridLines="0" tabSelected="1" workbookViewId="0">
      <selection activeCell="F2" sqref="F2"/>
    </sheetView>
  </sheetViews>
  <sheetFormatPr defaultRowHeight="15"/>
  <sheetData>
    <row r="1" spans="1:8" ht="21">
      <c r="A1" s="33" t="s">
        <v>83</v>
      </c>
      <c r="B1" s="33"/>
      <c r="C1" s="33"/>
      <c r="D1" s="33"/>
      <c r="E1" s="33"/>
      <c r="F1" s="33"/>
      <c r="G1" s="33"/>
      <c r="H1" s="33"/>
    </row>
    <row r="3" spans="1:8">
      <c r="A3" s="42" t="s">
        <v>84</v>
      </c>
      <c r="B3" s="40"/>
      <c r="C3" s="40" t="s">
        <v>85</v>
      </c>
      <c r="D3" s="40"/>
      <c r="E3" s="40"/>
      <c r="F3" s="40"/>
      <c r="G3" s="40"/>
      <c r="H3" s="41"/>
    </row>
    <row r="4" spans="1:8">
      <c r="A4" s="43" t="s">
        <v>86</v>
      </c>
      <c r="B4" s="44"/>
      <c r="C4" s="35" t="s">
        <v>87</v>
      </c>
      <c r="D4" s="34"/>
      <c r="E4" s="34"/>
      <c r="F4" s="34"/>
      <c r="G4" s="34"/>
      <c r="H4" s="36"/>
    </row>
    <row r="5" spans="1:8">
      <c r="A5" s="46"/>
      <c r="B5" s="47"/>
      <c r="C5" s="48"/>
      <c r="D5" s="49"/>
      <c r="E5" s="49"/>
      <c r="F5" s="49"/>
      <c r="G5" s="49"/>
      <c r="H5" s="50"/>
    </row>
    <row r="6" spans="1:8">
      <c r="A6" s="43" t="s">
        <v>88</v>
      </c>
      <c r="B6" s="44"/>
      <c r="C6" s="34" t="s">
        <v>89</v>
      </c>
      <c r="D6" s="34"/>
      <c r="E6" s="34"/>
      <c r="F6" s="34"/>
      <c r="G6" s="34"/>
      <c r="H6" s="36"/>
    </row>
    <row r="7" spans="1:8">
      <c r="A7" s="46"/>
      <c r="B7" s="47"/>
      <c r="C7" s="49"/>
      <c r="D7" s="49"/>
      <c r="E7" s="49"/>
      <c r="F7" s="49"/>
      <c r="G7" s="49"/>
      <c r="H7" s="50"/>
    </row>
    <row r="8" spans="1:8">
      <c r="A8" s="43" t="s">
        <v>90</v>
      </c>
      <c r="B8" s="51"/>
      <c r="C8" s="35" t="s">
        <v>91</v>
      </c>
      <c r="D8" s="34"/>
      <c r="E8" s="34"/>
      <c r="F8" s="34"/>
      <c r="G8" s="34"/>
      <c r="H8" s="36"/>
    </row>
    <row r="9" spans="1:8">
      <c r="A9" s="45"/>
      <c r="B9" s="52"/>
      <c r="C9" s="37"/>
      <c r="D9" s="38"/>
      <c r="E9" s="38"/>
      <c r="F9" s="38"/>
      <c r="G9" s="38"/>
      <c r="H9" s="39"/>
    </row>
  </sheetData>
  <mergeCells count="9">
    <mergeCell ref="A8:B9"/>
    <mergeCell ref="C8:H9"/>
    <mergeCell ref="A1:H1"/>
    <mergeCell ref="A3:B3"/>
    <mergeCell ref="C3:H3"/>
    <mergeCell ref="C4:H5"/>
    <mergeCell ref="A4:B5"/>
    <mergeCell ref="A6:B7"/>
    <mergeCell ref="C6:H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9FFD-1A8A-4413-A53F-F522A538D074}">
  <dimension ref="A1:B28"/>
  <sheetViews>
    <sheetView workbookViewId="0">
      <selection activeCell="G20" sqref="G20"/>
    </sheetView>
  </sheetViews>
  <sheetFormatPr defaultRowHeight="15"/>
  <cols>
    <col min="1" max="1" width="29.28515625" bestFit="1" customWidth="1"/>
    <col min="2" max="2" width="16.85546875" bestFit="1" customWidth="1"/>
  </cols>
  <sheetData>
    <row r="1" spans="1:2">
      <c r="A1" s="7" t="s">
        <v>17</v>
      </c>
      <c r="B1" t="s">
        <v>63</v>
      </c>
    </row>
    <row r="3" spans="1:2">
      <c r="A3" s="7" t="s">
        <v>16</v>
      </c>
      <c r="B3" t="s">
        <v>64</v>
      </c>
    </row>
    <row r="4" spans="1:2">
      <c r="A4" t="s">
        <v>92</v>
      </c>
      <c r="B4" s="8">
        <v>16110</v>
      </c>
    </row>
    <row r="5" spans="1:2">
      <c r="A5" t="s">
        <v>93</v>
      </c>
      <c r="B5" s="8">
        <v>20530</v>
      </c>
    </row>
    <row r="6" spans="1:2">
      <c r="A6" t="s">
        <v>94</v>
      </c>
      <c r="B6" s="8">
        <v>20700</v>
      </c>
    </row>
    <row r="7" spans="1:2">
      <c r="A7" t="s">
        <v>95</v>
      </c>
      <c r="B7" s="8">
        <v>21195</v>
      </c>
    </row>
    <row r="8" spans="1:2">
      <c r="A8" t="s">
        <v>96</v>
      </c>
      <c r="B8" s="8">
        <v>21925</v>
      </c>
    </row>
    <row r="9" spans="1:2">
      <c r="A9" t="s">
        <v>97</v>
      </c>
      <c r="B9" s="8">
        <v>22195</v>
      </c>
    </row>
    <row r="10" spans="1:2">
      <c r="A10" t="s">
        <v>98</v>
      </c>
      <c r="B10" s="8">
        <v>22635</v>
      </c>
    </row>
    <row r="11" spans="1:2">
      <c r="A11" t="s">
        <v>99</v>
      </c>
      <c r="B11" s="8">
        <v>23790</v>
      </c>
    </row>
    <row r="12" spans="1:2">
      <c r="A12" t="s">
        <v>100</v>
      </c>
      <c r="B12" s="8">
        <v>24505</v>
      </c>
    </row>
    <row r="13" spans="1:2">
      <c r="A13" t="s">
        <v>101</v>
      </c>
      <c r="B13" s="8">
        <v>24555</v>
      </c>
    </row>
    <row r="14" spans="1:2">
      <c r="A14" t="s">
        <v>102</v>
      </c>
      <c r="B14" s="8">
        <v>24980</v>
      </c>
    </row>
    <row r="15" spans="1:2">
      <c r="A15" t="s">
        <v>103</v>
      </c>
      <c r="B15" s="8">
        <v>25170</v>
      </c>
    </row>
    <row r="16" spans="1:2">
      <c r="A16" t="s">
        <v>104</v>
      </c>
      <c r="B16" s="8">
        <v>27010</v>
      </c>
    </row>
    <row r="17" spans="1:2">
      <c r="A17" t="s">
        <v>105</v>
      </c>
      <c r="B17" s="8">
        <v>28270</v>
      </c>
    </row>
    <row r="18" spans="1:2">
      <c r="A18" t="s">
        <v>106</v>
      </c>
      <c r="B18" s="8">
        <v>28705</v>
      </c>
    </row>
    <row r="19" spans="1:2">
      <c r="A19" t="s">
        <v>107</v>
      </c>
      <c r="B19" s="8">
        <v>35925</v>
      </c>
    </row>
    <row r="20" spans="1:2">
      <c r="A20" t="s">
        <v>108</v>
      </c>
      <c r="B20" s="8">
        <v>57135</v>
      </c>
    </row>
    <row r="21" spans="1:2">
      <c r="A21" t="s">
        <v>109</v>
      </c>
      <c r="B21" s="8">
        <v>57880</v>
      </c>
    </row>
    <row r="22" spans="1:2">
      <c r="A22" t="s">
        <v>110</v>
      </c>
      <c r="B22" s="8">
        <v>61770</v>
      </c>
    </row>
    <row r="23" spans="1:2">
      <c r="A23" t="s">
        <v>111</v>
      </c>
      <c r="B23" s="8">
        <v>67560</v>
      </c>
    </row>
    <row r="24" spans="1:2">
      <c r="A24" t="s">
        <v>112</v>
      </c>
      <c r="B24" s="8">
        <v>68235</v>
      </c>
    </row>
    <row r="25" spans="1:2">
      <c r="A25" t="s">
        <v>113</v>
      </c>
      <c r="B25" s="8">
        <v>68915</v>
      </c>
    </row>
    <row r="26" spans="1:2">
      <c r="A26" t="s">
        <v>114</v>
      </c>
      <c r="B26" s="8">
        <v>69145</v>
      </c>
    </row>
    <row r="27" spans="1:2">
      <c r="A27" t="s">
        <v>115</v>
      </c>
      <c r="B27" s="8">
        <v>72880</v>
      </c>
    </row>
    <row r="28" spans="1:2">
      <c r="A28" t="s">
        <v>66</v>
      </c>
      <c r="B28" s="8">
        <v>911720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2026-09-25T15:20:33Z</dcterms:created>
  <dcterms:modified xsi:type="dcterms:W3CDTF">2026-09-29T08:45:59Z</dcterms:modified>
  <cp:category/>
  <cp:contentStatus/>
</cp:coreProperties>
</file>